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2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G24" i="9" l="1"/>
  <c r="G11" i="9"/>
  <c r="C9" i="9"/>
  <c r="C10" i="9"/>
  <c r="F17" i="9" l="1"/>
  <c r="D26" i="6"/>
  <c r="F5" i="6"/>
  <c r="F4" i="6" s="1"/>
  <c r="E4" i="6"/>
  <c r="D4" i="6"/>
  <c r="C16" i="9"/>
  <c r="C11" i="9"/>
  <c r="F8" i="6" l="1"/>
  <c r="F12" i="6" l="1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11" i="6"/>
  <c r="F9" i="6"/>
  <c r="F7" i="6"/>
  <c r="D10" i="6" l="1"/>
  <c r="C14" i="9" s="1"/>
  <c r="C13" i="9" s="1"/>
  <c r="E10" i="6" l="1"/>
  <c r="F10" i="6"/>
  <c r="E6" i="6"/>
  <c r="D10" i="9" s="1"/>
  <c r="D9" i="9" s="1"/>
  <c r="F6" i="6"/>
  <c r="F26" i="6" l="1"/>
  <c r="D14" i="9"/>
  <c r="D13" i="9" s="1"/>
  <c r="D17" i="9" s="1"/>
  <c r="E26" i="6"/>
  <c r="C22" i="9"/>
  <c r="C7" i="9"/>
  <c r="L5" i="9"/>
  <c r="D6" i="6"/>
  <c r="C17" i="9" l="1"/>
  <c r="B9" i="9" l="1"/>
  <c r="B11" i="9"/>
  <c r="B13" i="9"/>
  <c r="B7" i="9"/>
  <c r="G18" i="9"/>
  <c r="E13" i="9" l="1"/>
  <c r="F13" i="9"/>
  <c r="F11" i="9"/>
  <c r="E11" i="9"/>
  <c r="E9" i="9" s="1"/>
  <c r="I11" i="9" l="1"/>
  <c r="J11" i="9" s="1"/>
  <c r="K11" i="9" s="1"/>
  <c r="F9" i="9"/>
  <c r="G9" i="9" s="1"/>
  <c r="G13" i="9"/>
  <c r="I13" i="9" s="1"/>
  <c r="K13" i="9" s="1"/>
  <c r="G17" i="9" l="1"/>
  <c r="I9" i="9"/>
  <c r="J9" i="9"/>
  <c r="J17" i="9" s="1"/>
  <c r="G7" i="9"/>
  <c r="G20" i="9"/>
  <c r="K9" i="9" l="1"/>
  <c r="L4" i="9"/>
  <c r="I7" i="9"/>
  <c r="I22" i="9" l="1"/>
  <c r="K7" i="9"/>
  <c r="K17" i="9" s="1"/>
  <c r="J20" i="9" s="1"/>
  <c r="I17" i="9"/>
</calcChain>
</file>

<file path=xl/sharedStrings.xml><?xml version="1.0" encoding="utf-8"?>
<sst xmlns="http://schemas.openxmlformats.org/spreadsheetml/2006/main" count="57" uniqueCount="55">
  <si>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</si>
  <si>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</si>
  <si>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</si>
  <si>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</si>
  <si>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</si>
  <si>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</si>
  <si>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</si>
  <si>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</si>
  <si>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</si>
  <si>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</si>
  <si>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</si>
  <si>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</si>
  <si>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</si>
  <si>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</si>
  <si>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</si>
  <si>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</si>
  <si>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</si>
  <si>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</si>
  <si>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</si>
  <si>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GIA THÀNH</t>
  </si>
  <si>
    <t>LỢI NHUẬN</t>
  </si>
  <si>
    <t>GIÁ VỐN</t>
  </si>
  <si>
    <t>CHI PHÍ QL</t>
  </si>
  <si>
    <t>CÔNG TY TNHH TRUNG NHÂN HẬU</t>
  </si>
  <si>
    <t>CHI PHÍ LÃI</t>
  </si>
  <si>
    <t>Miễn giảm
 30%</t>
  </si>
  <si>
    <t>MST: 2100411092</t>
  </si>
  <si>
    <t>Lê Thành Trung</t>
  </si>
  <si>
    <t>CÔNG TRÌNH (10%)</t>
  </si>
  <si>
    <t>2022_Thủy lợi nội đồng đợt 1 năm 2022 trên địa bàn huyện Cầu Ngang
 theo HĐ số 03/2022/HĐ-XD ngày 01/04/2022</t>
  </si>
  <si>
    <t>CÔNG TRÌNH NẠO VÉT (0% VÀ 5%)</t>
  </si>
  <si>
    <t>  2022_Nạo vét 03 kênh cấp II, xã Hiệp Mỹ Tây. 
Theo HĐ số 87/2022/HĐ-XD, ngày 10/05/2022</t>
  </si>
  <si>
    <t> 2022_Nạo vét 03 kênh cấp II, xã Phước Hảo. 
Theo HĐ số 209/2022/HĐ-XD, ngày 16/09/2022</t>
  </si>
  <si>
    <t>2022_Đường đal ấp Thuận Hiệp (điểm đầu giáp đường đal xã Hiệp Hòa 
điểm cuối giáp đường đal Hiện Hữu ấp Thuận Hệp) HĐ số 08/2022/HĐ-XD ngày 12/09/2022</t>
  </si>
  <si>
    <t>2022_Đường đal tuyến đất huyện đội đến ấp Rạch nhà ông Tám Xuồng 
(ấp Thủy Hòa - ấp Rạch) theo HĐ số 09/2022/HĐ-XD ngày 12/09/2022</t>
  </si>
  <si>
    <t>2022_Sửa chữa tuyến đường nhựa ấp Bào Mốt, ấp Ô Răng xã Long Sơn
 huyện Cầu Ngang theo HĐ số 13/2022/HĐ-XD ngày 27/10/2022</t>
  </si>
  <si>
    <t>2022_Gói thầu số 06: Sửa chữa mặt đường, gia cố lề và hệ thống thoát nước Đường huyện 20
 (Km00+450- Km05+500), huyện Cầu Ngang. Theo HĐ sô 03/2022/HĐ-XD ngày 24/06/2022</t>
  </si>
  <si>
    <t>2022_Đường đal điểm đầu hương lộ 22 từ nhà bà Nguyễn Thị Thu Hà 
đến điểm cuối nhà ông Nguyễn Văn Lánh, Theo HĐ số 07/2022/HĐ-XD ngày 16/09/2022</t>
  </si>
  <si>
    <t>2022_Đường đal ấp Thuận Hiệp Nối Dài. theo HĐ số 05/2022/HĐ-XD ngày 30/08/2022</t>
  </si>
  <si>
    <t> 2022_Đường đal cặp trụ sở ấp Thuận Hiệp. theo HĐ số 06/2022/HĐ-XD ngày 30/08/2022</t>
  </si>
  <si>
    <t>2022_Cầu thủy lợi ấp Bờ Kinh 1. theo HĐ số 12/2022/HĐ-XD ngày 13/10/2022</t>
  </si>
  <si>
    <t>2022_Đường giao thông nối liền thị trấn Cầu Ngang - Thuận Hòa. 
HĐ sô 10/2022/HĐ-XD ngày 29/09/2022</t>
  </si>
  <si>
    <t> 2022_Gói thầu số 14. Thi công xây dựng công trình Trung Tâm Văn Hóa - Thể Thao
 huyện Cầu Ngang theo HĐ số 01/2022/HĐGK ngày 20/04/2022</t>
  </si>
  <si>
    <t> 2022_Gói thầu số 10: Xây dựng nhà kho chứa bao bì thuốc bảo vệ thực vật sau
 sử dụng và kính thủy tinh. Theo HĐ số 02/2022/HĐ -XD ngày 11/05/2022</t>
  </si>
  <si>
    <t> 2022_Gói thầu số 09: Thi công xây dựng công trình Cụm Công Nghiệp Hiệp MỹTây, 
huyện Cầu Ngang. Theo HĐ số: 11/2022/HĐ-XD, ngày30/9/2022.</t>
  </si>
  <si>
    <t>2022_Gói thầu số 13: thi công Xây Dựng Bến Xe huyện Cầu Ngang
 theo HĐ số 04/2022/HĐ-XD ngày 31/08/2022</t>
  </si>
  <si>
    <t>2022_Sửa chữa nhà làm việc Công An Huyện (Cũ), khóm Minh Thuận A, 
Thị trấn Cầu Ngang, huyện Cầu Ngang.</t>
  </si>
  <si>
    <t>2022_Gói thầu số 9: TC xây dựng CT đầu tư xây dựng Bãi rác cụm xã (Giai đoạn 2). 
Theo HĐ số 01/2021/HĐ GK ngày 06/05/2021 (giai đoạn 2022)</t>
  </si>
  <si>
    <t>Trà Vinh, ngày 31 tháng 12 năm 2022</t>
  </si>
  <si>
    <t>BẢNG KÊ DOANH THU CÁC CÔNG TRÌNH NĂM 2022</t>
  </si>
  <si>
    <t>BẢNG XÁC ĐỊNH THU NHẬP CHỊU THUẾ TNDN NĂM 2022</t>
  </si>
  <si>
    <t>DOANH THU ĐIỆN MT</t>
  </si>
  <si>
    <t>DOANH THU ĐIỆN MẶT TRỜI</t>
  </si>
  <si>
    <t>Điện mặt trời trên mái nhà</t>
  </si>
  <si>
    <t>TN MIỄN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</si>
</sst>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(* #,##0.0_);_(* \(#,##0.0\);_(* &quot;-&quot;??_);_(@_)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7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5" fontId="7" fillId="0" borderId="1" xfId="1" applyNumberFormat="1" applyFont="1" applyBorder="1"/>
    <xf numFmtId="165" fontId="7" fillId="0" borderId="1" xfId="0" applyNumberFormat="1" applyFont="1" applyBorder="1"/>
    <xf numFmtId="9" fontId="7" fillId="0" borderId="1" xfId="2" applyNumberFormat="1" applyFont="1" applyBorder="1"/>
    <xf numFmtId="3" fontId="10" fillId="0" borderId="1" xfId="0" applyNumberFormat="1" applyFont="1" applyBorder="1"/>
    <xf numFmtId="165" fontId="5" fillId="0" borderId="1" xfId="1" applyNumberFormat="1" applyFont="1" applyBorder="1"/>
    <xf numFmtId="0" fontId="5" fillId="0" borderId="1" xfId="0" applyFont="1" applyBorder="1"/>
    <xf numFmtId="9" fontId="5" fillId="0" borderId="1" xfId="2" applyNumberFormat="1" applyFont="1" applyBorder="1"/>
    <xf numFmtId="9" fontId="5" fillId="0" borderId="2" xfId="2" applyFont="1" applyBorder="1"/>
    <xf numFmtId="3" fontId="11" fillId="5" borderId="1" xfId="0" applyNumberFormat="1" applyFont="1" applyFill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165" fontId="7" fillId="5" borderId="2" xfId="1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164" fontId="5" fillId="0" borderId="1" xfId="1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/>
    <xf numFmtId="165" fontId="3" fillId="0" borderId="0" xfId="1" applyNumberFormat="1" applyFont="1" applyFill="1"/>
    <xf numFmtId="165" fontId="3" fillId="0" borderId="0" xfId="1" applyNumberFormat="1" applyFont="1" applyFill="1" applyAlignment="1"/>
    <xf numFmtId="3" fontId="9" fillId="0" borderId="1" xfId="0" applyNumberFormat="1" applyFont="1" applyBorder="1" applyAlignment="1">
      <alignment horizontal="center" vertical="center" wrapText="1"/>
    </xf>
    <xf numFmtId="166" fontId="3" fillId="0" borderId="0" xfId="1" applyNumberFormat="1" applyFont="1" applyFill="1" applyAlignment="1"/>
    <xf numFmtId="0" fontId="7" fillId="0" borderId="1" xfId="0" applyFont="1" applyFill="1" applyBorder="1" applyAlignment="1">
      <alignment horizontal="left"/>
    </xf>
    <xf numFmtId="3" fontId="12" fillId="0" borderId="1" xfId="0" applyNumberFormat="1" applyFont="1" applyBorder="1"/>
    <xf numFmtId="167" fontId="7" fillId="0" borderId="1" xfId="2" applyNumberFormat="1" applyFont="1" applyBorder="1"/>
    <xf numFmtId="164" fontId="7" fillId="0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7"/>
  <sheetViews>
    <sheetView workbookViewId="0">
      <selection activeCell="F6" sqref="F6"/>
    </sheetView>
  </sheetViews>
  <sheetFormatPr defaultColWidth="8" defaultRowHeight="15" x14ac:dyDescent="0.25"/>
  <cols>
    <col min="1" max="1" width="8" style="27"/>
    <col min="2" max="2" width="32.140625" style="27" hidden="1" customWidth="1"/>
    <col min="3" max="3" width="80.42578125" style="27" customWidth="1"/>
    <col min="4" max="4" width="20.42578125" style="30" customWidth="1"/>
    <col min="5" max="5" width="20" style="27" customWidth="1"/>
    <col min="6" max="6" width="22.5703125" style="34" customWidth="1"/>
    <col min="7" max="16384" width="8" style="27"/>
  </cols>
  <sheetData>
    <row r="1" spans="1:6" s="26" customFormat="1" ht="37.5" customHeight="1" x14ac:dyDescent="0.3">
      <c r="A1" s="76" t="s">
        <v>49</v>
      </c>
      <c r="B1" s="76"/>
      <c r="C1" s="76"/>
      <c r="D1" s="76"/>
      <c r="F1" s="32"/>
    </row>
    <row r="2" spans="1:6" s="26" customFormat="1" ht="20.25" x14ac:dyDescent="0.3">
      <c r="B2" s="40"/>
      <c r="C2" s="40"/>
      <c r="D2" s="40"/>
      <c r="F2" s="32"/>
    </row>
    <row r="3" spans="1:6" s="36" customFormat="1" ht="25.5" customHeight="1" x14ac:dyDescent="0.25">
      <c r="A3" s="35" t="s">
        <v>13</v>
      </c>
      <c r="B3" s="35"/>
      <c r="C3" s="35" t="s">
        <v>14</v>
      </c>
      <c r="D3" s="74" t="s">
        <v>15</v>
      </c>
      <c r="E3" s="44" t="s">
        <v>19</v>
      </c>
      <c r="F3" s="74" t="s">
        <v>20</v>
      </c>
    </row>
    <row r="4" spans="1:6" s="37" customFormat="1" ht="30" customHeight="1" x14ac:dyDescent="0.25">
      <c r="A4" s="71"/>
      <c r="B4" s="77" t="s">
        <v>52</v>
      </c>
      <c r="C4" s="77"/>
      <c r="D4" s="74">
        <f>SUM(D5:D5)</f>
        <v>27205528</v>
      </c>
      <c r="E4" s="74">
        <f>SUM(E5:E5)</f>
        <v>0</v>
      </c>
      <c r="F4" s="74">
        <f>SUM(F5:F5)</f>
        <v>27205528</v>
      </c>
    </row>
    <row r="5" spans="1:6" s="36" customFormat="1" ht="25.5" customHeight="1" x14ac:dyDescent="0.25">
      <c r="A5" s="44">
        <v>1</v>
      </c>
      <c r="B5" s="35"/>
      <c r="C5" s="28" t="s">
        <v>53</v>
      </c>
      <c r="D5" s="61">
        <v>27205528</v>
      </c>
      <c r="E5" s="45"/>
      <c r="F5" s="61">
        <f>D5-E5</f>
        <v>27205528</v>
      </c>
    </row>
    <row r="6" spans="1:6" s="37" customFormat="1" ht="30" customHeight="1" x14ac:dyDescent="0.25">
      <c r="A6" s="39"/>
      <c r="B6" s="77" t="s">
        <v>30</v>
      </c>
      <c r="C6" s="77"/>
      <c r="D6" s="74">
        <f>SUM(D7:D9)</f>
        <v>1591565000</v>
      </c>
      <c r="E6" s="74">
        <f>SUM(E7:E9)</f>
        <v>1419693392</v>
      </c>
      <c r="F6" s="74">
        <f>SUM(F7:F9)</f>
        <v>171871608</v>
      </c>
    </row>
    <row r="7" spans="1:6" s="37" customFormat="1" ht="30" customHeight="1" x14ac:dyDescent="0.25">
      <c r="A7" s="44">
        <v>1</v>
      </c>
      <c r="B7" s="43"/>
      <c r="C7" s="60" t="s">
        <v>29</v>
      </c>
      <c r="D7" s="62">
        <v>571174000</v>
      </c>
      <c r="E7" s="69">
        <v>519427786</v>
      </c>
      <c r="F7" s="61">
        <f>D7-E7</f>
        <v>51746214</v>
      </c>
    </row>
    <row r="8" spans="1:6" s="37" customFormat="1" ht="48.75" customHeight="1" x14ac:dyDescent="0.25">
      <c r="A8" s="44">
        <v>2</v>
      </c>
      <c r="B8" s="63"/>
      <c r="C8" s="64" t="s">
        <v>31</v>
      </c>
      <c r="D8" s="62">
        <v>632836000</v>
      </c>
      <c r="E8" s="69">
        <v>562573172</v>
      </c>
      <c r="F8" s="61">
        <f>D8-E8</f>
        <v>70262828</v>
      </c>
    </row>
    <row r="9" spans="1:6" s="37" customFormat="1" ht="36.75" customHeight="1" x14ac:dyDescent="0.25">
      <c r="A9" s="44">
        <v>3</v>
      </c>
      <c r="B9" s="43"/>
      <c r="C9" s="64" t="s">
        <v>32</v>
      </c>
      <c r="D9" s="62">
        <v>387555000</v>
      </c>
      <c r="E9" s="69">
        <v>337692434</v>
      </c>
      <c r="F9" s="61">
        <f>D9-E9</f>
        <v>49862566</v>
      </c>
    </row>
    <row r="10" spans="1:6" s="37" customFormat="1" ht="37.5" customHeight="1" x14ac:dyDescent="0.25">
      <c r="A10" s="65"/>
      <c r="B10" s="78" t="s">
        <v>28</v>
      </c>
      <c r="C10" s="79"/>
      <c r="D10" s="74">
        <f>+SUM(D11:D25)</f>
        <v>37574506984</v>
      </c>
      <c r="E10" s="74">
        <f>+SUM(E11:E25)</f>
        <v>34552130171</v>
      </c>
      <c r="F10" s="74">
        <f>+SUM(F11:F25)</f>
        <v>3022376813</v>
      </c>
    </row>
    <row r="11" spans="1:6" s="29" customFormat="1" ht="36.75" customHeight="1" x14ac:dyDescent="0.25">
      <c r="A11" s="45">
        <v>1</v>
      </c>
      <c r="B11" s="28" t="s">
        <v>11</v>
      </c>
      <c r="C11" s="60" t="s">
        <v>33</v>
      </c>
      <c r="D11" s="62">
        <v>633820000</v>
      </c>
      <c r="E11" s="62">
        <v>483121272</v>
      </c>
      <c r="F11" s="61">
        <f>D11-E11</f>
        <v>150698728</v>
      </c>
    </row>
    <row r="12" spans="1:6" s="29" customFormat="1" ht="36.75" customHeight="1" x14ac:dyDescent="0.25">
      <c r="A12" s="45">
        <v>2</v>
      </c>
      <c r="B12" s="28"/>
      <c r="C12" s="60" t="s">
        <v>34</v>
      </c>
      <c r="D12" s="62">
        <v>792052000</v>
      </c>
      <c r="E12" s="69">
        <v>658446784</v>
      </c>
      <c r="F12" s="61">
        <f t="shared" ref="F12:F25" si="0">D12-E12</f>
        <v>133605216</v>
      </c>
    </row>
    <row r="13" spans="1:6" s="29" customFormat="1" ht="36.75" customHeight="1" x14ac:dyDescent="0.25">
      <c r="A13" s="45">
        <v>3</v>
      </c>
      <c r="B13" s="28"/>
      <c r="C13" s="60" t="s">
        <v>35</v>
      </c>
      <c r="D13" s="69">
        <v>519857000</v>
      </c>
      <c r="E13" s="62">
        <v>512303849</v>
      </c>
      <c r="F13" s="61">
        <f t="shared" si="0"/>
        <v>7553151</v>
      </c>
    </row>
    <row r="14" spans="1:6" s="29" customFormat="1" ht="36.75" customHeight="1" x14ac:dyDescent="0.25">
      <c r="A14" s="45">
        <v>4</v>
      </c>
      <c r="B14" s="28"/>
      <c r="C14" s="60" t="s">
        <v>36</v>
      </c>
      <c r="D14" s="62">
        <v>6622576851</v>
      </c>
      <c r="E14" s="62">
        <v>6262273733</v>
      </c>
      <c r="F14" s="61">
        <f t="shared" si="0"/>
        <v>360303118</v>
      </c>
    </row>
    <row r="15" spans="1:6" s="29" customFormat="1" ht="36.75" customHeight="1" x14ac:dyDescent="0.25">
      <c r="A15" s="45">
        <v>5</v>
      </c>
      <c r="B15" s="28" t="s">
        <v>11</v>
      </c>
      <c r="C15" s="60" t="s">
        <v>37</v>
      </c>
      <c r="D15" s="62">
        <v>1169398000</v>
      </c>
      <c r="E15" s="62">
        <v>1060472029</v>
      </c>
      <c r="F15" s="61">
        <f t="shared" si="0"/>
        <v>108925971</v>
      </c>
    </row>
    <row r="16" spans="1:6" s="29" customFormat="1" ht="36.75" customHeight="1" x14ac:dyDescent="0.25">
      <c r="A16" s="45">
        <v>6</v>
      </c>
      <c r="B16" s="28"/>
      <c r="C16" s="59" t="s">
        <v>38</v>
      </c>
      <c r="D16" s="69">
        <v>440822000</v>
      </c>
      <c r="E16" s="69">
        <v>310096585</v>
      </c>
      <c r="F16" s="61">
        <f t="shared" si="0"/>
        <v>130725415</v>
      </c>
    </row>
    <row r="17" spans="1:6" s="29" customFormat="1" ht="36.75" customHeight="1" x14ac:dyDescent="0.25">
      <c r="A17" s="45">
        <v>7</v>
      </c>
      <c r="B17" s="28"/>
      <c r="C17" s="59" t="s">
        <v>39</v>
      </c>
      <c r="D17" s="62">
        <v>450831000</v>
      </c>
      <c r="E17" s="69">
        <v>400128260</v>
      </c>
      <c r="F17" s="61">
        <f t="shared" si="0"/>
        <v>50702740</v>
      </c>
    </row>
    <row r="18" spans="1:6" s="29" customFormat="1" ht="36.75" customHeight="1" x14ac:dyDescent="0.25">
      <c r="A18" s="45">
        <v>8</v>
      </c>
      <c r="B18" s="28"/>
      <c r="C18" s="59" t="s">
        <v>40</v>
      </c>
      <c r="D18" s="62">
        <v>742658000</v>
      </c>
      <c r="E18" s="62">
        <v>633421100</v>
      </c>
      <c r="F18" s="61">
        <f t="shared" si="0"/>
        <v>109236900</v>
      </c>
    </row>
    <row r="19" spans="1:6" s="29" customFormat="1" ht="36.75" customHeight="1" x14ac:dyDescent="0.25">
      <c r="A19" s="45">
        <v>9</v>
      </c>
      <c r="B19" s="28"/>
      <c r="C19" s="60" t="s">
        <v>41</v>
      </c>
      <c r="D19" s="62">
        <v>904183000</v>
      </c>
      <c r="E19" s="62">
        <v>880975542</v>
      </c>
      <c r="F19" s="61">
        <f t="shared" si="0"/>
        <v>23207458</v>
      </c>
    </row>
    <row r="20" spans="1:6" s="29" customFormat="1" ht="36.75" customHeight="1" x14ac:dyDescent="0.25">
      <c r="A20" s="45">
        <v>10</v>
      </c>
      <c r="B20" s="28"/>
      <c r="C20" s="60" t="s">
        <v>42</v>
      </c>
      <c r="D20" s="62">
        <v>10121525370</v>
      </c>
      <c r="E20" s="69">
        <v>9991186434</v>
      </c>
      <c r="F20" s="61">
        <f t="shared" si="0"/>
        <v>130338936</v>
      </c>
    </row>
    <row r="21" spans="1:6" s="29" customFormat="1" ht="36.75" customHeight="1" x14ac:dyDescent="0.25">
      <c r="A21" s="45">
        <v>11</v>
      </c>
      <c r="B21" s="28"/>
      <c r="C21" s="60" t="s">
        <v>43</v>
      </c>
      <c r="D21" s="62">
        <v>2280544000</v>
      </c>
      <c r="E21" s="69">
        <v>2150767799</v>
      </c>
      <c r="F21" s="61">
        <f t="shared" si="0"/>
        <v>129776201</v>
      </c>
    </row>
    <row r="22" spans="1:6" s="29" customFormat="1" ht="42.75" customHeight="1" x14ac:dyDescent="0.25">
      <c r="A22" s="45">
        <v>12</v>
      </c>
      <c r="B22" s="28"/>
      <c r="C22" s="60" t="s">
        <v>44</v>
      </c>
      <c r="D22" s="69">
        <v>2725662000</v>
      </c>
      <c r="E22" s="62">
        <v>2600324829</v>
      </c>
      <c r="F22" s="61">
        <f t="shared" si="0"/>
        <v>125337171</v>
      </c>
    </row>
    <row r="23" spans="1:6" s="29" customFormat="1" ht="36.75" customHeight="1" x14ac:dyDescent="0.25">
      <c r="A23" s="45">
        <v>13</v>
      </c>
      <c r="B23" s="28"/>
      <c r="C23" s="60" t="s">
        <v>45</v>
      </c>
      <c r="D23" s="62">
        <v>9415015000</v>
      </c>
      <c r="E23" s="69">
        <v>7968063861</v>
      </c>
      <c r="F23" s="61">
        <f t="shared" si="0"/>
        <v>1446951139</v>
      </c>
    </row>
    <row r="24" spans="1:6" s="29" customFormat="1" ht="36.75" customHeight="1" x14ac:dyDescent="0.25">
      <c r="A24" s="45">
        <v>14</v>
      </c>
      <c r="B24" s="28"/>
      <c r="C24" s="60" t="s">
        <v>46</v>
      </c>
      <c r="D24" s="69">
        <v>120320000</v>
      </c>
      <c r="E24" s="62">
        <v>64650503</v>
      </c>
      <c r="F24" s="61">
        <f t="shared" si="0"/>
        <v>55669497</v>
      </c>
    </row>
    <row r="25" spans="1:6" s="29" customFormat="1" ht="36.75" customHeight="1" x14ac:dyDescent="0.25">
      <c r="A25" s="45">
        <v>15</v>
      </c>
      <c r="B25" s="28"/>
      <c r="C25" s="60" t="s">
        <v>47</v>
      </c>
      <c r="D25" s="69">
        <v>635242763</v>
      </c>
      <c r="E25" s="62">
        <v>575897591</v>
      </c>
      <c r="F25" s="61">
        <f t="shared" si="0"/>
        <v>59345172</v>
      </c>
    </row>
    <row r="26" spans="1:6" s="36" customFormat="1" ht="31.5" customHeight="1" x14ac:dyDescent="0.25">
      <c r="A26" s="66"/>
      <c r="B26" s="80" t="s">
        <v>12</v>
      </c>
      <c r="C26" s="80"/>
      <c r="D26" s="74">
        <f>D4+D10+D6</f>
        <v>39193277512</v>
      </c>
      <c r="E26" s="74">
        <f>E4+E10+E6</f>
        <v>35971823563</v>
      </c>
      <c r="F26" s="74">
        <f>F4+F10+F6</f>
        <v>3221453949</v>
      </c>
    </row>
    <row r="27" spans="1:6" s="29" customFormat="1" ht="19.5" customHeight="1" x14ac:dyDescent="0.25">
      <c r="D27" s="38"/>
      <c r="F27" s="33"/>
    </row>
    <row r="28" spans="1:6" s="29" customFormat="1" ht="19.5" customHeight="1" x14ac:dyDescent="0.25">
      <c r="C28" s="81" t="s">
        <v>48</v>
      </c>
      <c r="D28" s="81"/>
      <c r="E28" s="31"/>
      <c r="F28" s="33"/>
    </row>
    <row r="29" spans="1:6" s="29" customFormat="1" ht="19.5" customHeight="1" x14ac:dyDescent="0.25">
      <c r="C29" s="75" t="s">
        <v>16</v>
      </c>
      <c r="D29" s="75"/>
      <c r="E29" s="42"/>
      <c r="F29" s="33"/>
    </row>
    <row r="30" spans="1:6" s="29" customFormat="1" ht="19.5" customHeight="1" x14ac:dyDescent="0.25">
      <c r="C30" s="6"/>
      <c r="D30" s="4"/>
      <c r="E30" s="4"/>
      <c r="F30" s="33"/>
    </row>
    <row r="31" spans="1:6" s="29" customFormat="1" ht="19.5" customHeight="1" x14ac:dyDescent="0.25">
      <c r="C31" s="6"/>
      <c r="D31" s="4"/>
      <c r="E31" s="4"/>
      <c r="F31" s="33"/>
    </row>
    <row r="32" spans="1:6" s="29" customFormat="1" ht="19.5" customHeight="1" x14ac:dyDescent="0.25">
      <c r="C32" s="6"/>
      <c r="D32" s="4"/>
      <c r="E32" s="4"/>
      <c r="F32" s="33"/>
    </row>
    <row r="33" spans="3:6" s="29" customFormat="1" ht="19.5" customHeight="1" x14ac:dyDescent="0.25">
      <c r="C33" s="6"/>
      <c r="D33" s="4"/>
      <c r="E33" s="4"/>
      <c r="F33" s="33"/>
    </row>
    <row r="34" spans="3:6" s="29" customFormat="1" ht="19.5" customHeight="1" x14ac:dyDescent="0.25">
      <c r="C34" s="6"/>
      <c r="D34" s="4"/>
      <c r="E34" s="4"/>
      <c r="F34" s="33"/>
    </row>
    <row r="35" spans="3:6" s="29" customFormat="1" ht="19.5" customHeight="1" x14ac:dyDescent="0.25">
      <c r="C35" s="6"/>
      <c r="D35" s="4"/>
      <c r="E35" s="4"/>
      <c r="F35" s="33"/>
    </row>
    <row r="36" spans="3:6" s="29" customFormat="1" ht="19.5" customHeight="1" x14ac:dyDescent="0.25">
      <c r="C36" s="75"/>
      <c r="D36" s="75"/>
      <c r="E36" s="42"/>
      <c r="F36" s="33"/>
    </row>
    <row r="37" spans="3:6" s="29" customFormat="1" ht="19.5" customHeight="1" x14ac:dyDescent="0.25">
      <c r="D37" s="38"/>
      <c r="F37" s="33"/>
    </row>
    <row r="38" spans="3:6" s="29" customFormat="1" ht="19.5" customHeight="1" x14ac:dyDescent="0.25">
      <c r="D38" s="38"/>
      <c r="F38" s="33"/>
    </row>
    <row r="39" spans="3:6" s="29" customFormat="1" ht="19.5" customHeight="1" x14ac:dyDescent="0.25">
      <c r="D39" s="38"/>
      <c r="F39" s="33"/>
    </row>
    <row r="40" spans="3:6" s="29" customFormat="1" ht="19.5" customHeight="1" x14ac:dyDescent="0.25">
      <c r="D40" s="38"/>
      <c r="F40" s="33"/>
    </row>
    <row r="41" spans="3:6" s="29" customFormat="1" ht="19.5" customHeight="1" x14ac:dyDescent="0.25">
      <c r="D41" s="38"/>
      <c r="F41" s="33"/>
    </row>
    <row r="42" spans="3:6" ht="19.5" customHeight="1" x14ac:dyDescent="0.25"/>
    <row r="43" spans="3:6" ht="19.5" customHeight="1" x14ac:dyDescent="0.25"/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</sheetData>
  <mergeCells count="8">
    <mergeCell ref="C36:D36"/>
    <mergeCell ref="A1:D1"/>
    <mergeCell ref="B6:C6"/>
    <mergeCell ref="B10:C10"/>
    <mergeCell ref="B26:C26"/>
    <mergeCell ref="C28:D28"/>
    <mergeCell ref="C29:D29"/>
    <mergeCell ref="B4:C4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tabSelected="1" topLeftCell="A3" workbookViewId="0">
      <selection activeCell="G24" sqref="G24"/>
    </sheetView>
  </sheetViews>
  <sheetFormatPr defaultRowHeight="16.5" x14ac:dyDescent="0.25"/>
  <cols>
    <col min="1" max="1" width="30.140625" style="4" customWidth="1"/>
    <col min="2" max="2" width="11.7109375" style="5" customWidth="1"/>
    <col min="3" max="4" width="18.7109375" style="6" customWidth="1"/>
    <col min="5" max="5" width="15.42578125" style="6" customWidth="1"/>
    <col min="6" max="6" width="19.140625" style="6" customWidth="1"/>
    <col min="7" max="7" width="19.140625" style="4" customWidth="1"/>
    <col min="8" max="8" width="6.85546875" style="5" customWidth="1"/>
    <col min="9" max="9" width="15.42578125" style="6" customWidth="1"/>
    <col min="10" max="10" width="13.140625" style="4" customWidth="1"/>
    <col min="11" max="11" width="18.42578125" style="4" customWidth="1"/>
    <col min="12" max="12" width="17.85546875" style="6" hidden="1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x14ac:dyDescent="0.25">
      <c r="A1" s="1" t="s">
        <v>23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26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82" t="s">
        <v>50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7">
        <f>+G7-L5</f>
        <v>-57371177.777777776</v>
      </c>
    </row>
    <row r="5" spans="1:12" x14ac:dyDescent="0.25">
      <c r="L5" s="6">
        <f>+L7/L6</f>
        <v>57371177.777777776</v>
      </c>
    </row>
    <row r="6" spans="1:12" s="41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21</v>
      </c>
      <c r="E6" s="11" t="s">
        <v>22</v>
      </c>
      <c r="F6" s="11" t="s">
        <v>24</v>
      </c>
      <c r="G6" s="9" t="s">
        <v>3</v>
      </c>
      <c r="H6" s="10" t="s">
        <v>4</v>
      </c>
      <c r="I6" s="11" t="s">
        <v>5</v>
      </c>
      <c r="J6" s="46" t="s">
        <v>25</v>
      </c>
      <c r="K6" s="9" t="s">
        <v>6</v>
      </c>
      <c r="L6" s="12">
        <v>0.22500000000000001</v>
      </c>
    </row>
    <row r="7" spans="1:12" s="1" customFormat="1" hidden="1" x14ac:dyDescent="0.25">
      <c r="A7" s="13" t="s">
        <v>7</v>
      </c>
      <c r="B7" s="14">
        <f>C7/C17</f>
        <v>0</v>
      </c>
      <c r="C7" s="15">
        <f>+C8</f>
        <v>0</v>
      </c>
      <c r="D7" s="15"/>
      <c r="E7" s="15"/>
      <c r="F7" s="15"/>
      <c r="G7" s="16">
        <f>+B7*G17</f>
        <v>0</v>
      </c>
      <c r="H7" s="17">
        <v>0.2</v>
      </c>
      <c r="I7" s="15">
        <f>+H7*G7</f>
        <v>0</v>
      </c>
      <c r="J7" s="18">
        <v>0</v>
      </c>
      <c r="K7" s="16">
        <f>+I7-J7</f>
        <v>0</v>
      </c>
      <c r="L7" s="3">
        <v>12908515</v>
      </c>
    </row>
    <row r="8" spans="1:12" hidden="1" x14ac:dyDescent="0.25">
      <c r="A8" s="19">
        <v>5112</v>
      </c>
      <c r="B8" s="20"/>
      <c r="C8" s="21">
        <v>0</v>
      </c>
      <c r="D8" s="21"/>
      <c r="E8" s="21"/>
      <c r="F8" s="21"/>
      <c r="G8" s="19"/>
      <c r="H8" s="22"/>
      <c r="I8" s="21"/>
      <c r="J8" s="19"/>
      <c r="K8" s="19"/>
    </row>
    <row r="9" spans="1:12" s="1" customFormat="1" ht="30.75" customHeight="1" x14ac:dyDescent="0.25">
      <c r="A9" s="23" t="s">
        <v>17</v>
      </c>
      <c r="B9" s="73">
        <f>C9/C17</f>
        <v>4.0596468543028362E-2</v>
      </c>
      <c r="C9" s="48">
        <f>C10</f>
        <v>1591565000</v>
      </c>
      <c r="D9" s="48">
        <f>D10</f>
        <v>1419693392</v>
      </c>
      <c r="E9" s="48">
        <f>E17-E11-E13</f>
        <v>54236497.93089366</v>
      </c>
      <c r="F9" s="48">
        <f>F17-F13-F11</f>
        <v>34217950.324354835</v>
      </c>
      <c r="G9" s="49">
        <f>C9-D9-E9-F9</f>
        <v>83417159.744751513</v>
      </c>
      <c r="H9" s="50">
        <v>0</v>
      </c>
      <c r="I9" s="48">
        <f>G9*H9</f>
        <v>0</v>
      </c>
      <c r="J9" s="49">
        <f>+I9</f>
        <v>0</v>
      </c>
      <c r="K9" s="49">
        <f>+I9-J9</f>
        <v>0</v>
      </c>
      <c r="L9" s="3"/>
    </row>
    <row r="10" spans="1:12" ht="21.75" customHeight="1" x14ac:dyDescent="0.25">
      <c r="A10" s="19">
        <v>5112</v>
      </c>
      <c r="B10" s="47"/>
      <c r="C10" s="51">
        <f>'BANG KE DOANH THU CT 2022'!D6</f>
        <v>1591565000</v>
      </c>
      <c r="D10" s="51">
        <f>'BANG KE DOANH THU CT 2022'!E6</f>
        <v>1419693392</v>
      </c>
      <c r="E10" s="52"/>
      <c r="F10" s="52"/>
      <c r="G10" s="53"/>
      <c r="H10" s="54"/>
      <c r="I10" s="48"/>
      <c r="J10" s="49"/>
      <c r="K10" s="49"/>
    </row>
    <row r="11" spans="1:12" ht="21.75" customHeight="1" x14ac:dyDescent="0.25">
      <c r="A11" s="23" t="s">
        <v>51</v>
      </c>
      <c r="B11" s="73">
        <f>C11/C17</f>
        <v>6.9393858350018833E-4</v>
      </c>
      <c r="C11" s="72">
        <f>C12</f>
        <v>27205528</v>
      </c>
      <c r="D11" s="51"/>
      <c r="E11" s="48">
        <f>B11*E17</f>
        <v>927095.38289725175</v>
      </c>
      <c r="F11" s="48">
        <f>B11*F17+1</f>
        <v>584907.95187276159</v>
      </c>
      <c r="G11" s="49">
        <f>C11-E11-F11-1</f>
        <v>25693523.665229987</v>
      </c>
      <c r="H11" s="50">
        <v>0</v>
      </c>
      <c r="I11" s="48">
        <f>G11*H11</f>
        <v>0</v>
      </c>
      <c r="J11" s="49">
        <f t="shared" ref="J11" si="0">+I11</f>
        <v>0</v>
      </c>
      <c r="K11" s="49">
        <f t="shared" ref="K11" si="1">+I11-J11</f>
        <v>0</v>
      </c>
    </row>
    <row r="12" spans="1:12" ht="21.75" customHeight="1" x14ac:dyDescent="0.25">
      <c r="A12" s="19">
        <v>5112</v>
      </c>
      <c r="B12" s="47"/>
      <c r="C12" s="51">
        <v>27205528</v>
      </c>
      <c r="D12" s="51"/>
      <c r="E12" s="52"/>
      <c r="F12" s="52"/>
      <c r="G12" s="53"/>
      <c r="H12" s="54"/>
      <c r="I12" s="52"/>
      <c r="J12" s="53"/>
      <c r="K12" s="53"/>
    </row>
    <row r="13" spans="1:12" s="1" customFormat="1" x14ac:dyDescent="0.25">
      <c r="A13" s="24" t="s">
        <v>18</v>
      </c>
      <c r="B13" s="73">
        <f>C13/C17</f>
        <v>0.95870959287347146</v>
      </c>
      <c r="C13" s="48">
        <f>C14+C15+C16</f>
        <v>37585747922</v>
      </c>
      <c r="D13" s="48">
        <f>D14+D15+D16</f>
        <v>34552130171</v>
      </c>
      <c r="E13" s="48">
        <f>E17*B13</f>
        <v>1280826946.6862092</v>
      </c>
      <c r="F13" s="48">
        <f>B13*F17</f>
        <v>808077139.72377241</v>
      </c>
      <c r="G13" s="49">
        <f>C13-D13-E13-F13</f>
        <v>944713664.59001839</v>
      </c>
      <c r="H13" s="50">
        <v>0.2</v>
      </c>
      <c r="I13" s="48">
        <f>+H13*G13</f>
        <v>188942732.91800368</v>
      </c>
      <c r="J13" s="49"/>
      <c r="K13" s="49">
        <f>+I13-J13</f>
        <v>188942732.91800368</v>
      </c>
      <c r="L13" s="3"/>
    </row>
    <row r="14" spans="1:12" x14ac:dyDescent="0.25">
      <c r="A14" s="19">
        <v>5112</v>
      </c>
      <c r="B14" s="55"/>
      <c r="C14" s="52">
        <f>'BANG KE DOANH THU CT 2022'!D10</f>
        <v>37574506984</v>
      </c>
      <c r="D14" s="52">
        <f>'BANG KE DOANH THU CT 2022'!E10</f>
        <v>34552130171</v>
      </c>
      <c r="E14" s="52"/>
      <c r="F14" s="52"/>
      <c r="G14" s="53"/>
      <c r="H14" s="54"/>
      <c r="I14" s="52"/>
      <c r="J14" s="53"/>
      <c r="K14" s="53"/>
    </row>
    <row r="15" spans="1:12" x14ac:dyDescent="0.25">
      <c r="A15" s="19">
        <v>5151</v>
      </c>
      <c r="B15" s="55"/>
      <c r="C15" s="51">
        <v>331847</v>
      </c>
      <c r="D15" s="52"/>
      <c r="E15" s="52"/>
      <c r="F15" s="52"/>
      <c r="G15" s="53"/>
      <c r="H15" s="54"/>
      <c r="I15" s="52"/>
      <c r="J15" s="53"/>
      <c r="K15" s="53"/>
    </row>
    <row r="16" spans="1:12" x14ac:dyDescent="0.25">
      <c r="A16" s="19">
        <v>711</v>
      </c>
      <c r="B16" s="55"/>
      <c r="C16" s="51">
        <f>38114619-27205528</f>
        <v>10909091</v>
      </c>
      <c r="D16" s="52"/>
      <c r="E16" s="52"/>
      <c r="F16" s="52"/>
      <c r="G16" s="53"/>
      <c r="H16" s="54"/>
      <c r="I16" s="52"/>
      <c r="J16" s="53"/>
      <c r="K16" s="53"/>
    </row>
    <row r="17" spans="1:12" s="1" customFormat="1" x14ac:dyDescent="0.25">
      <c r="A17" s="18" t="s">
        <v>8</v>
      </c>
      <c r="B17" s="47"/>
      <c r="C17" s="58">
        <f>+C13+C11+C9</f>
        <v>39204518450</v>
      </c>
      <c r="D17" s="56">
        <f>D9+D13</f>
        <v>35971823563</v>
      </c>
      <c r="E17" s="57">
        <v>1335990540</v>
      </c>
      <c r="F17" s="57">
        <f>842879998</f>
        <v>842879998</v>
      </c>
      <c r="G17" s="48">
        <f>G9+G11+G13+1</f>
        <v>1053824348.9999999</v>
      </c>
      <c r="H17" s="48"/>
      <c r="I17" s="48">
        <f>I13+I9+I7</f>
        <v>188942732.91800368</v>
      </c>
      <c r="J17" s="48">
        <f>J13+J9+J7</f>
        <v>0</v>
      </c>
      <c r="K17" s="48">
        <f>K13+K9+K7</f>
        <v>188942732.91800368</v>
      </c>
      <c r="L17" s="3"/>
    </row>
    <row r="18" spans="1:12" hidden="1" x14ac:dyDescent="0.25">
      <c r="G18" s="25" t="e">
        <f>+C17-#REF!-#REF!-#REF!</f>
        <v>#REF!</v>
      </c>
    </row>
    <row r="19" spans="1:12" hidden="1" x14ac:dyDescent="0.25">
      <c r="C19" s="6">
        <v>10793007946</v>
      </c>
      <c r="G19" s="6">
        <v>720227155</v>
      </c>
      <c r="J19" s="4">
        <v>74441349</v>
      </c>
    </row>
    <row r="20" spans="1:12" hidden="1" x14ac:dyDescent="0.25">
      <c r="C20" s="6">
        <v>454939007</v>
      </c>
      <c r="G20" s="25">
        <f>G19-G17</f>
        <v>-333597193.99999988</v>
      </c>
      <c r="J20" s="25">
        <f>+J19-K17</f>
        <v>-114501383.91800368</v>
      </c>
    </row>
    <row r="21" spans="1:12" hidden="1" x14ac:dyDescent="0.25">
      <c r="C21" s="6">
        <v>781954</v>
      </c>
      <c r="I21" s="6">
        <v>54680132</v>
      </c>
    </row>
    <row r="22" spans="1:12" hidden="1" x14ac:dyDescent="0.25">
      <c r="C22" s="6">
        <f>+C21+C20+C19</f>
        <v>11248728907</v>
      </c>
      <c r="G22" s="6"/>
      <c r="I22" s="6">
        <f>+I21-I7</f>
        <v>54680132</v>
      </c>
    </row>
    <row r="23" spans="1:12" ht="29.25" customHeight="1" x14ac:dyDescent="0.25">
      <c r="G23" s="25"/>
      <c r="H23" s="31"/>
      <c r="I23" s="83" t="s">
        <v>48</v>
      </c>
      <c r="J23" s="83"/>
      <c r="K23" s="83"/>
    </row>
    <row r="24" spans="1:12" x14ac:dyDescent="0.25">
      <c r="A24" s="84" t="s">
        <v>9</v>
      </c>
      <c r="B24" s="84"/>
      <c r="F24" s="6" t="s">
        <v>54</v>
      </c>
      <c r="G24" s="25">
        <f>G17-G13</f>
        <v>109110684.40998149</v>
      </c>
      <c r="I24" s="75" t="s">
        <v>10</v>
      </c>
      <c r="J24" s="75"/>
      <c r="K24" s="75"/>
    </row>
    <row r="25" spans="1:12" x14ac:dyDescent="0.25">
      <c r="C25" s="68"/>
      <c r="D25" s="68"/>
      <c r="E25" s="68"/>
      <c r="F25" s="70"/>
      <c r="G25" s="6"/>
    </row>
    <row r="26" spans="1:12" x14ac:dyDescent="0.25">
      <c r="C26" s="67"/>
      <c r="D26" s="67"/>
      <c r="E26" s="67"/>
      <c r="F26" s="67"/>
      <c r="G26" s="6"/>
    </row>
    <row r="27" spans="1:12" x14ac:dyDescent="0.25">
      <c r="G27" s="6"/>
    </row>
    <row r="28" spans="1:12" x14ac:dyDescent="0.25">
      <c r="G28" s="6"/>
    </row>
    <row r="30" spans="1:12" x14ac:dyDescent="0.25">
      <c r="G30" s="6"/>
    </row>
    <row r="31" spans="1:12" s="1" customFormat="1" x14ac:dyDescent="0.25">
      <c r="B31" s="2"/>
      <c r="C31" s="3"/>
      <c r="D31" s="3"/>
      <c r="E31" s="3"/>
      <c r="F31" s="3"/>
      <c r="G31" s="3"/>
      <c r="H31" s="2"/>
      <c r="I31" s="75" t="s">
        <v>27</v>
      </c>
      <c r="J31" s="75"/>
      <c r="K31" s="75"/>
      <c r="L31" s="3"/>
    </row>
    <row r="32" spans="1:12" x14ac:dyDescent="0.25">
      <c r="G32" s="25"/>
    </row>
  </sheetData>
  <mergeCells count="5">
    <mergeCell ref="A4:K4"/>
    <mergeCell ref="I23:K23"/>
    <mergeCell ref="A24:B24"/>
    <mergeCell ref="I24:K24"/>
    <mergeCell ref="I31:K31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2022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2023-09-26T09:24:42Z</dcterms:modified>
</cp:coreProperties>
</file>