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DC623E6-787F-4496-93B1-28AAC97A6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 KE DOANH THU 2025" sheetId="6" r:id="rId1"/>
    <sheet name="TINH THUE TND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9" l="1"/>
  <c r="B9" i="9"/>
  <c r="B11" i="9"/>
  <c r="E11" i="9"/>
  <c r="D18" i="6"/>
  <c r="E4" i="6"/>
  <c r="D8" i="9" s="1"/>
  <c r="D7" i="9" s="1"/>
  <c r="F4" i="6"/>
  <c r="D4" i="6"/>
  <c r="E15" i="6"/>
  <c r="F15" i="6"/>
  <c r="D15" i="6"/>
  <c r="F13" i="6"/>
  <c r="F12" i="6"/>
  <c r="F11" i="6"/>
  <c r="F10" i="6"/>
  <c r="D11" i="9"/>
  <c r="C11" i="9"/>
  <c r="F9" i="6"/>
  <c r="F6" i="6"/>
  <c r="F7" i="6"/>
  <c r="F8" i="6"/>
  <c r="C8" i="9"/>
  <c r="C7" i="9" s="1"/>
  <c r="D12" i="9" l="1"/>
  <c r="D10" i="9"/>
  <c r="D13" i="9" s="1"/>
  <c r="C12" i="9"/>
  <c r="C10" i="9" s="1"/>
  <c r="F5" i="6"/>
  <c r="F16" i="6"/>
  <c r="F14" i="6"/>
  <c r="F17" i="6"/>
  <c r="C13" i="9" l="1"/>
  <c r="F18" i="6"/>
  <c r="E9" i="9" l="1"/>
  <c r="F9" i="9" s="1"/>
  <c r="B12" i="9"/>
  <c r="E12" i="9" s="1"/>
  <c r="F12" i="9" s="1"/>
  <c r="C18" i="9"/>
  <c r="E10" i="9" l="1"/>
  <c r="F11" i="9"/>
  <c r="F10" i="9" s="1"/>
  <c r="B7" i="9"/>
  <c r="E8" i="9"/>
  <c r="F14" i="9"/>
  <c r="B10" i="9"/>
  <c r="E7" i="9" l="1"/>
  <c r="F8" i="9"/>
  <c r="F7" i="9" s="1"/>
  <c r="B13" i="9"/>
  <c r="E18" i="6"/>
  <c r="H7" i="9" l="1"/>
  <c r="I7" i="9" s="1"/>
  <c r="F13" i="9"/>
  <c r="F25" i="9" s="1"/>
  <c r="J7" i="9" l="1"/>
  <c r="H10" i="9"/>
  <c r="H13" i="9" s="1"/>
  <c r="F26" i="9" s="1"/>
  <c r="F27" i="9" s="1"/>
  <c r="F16" i="9"/>
  <c r="H18" i="9"/>
  <c r="I13" i="9" l="1"/>
  <c r="J10" i="9"/>
  <c r="J13" i="9" l="1"/>
  <c r="I16" i="9" s="1"/>
</calcChain>
</file>

<file path=xl/sharedStrings.xml><?xml version="1.0" encoding="utf-8"?>
<sst xmlns="http://schemas.openxmlformats.org/spreadsheetml/2006/main" count="48" uniqueCount="48">
  <si>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</si>
  <si>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</si>
  <si>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</si>
  <si>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</si>
  <si>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</si>
  <si>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</si>
  <si>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</si>
  <si>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</si>
  <si>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GIÁM ĐỐC</t>
  </si>
  <si>
    <t>CTY CP Công Trình Đô Thị Trà Vinh</t>
  </si>
  <si>
    <t>TỔNG CỘNG</t>
  </si>
  <si>
    <t>STT</t>
  </si>
  <si>
    <t>DT THUẦN</t>
  </si>
  <si>
    <t xml:space="preserve">                                                                                                           GIÁM ĐỐC</t>
  </si>
  <si>
    <t>LỢI NHUẬN</t>
  </si>
  <si>
    <t>GIÁ VỐN</t>
  </si>
  <si>
    <t>CHI PHÍ 
QUẢN LÝ</t>
  </si>
  <si>
    <t>BẢNG XÁC ĐỊNH THU NHẬP CHỊU THUẾ TNDN NĂM 2025</t>
  </si>
  <si>
    <t>Trà Vinh, ngày 31 tháng 12 năm 2025</t>
  </si>
  <si>
    <t>GIÁ THÀNH</t>
  </si>
  <si>
    <t>DOANH THU TẠI ĐỊA BÀN ĐẶC BIỆT KHÓ KHĂN</t>
  </si>
  <si>
    <t>DOANH THU TẠI ĐỊA BÀN KHÓ KHĂN</t>
  </si>
  <si>
    <t>DT ĐỊA BÀN ĐẶC
 BIỆT KHÓ KHĂN</t>
  </si>
  <si>
    <t xml:space="preserve">Miễn giảm 50%
</t>
  </si>
  <si>
    <t>miễn 4 giảm 9</t>
  </si>
  <si>
    <t>15 năm thuế suất 10%</t>
  </si>
  <si>
    <t>DT ĐỊA BÀN
 KHÓ KHĂN</t>
  </si>
  <si>
    <t xml:space="preserve">TÊN </t>
  </si>
  <si>
    <t>BẢNG KÊ DOANH THU TRONG NĂM 2025</t>
  </si>
  <si>
    <t>thuế suất ưu đãi</t>
  </si>
  <si>
    <t>chênh lệch</t>
  </si>
  <si>
    <t xml:space="preserve"> Thanh toán gói thầu 01 tư vấn khảo sát địa hình bước lập báo cáo nghiên cứu khả thi thuộc dự án : Lắp đặt hệ thống thoát nước và lát gạch vỉa hè đường Bạch Đằng (đoạn từ Chu Văn An đến Cầu Tréo) theo HĐ số 35a/2024/HĐ-KS ngày 10/07/2024</t>
  </si>
  <si>
    <t>Tư vấn Khảo sát, lập hồ sơ Báo cáo kinh tế kỹ thuật côngtrình :Nạo vét hệ thống thủy lợi nội đồng và lắp đặt bọng trên địa bàn phường 7, 9 và xã Long Đức, thành phố Trà Vinh theo HĐ số 01/2025/HĐ-BCKTKT ngày 17/3/2025</t>
  </si>
  <si>
    <t xml:space="preserve">  Tư vấn khảo sát địa hình và lập Báo cáo kinh tế - kỹ thuật thuộc dự án : Nâng cấp các tuyến hẻm trên địa bàn phường Trà Vinh</t>
  </si>
  <si>
    <t xml:space="preserve"> Tư vấn khảo sát địa hình và lập Báo cáo kinh tế - kỹ thuật thuộc dự ánCải tạo vỉa hè các tuyến đường trên địa bàn phường Trà Vinh</t>
  </si>
  <si>
    <t>2025_CT:khối lượng hoàn thành công trình: Nâng cấp sân đường, hệ thống thoát nước cải tạo hội trường Ban chỉ huy quân sự thành phố Trà Vinh</t>
  </si>
  <si>
    <t>  Tư vấn thẩm tra thiết kế và dự toán thuộc dự án Cải tạo nhà thi đấu thể thao phường Trà Vinh</t>
  </si>
  <si>
    <t>Tư vấn thẩm tra thiết kế và dự toán thuộc dự án Xây dựng, sửa chữa nâng cấp 
các tuyến đường và hệ thống thoát nước thuộc Phường Hòa Thuận</t>
  </si>
  <si>
    <t xml:space="preserve">  Tư vấn thẩm tra thiết kế và dự toán thuộc dự án Sửa chữa mặt đường hư hỏng, 
sụp lún đường nội ô phường Trà Vinh</t>
  </si>
  <si>
    <t xml:space="preserve">  Tư vấn lập báo cáo nghiên cứu khả thi thuộc dự án: Lắp đặt hệ thống thoát nước và lát gạch vỉa hè đường Bạch Đằng (đoạn từ Chu Văn An đến Cầu Tréo) theo HĐ số 35b/2024/HĐ-BCNCKT ngày 19/07/2024</t>
  </si>
  <si>
    <t xml:space="preserve">  Tư vấn khảo sát địa hình và tư vấn thiết kế bản vẽ thi công và dự toán công trình: Lắp đặt hệ thống thoát nước và lát gạch vỉa hè đường Bạch Đằng (đoạn từ Chu Văn An đến Cầu Tréo) theo HĐ số 02/2025/HĐ-TKBVTC</t>
  </si>
  <si>
    <t xml:space="preserve"> Tư vấn thiết kế bản vẽ thi công và dự toán Hạng mục di dời điện và hoàn trả hệ thống cấp nước thuộc GPMB. Dự án : Lắp đặt hệ thống thoát nước và lát gạch vỉa hè đường Bạch Đằng (đoạn từ Chu Văn An đến Cầu Tréo)</t>
  </si>
  <si>
    <t xml:space="preserve"> Tư vấn giám sát thi công xây dựng thuộc dự án Cải tạo và mua sắm trang thiết bị các điểm trường trên địa bàn thành phố Trà Vinh năm 2025</t>
  </si>
  <si>
    <t>Song Lộc, ngày 31 tháng 12 năm 2025</t>
  </si>
  <si>
    <t>CÔNG TY TNHH Tư Vấn Xây Dựng Gia Tiến</t>
  </si>
  <si>
    <t>MST: 21006322239</t>
  </si>
  <si>
    <t>tính từ 2018</t>
  </si>
  <si>
    <t>thuế suất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</si>
</sst>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0.0%"/>
  </numFmts>
  <fonts count="1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166" fontId="3" fillId="0" borderId="0" xfId="1" applyNumberFormat="1" applyFont="1"/>
    <xf numFmtId="0" fontId="4" fillId="0" borderId="0" xfId="0" applyFont="1"/>
    <xf numFmtId="0" fontId="6" fillId="0" borderId="0" xfId="0" applyFont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0" fontId="4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6" fontId="3" fillId="0" borderId="0" xfId="1" applyNumberFormat="1" applyFont="1" applyFill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5" fontId="5" fillId="0" borderId="5" xfId="1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2" fillId="0" borderId="0" xfId="0" applyFont="1"/>
    <xf numFmtId="9" fontId="2" fillId="0" borderId="0" xfId="2" applyFont="1" applyFill="1"/>
    <xf numFmtId="166" fontId="2" fillId="0" borderId="0" xfId="1" applyNumberFormat="1" applyFont="1" applyFill="1"/>
    <xf numFmtId="9" fontId="3" fillId="0" borderId="0" xfId="2" applyFont="1" applyFill="1"/>
    <xf numFmtId="0" fontId="2" fillId="0" borderId="0" xfId="0" applyFont="1" applyAlignment="1">
      <alignment horizontal="center"/>
    </xf>
    <xf numFmtId="166" fontId="3" fillId="0" borderId="0" xfId="0" applyNumberFormat="1" applyFont="1"/>
    <xf numFmtId="0" fontId="10" fillId="0" borderId="1" xfId="0" applyFont="1" applyBorder="1"/>
    <xf numFmtId="167" fontId="10" fillId="0" borderId="1" xfId="2" applyNumberFormat="1" applyFont="1" applyFill="1" applyBorder="1"/>
    <xf numFmtId="166" fontId="10" fillId="0" borderId="1" xfId="1" applyNumberFormat="1" applyFont="1" applyFill="1" applyBorder="1"/>
    <xf numFmtId="166" fontId="10" fillId="0" borderId="1" xfId="0" applyNumberFormat="1" applyFont="1" applyBorder="1"/>
    <xf numFmtId="9" fontId="10" fillId="0" borderId="1" xfId="2" applyFont="1" applyFill="1" applyBorder="1"/>
    <xf numFmtId="0" fontId="6" fillId="0" borderId="1" xfId="0" applyFont="1" applyBorder="1"/>
    <xf numFmtId="3" fontId="8" fillId="0" borderId="1" xfId="0" applyNumberFormat="1" applyFont="1" applyBorder="1"/>
    <xf numFmtId="166" fontId="6" fillId="0" borderId="1" xfId="1" applyNumberFormat="1" applyFont="1" applyFill="1" applyBorder="1"/>
    <xf numFmtId="9" fontId="6" fillId="0" borderId="1" xfId="2" applyFont="1" applyFill="1" applyBorder="1"/>
    <xf numFmtId="9" fontId="6" fillId="0" borderId="2" xfId="2" applyFont="1" applyFill="1" applyBorder="1"/>
    <xf numFmtId="166" fontId="10" fillId="0" borderId="2" xfId="1" applyNumberFormat="1" applyFont="1" applyFill="1" applyBorder="1"/>
    <xf numFmtId="3" fontId="11" fillId="0" borderId="1" xfId="0" applyNumberFormat="1" applyFont="1" applyBorder="1" applyAlignment="1">
      <alignment horizontal="right" vertical="center" wrapText="1"/>
    </xf>
    <xf numFmtId="9" fontId="6" fillId="0" borderId="0" xfId="2" applyFont="1" applyFill="1"/>
    <xf numFmtId="166" fontId="6" fillId="0" borderId="0" xfId="1" applyNumberFormat="1" applyFont="1" applyFill="1"/>
    <xf numFmtId="166" fontId="6" fillId="0" borderId="0" xfId="0" applyNumberFormat="1" applyFont="1"/>
    <xf numFmtId="166" fontId="6" fillId="0" borderId="0" xfId="1" applyNumberFormat="1" applyFont="1" applyFill="1" applyAlignment="1"/>
    <xf numFmtId="0" fontId="7" fillId="0" borderId="4" xfId="0" applyFont="1" applyBorder="1" applyAlignment="1">
      <alignment horizontal="center" vertical="center"/>
    </xf>
    <xf numFmtId="0" fontId="10" fillId="2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9" fontId="10" fillId="0" borderId="1" xfId="2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166" fontId="6" fillId="0" borderId="1" xfId="0" applyNumberFormat="1" applyFont="1" applyBorder="1"/>
    <xf numFmtId="166" fontId="10" fillId="2" borderId="1" xfId="1" applyNumberFormat="1" applyFont="1" applyFill="1" applyBorder="1"/>
    <xf numFmtId="0" fontId="8" fillId="0" borderId="0" xfId="0" applyFont="1"/>
    <xf numFmtId="3" fontId="12" fillId="0" borderId="6" xfId="0" applyNumberFormat="1" applyFont="1" applyBorder="1" applyAlignment="1">
      <alignment horizontal="right" wrapText="1"/>
    </xf>
    <xf numFmtId="10" fontId="6" fillId="0" borderId="1" xfId="2" applyNumberFormat="1" applyFont="1" applyFill="1" applyBorder="1"/>
    <xf numFmtId="167" fontId="6" fillId="0" borderId="2" xfId="2" applyNumberFormat="1" applyFont="1" applyFill="1" applyBorder="1"/>
    <xf numFmtId="166" fontId="6" fillId="0" borderId="0" xfId="1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166" fontId="6" fillId="0" borderId="0" xfId="1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Fill="1" applyAlignment="1">
      <alignment horizontal="center"/>
    </xf>
    <xf numFmtId="166" fontId="2" fillId="0" borderId="0" xfId="1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6" fontId="3" fillId="0" borderId="0" xfId="1" applyNumberFormat="1" applyFont="1" applyAlignment="1">
      <alignment horizontal="right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abSelected="1" topLeftCell="A9" zoomScale="90" zoomScaleNormal="90" workbookViewId="0">
      <selection activeCell="D19" sqref="D19"/>
    </sheetView>
  </sheetViews>
  <sheetFormatPr defaultColWidth="8" defaultRowHeight="13.8"/>
  <cols>
    <col min="1" max="1" width="6.69921875" style="4" customWidth="1"/>
    <col min="2" max="2" width="32.09765625" style="4" hidden="1" customWidth="1"/>
    <col min="3" max="3" width="80.3984375" style="4" customWidth="1"/>
    <col min="4" max="4" width="20.3984375" style="6" customWidth="1"/>
    <col min="5" max="5" width="20" style="4" customWidth="1"/>
    <col min="6" max="6" width="22.59765625" style="10" customWidth="1"/>
    <col min="7" max="16384" width="8" style="4"/>
  </cols>
  <sheetData>
    <row r="1" spans="1:6" s="3" customFormat="1" ht="37.5" customHeight="1">
      <c r="A1" s="70" t="s">
        <v>28</v>
      </c>
      <c r="B1" s="70"/>
      <c r="C1" s="70"/>
      <c r="D1" s="70"/>
      <c r="E1" s="70"/>
      <c r="F1" s="70"/>
    </row>
    <row r="2" spans="1:6" s="3" customFormat="1" ht="20.399999999999999">
      <c r="B2" s="14"/>
      <c r="C2" s="14"/>
      <c r="D2" s="14"/>
      <c r="F2" s="8"/>
    </row>
    <row r="3" spans="1:6" s="11" customFormat="1" ht="25.5" customHeight="1">
      <c r="A3" s="16" t="s">
        <v>11</v>
      </c>
      <c r="B3" s="16"/>
      <c r="C3" s="16" t="s">
        <v>27</v>
      </c>
      <c r="D3" s="20" t="s">
        <v>12</v>
      </c>
      <c r="E3" s="16" t="s">
        <v>19</v>
      </c>
      <c r="F3" s="20" t="s">
        <v>14</v>
      </c>
    </row>
    <row r="4" spans="1:6" s="11" customFormat="1" ht="25.5" customHeight="1">
      <c r="A4" s="16"/>
      <c r="B4" s="16"/>
      <c r="C4" s="57" t="s">
        <v>20</v>
      </c>
      <c r="D4" s="58">
        <f>D5+D6+D7+D8+D9+D10+D11+D12+D13+D14</f>
        <v>681033702</v>
      </c>
      <c r="E4" s="58">
        <f t="shared" ref="E4:F4" si="0">E5+E6+E7+E8+E9+E10+E11+E12+E13+E14</f>
        <v>399102913</v>
      </c>
      <c r="F4" s="58">
        <f t="shared" si="0"/>
        <v>281930789</v>
      </c>
    </row>
    <row r="5" spans="1:6" s="11" customFormat="1" ht="25.5" customHeight="1">
      <c r="A5" s="16">
        <v>1</v>
      </c>
      <c r="B5" s="16"/>
      <c r="C5" s="65" t="s">
        <v>36</v>
      </c>
      <c r="D5" s="22">
        <v>9397222</v>
      </c>
      <c r="E5" s="26">
        <v>5507009</v>
      </c>
      <c r="F5" s="24">
        <f>D5-E5</f>
        <v>3890213</v>
      </c>
    </row>
    <row r="6" spans="1:6" s="11" customFormat="1" ht="34.5" customHeight="1">
      <c r="A6" s="50">
        <v>2</v>
      </c>
      <c r="B6" s="16"/>
      <c r="C6" s="61" t="s">
        <v>38</v>
      </c>
      <c r="D6" s="22">
        <v>5141667</v>
      </c>
      <c r="E6" s="26">
        <v>3013146</v>
      </c>
      <c r="F6" s="24">
        <f t="shared" ref="F6:F8" si="1">D6-E6</f>
        <v>2128521</v>
      </c>
    </row>
    <row r="7" spans="1:6" s="11" customFormat="1" ht="31.5" customHeight="1">
      <c r="A7" s="16">
        <v>3</v>
      </c>
      <c r="B7" s="16"/>
      <c r="C7" s="61" t="s">
        <v>37</v>
      </c>
      <c r="D7" s="22">
        <v>21851852</v>
      </c>
      <c r="E7" s="26">
        <v>12805736</v>
      </c>
      <c r="F7" s="24">
        <f t="shared" si="1"/>
        <v>9046116</v>
      </c>
    </row>
    <row r="8" spans="1:6" s="11" customFormat="1" ht="31.5" customHeight="1">
      <c r="A8" s="50"/>
      <c r="B8" s="16"/>
      <c r="C8" s="61" t="s">
        <v>39</v>
      </c>
      <c r="D8" s="66">
        <v>52196296</v>
      </c>
      <c r="E8" s="66">
        <v>30588345</v>
      </c>
      <c r="F8" s="24">
        <f t="shared" si="1"/>
        <v>21607951</v>
      </c>
    </row>
    <row r="9" spans="1:6" s="11" customFormat="1" ht="55.5" customHeight="1">
      <c r="A9" s="50"/>
      <c r="B9" s="16"/>
      <c r="C9" s="61" t="s">
        <v>41</v>
      </c>
      <c r="D9" s="22">
        <v>37200925</v>
      </c>
      <c r="E9" s="26">
        <v>21800680</v>
      </c>
      <c r="F9" s="24">
        <f>D9-E9</f>
        <v>15400245</v>
      </c>
    </row>
    <row r="10" spans="1:6" s="5" customFormat="1" ht="45" customHeight="1">
      <c r="A10" s="16">
        <v>1</v>
      </c>
      <c r="B10" s="17" t="s">
        <v>9</v>
      </c>
      <c r="C10" s="61" t="s">
        <v>31</v>
      </c>
      <c r="D10" s="23">
        <v>41596296</v>
      </c>
      <c r="E10" s="18">
        <v>24376478</v>
      </c>
      <c r="F10" s="24">
        <f>D10-E10</f>
        <v>17219818</v>
      </c>
    </row>
    <row r="11" spans="1:6" s="5" customFormat="1" ht="51.75" customHeight="1">
      <c r="A11" s="16">
        <v>2</v>
      </c>
      <c r="B11" s="17"/>
      <c r="C11" s="62" t="s">
        <v>32</v>
      </c>
      <c r="D11" s="59">
        <v>85303704</v>
      </c>
      <c r="E11" s="18">
        <v>49990120</v>
      </c>
      <c r="F11" s="24">
        <f t="shared" ref="F11:F13" si="2">D11-E11</f>
        <v>35313584</v>
      </c>
    </row>
    <row r="12" spans="1:6" s="5" customFormat="1" ht="36.75" customHeight="1">
      <c r="A12" s="16">
        <v>3</v>
      </c>
      <c r="B12" s="17"/>
      <c r="C12" s="62" t="s">
        <v>33</v>
      </c>
      <c r="D12" s="59">
        <v>102184259</v>
      </c>
      <c r="E12" s="18">
        <v>59882551</v>
      </c>
      <c r="F12" s="24">
        <f t="shared" si="2"/>
        <v>42301708</v>
      </c>
    </row>
    <row r="13" spans="1:6" s="5" customFormat="1" ht="36.75" customHeight="1">
      <c r="A13" s="16">
        <v>4</v>
      </c>
      <c r="B13" s="17"/>
      <c r="C13" s="62" t="s">
        <v>34</v>
      </c>
      <c r="D13" s="59">
        <v>131506481</v>
      </c>
      <c r="E13" s="18">
        <v>77066112</v>
      </c>
      <c r="F13" s="24">
        <f t="shared" si="2"/>
        <v>54440369</v>
      </c>
    </row>
    <row r="14" spans="1:6" s="5" customFormat="1" ht="36.75" customHeight="1">
      <c r="A14" s="16">
        <v>6</v>
      </c>
      <c r="B14" s="17"/>
      <c r="C14" s="62" t="s">
        <v>40</v>
      </c>
      <c r="D14" s="59">
        <v>194655000</v>
      </c>
      <c r="E14" s="18">
        <v>114072736</v>
      </c>
      <c r="F14" s="24">
        <f>D14-E14</f>
        <v>80582264</v>
      </c>
    </row>
    <row r="15" spans="1:6" s="12" customFormat="1" ht="37.5" customHeight="1">
      <c r="A15" s="25"/>
      <c r="B15" s="75" t="s">
        <v>21</v>
      </c>
      <c r="C15" s="75"/>
      <c r="D15" s="21">
        <f>SUM(D16:D17)</f>
        <v>905187963</v>
      </c>
      <c r="E15" s="21">
        <f t="shared" ref="E15:F15" si="3">SUM(E16:E17)</f>
        <v>836894243</v>
      </c>
      <c r="F15" s="21">
        <f t="shared" si="3"/>
        <v>68293720</v>
      </c>
    </row>
    <row r="16" spans="1:6" s="5" customFormat="1" ht="36.75" customHeight="1">
      <c r="A16" s="16">
        <v>5</v>
      </c>
      <c r="B16" s="17"/>
      <c r="C16" s="62" t="s">
        <v>35</v>
      </c>
      <c r="D16" s="59">
        <v>802743519</v>
      </c>
      <c r="E16" s="18">
        <v>776859216</v>
      </c>
      <c r="F16" s="24">
        <f t="shared" ref="F16:F17" si="4">D16-E16</f>
        <v>25884303</v>
      </c>
    </row>
    <row r="17" spans="1:6" s="5" customFormat="1" ht="36.75" customHeight="1">
      <c r="A17" s="16">
        <v>7</v>
      </c>
      <c r="B17" s="17"/>
      <c r="C17" s="62" t="s">
        <v>42</v>
      </c>
      <c r="D17" s="59">
        <v>102444444</v>
      </c>
      <c r="E17" s="18">
        <v>60035027</v>
      </c>
      <c r="F17" s="24">
        <f t="shared" si="4"/>
        <v>42409417</v>
      </c>
    </row>
    <row r="18" spans="1:6" s="11" customFormat="1" ht="31.5" customHeight="1">
      <c r="A18" s="60"/>
      <c r="B18" s="76" t="s">
        <v>10</v>
      </c>
      <c r="C18" s="76"/>
      <c r="D18" s="20">
        <f>D15+D4</f>
        <v>1586221665</v>
      </c>
      <c r="E18" s="20">
        <f>E15+E4</f>
        <v>1235997156</v>
      </c>
      <c r="F18" s="20">
        <f>F15+F4</f>
        <v>350224509</v>
      </c>
    </row>
    <row r="19" spans="1:6" s="5" customFormat="1" ht="19.5" customHeight="1">
      <c r="D19" s="13"/>
      <c r="E19" s="27"/>
      <c r="F19" s="9"/>
    </row>
    <row r="20" spans="1:6" s="5" customFormat="1" ht="19.5" customHeight="1">
      <c r="C20" s="77" t="s">
        <v>18</v>
      </c>
      <c r="D20" s="77"/>
      <c r="E20" s="7"/>
      <c r="F20" s="9"/>
    </row>
    <row r="21" spans="1:6" s="5" customFormat="1" ht="19.5" customHeight="1">
      <c r="C21" s="74" t="s">
        <v>13</v>
      </c>
      <c r="D21" s="74"/>
      <c r="E21" s="15"/>
      <c r="F21" s="9"/>
    </row>
    <row r="22" spans="1:6" s="5" customFormat="1" ht="19.5" customHeight="1">
      <c r="C22" s="2"/>
      <c r="D22" s="1"/>
      <c r="E22" s="1"/>
      <c r="F22" s="9"/>
    </row>
    <row r="23" spans="1:6" s="5" customFormat="1" ht="19.5" customHeight="1">
      <c r="C23" s="2"/>
      <c r="D23" s="1"/>
      <c r="E23" s="1"/>
      <c r="F23" s="9"/>
    </row>
    <row r="24" spans="1:6" s="5" customFormat="1" ht="19.5" customHeight="1">
      <c r="C24" s="2"/>
      <c r="D24" s="1"/>
      <c r="E24" s="1"/>
      <c r="F24" s="9"/>
    </row>
    <row r="25" spans="1:6" s="5" customFormat="1" ht="19.5" customHeight="1">
      <c r="C25" s="2"/>
      <c r="D25" s="1"/>
      <c r="E25" s="1"/>
      <c r="F25" s="9"/>
    </row>
    <row r="26" spans="1:6" s="5" customFormat="1" ht="19.5" customHeight="1">
      <c r="C26" s="2"/>
      <c r="D26" s="1"/>
      <c r="E26" s="1"/>
      <c r="F26" s="9"/>
    </row>
    <row r="27" spans="1:6" s="5" customFormat="1" ht="19.5" customHeight="1">
      <c r="C27" s="2"/>
      <c r="D27" s="1"/>
      <c r="E27" s="1"/>
      <c r="F27" s="9"/>
    </row>
    <row r="28" spans="1:6" s="5" customFormat="1" ht="19.5" customHeight="1">
      <c r="C28" s="74"/>
      <c r="D28" s="74"/>
      <c r="E28" s="15"/>
      <c r="F28" s="9"/>
    </row>
    <row r="29" spans="1:6" s="5" customFormat="1" ht="19.5" customHeight="1">
      <c r="D29" s="13"/>
      <c r="F29" s="9"/>
    </row>
    <row r="30" spans="1:6" s="5" customFormat="1" ht="19.5" customHeight="1">
      <c r="D30" s="13"/>
      <c r="F30" s="9"/>
    </row>
    <row r="31" spans="1:6" s="5" customFormat="1" ht="19.5" customHeight="1">
      <c r="D31" s="13"/>
      <c r="F31" s="9"/>
    </row>
    <row r="32" spans="1:6" s="5" customFormat="1" ht="19.5" customHeight="1">
      <c r="D32" s="13"/>
      <c r="F32" s="9"/>
    </row>
    <row r="33" spans="4:6" s="5" customFormat="1" ht="19.5" customHeight="1">
      <c r="D33" s="13"/>
      <c r="F33" s="9"/>
    </row>
    <row r="34" spans="4:6" ht="19.5" customHeight="1"/>
    <row r="35" spans="4:6" ht="19.5" customHeight="1"/>
    <row r="36" spans="4:6" ht="19.5" customHeight="1"/>
    <row r="37" spans="4:6" ht="19.5" customHeight="1"/>
    <row r="38" spans="4:6" ht="19.5" customHeight="1"/>
    <row r="39" spans="4:6" ht="19.5" customHeight="1"/>
    <row r="40" spans="4:6" ht="19.5" customHeight="1"/>
    <row r="41" spans="4:6" ht="19.5" customHeight="1"/>
    <row r="42" spans="4:6" ht="19.5" customHeight="1"/>
    <row r="43" spans="4:6" ht="19.5" customHeight="1"/>
    <row r="44" spans="4:6" ht="19.5" customHeight="1"/>
    <row r="45" spans="4:6" ht="19.5" customHeight="1"/>
    <row r="46" spans="4:6" ht="19.5" customHeight="1"/>
    <row r="47" spans="4:6" ht="19.5" customHeight="1"/>
    <row r="48" spans="4:6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</sheetData>
  <mergeCells count="6">
    <mergeCell ref="A1:F1"/>
    <mergeCell ref="C28:D28"/>
    <mergeCell ref="B15:C15"/>
    <mergeCell ref="B18:C18"/>
    <mergeCell ref="C20:D20"/>
    <mergeCell ref="C21:D21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J27"/>
  <sheetViews>
    <sheetView zoomScale="92" zoomScaleNormal="92" workbookViewId="0">
      <selection activeCell="O6" sqref="O6"/>
    </sheetView>
  </sheetViews>
  <sheetFormatPr defaultRowHeight="16.8"/>
  <cols>
    <col min="1" max="1" width="18.69921875" style="1" customWidth="1"/>
    <col min="2" max="2" width="8.09765625" style="31" customWidth="1"/>
    <col min="3" max="3" width="16.5" style="19" customWidth="1"/>
    <col min="4" max="4" width="15.3984375" style="19" customWidth="1"/>
    <col min="5" max="5" width="15.69921875" style="19" customWidth="1"/>
    <col min="6" max="6" width="14.3984375" style="1" customWidth="1"/>
    <col min="7" max="7" width="6.8984375" style="31" customWidth="1"/>
    <col min="8" max="8" width="14.3984375" style="19" customWidth="1"/>
    <col min="9" max="9" width="12.59765625" style="1" customWidth="1"/>
    <col min="10" max="10" width="14.59765625" style="1" customWidth="1"/>
    <col min="11" max="254" width="9.09765625" style="1"/>
    <col min="255" max="255" width="28.8984375" style="1" customWidth="1"/>
    <col min="256" max="256" width="11" style="1" customWidth="1"/>
    <col min="257" max="257" width="18.69921875" style="1" customWidth="1"/>
    <col min="258" max="258" width="20.8984375" style="1" customWidth="1"/>
    <col min="259" max="259" width="0" style="1" hidden="1" customWidth="1"/>
    <col min="260" max="260" width="17" style="1" customWidth="1"/>
    <col min="261" max="261" width="15.69921875" style="1" customWidth="1"/>
    <col min="262" max="262" width="6.8984375" style="1" customWidth="1"/>
    <col min="263" max="264" width="15.19921875" style="1" customWidth="1"/>
    <col min="265" max="265" width="18.3984375" style="1" customWidth="1"/>
    <col min="266" max="266" width="0" style="1" hidden="1" customWidth="1"/>
    <col min="267" max="510" width="9.09765625" style="1"/>
    <col min="511" max="511" width="28.8984375" style="1" customWidth="1"/>
    <col min="512" max="512" width="11" style="1" customWidth="1"/>
    <col min="513" max="513" width="18.69921875" style="1" customWidth="1"/>
    <col min="514" max="514" width="20.8984375" style="1" customWidth="1"/>
    <col min="515" max="515" width="0" style="1" hidden="1" customWidth="1"/>
    <col min="516" max="516" width="17" style="1" customWidth="1"/>
    <col min="517" max="517" width="15.69921875" style="1" customWidth="1"/>
    <col min="518" max="518" width="6.8984375" style="1" customWidth="1"/>
    <col min="519" max="520" width="15.19921875" style="1" customWidth="1"/>
    <col min="521" max="521" width="18.3984375" style="1" customWidth="1"/>
    <col min="522" max="522" width="0" style="1" hidden="1" customWidth="1"/>
    <col min="523" max="766" width="9.09765625" style="1"/>
    <col min="767" max="767" width="28.8984375" style="1" customWidth="1"/>
    <col min="768" max="768" width="11" style="1" customWidth="1"/>
    <col min="769" max="769" width="18.69921875" style="1" customWidth="1"/>
    <col min="770" max="770" width="20.8984375" style="1" customWidth="1"/>
    <col min="771" max="771" width="0" style="1" hidden="1" customWidth="1"/>
    <col min="772" max="772" width="17" style="1" customWidth="1"/>
    <col min="773" max="773" width="15.69921875" style="1" customWidth="1"/>
    <col min="774" max="774" width="6.8984375" style="1" customWidth="1"/>
    <col min="775" max="776" width="15.19921875" style="1" customWidth="1"/>
    <col min="777" max="777" width="18.3984375" style="1" customWidth="1"/>
    <col min="778" max="778" width="0" style="1" hidden="1" customWidth="1"/>
    <col min="779" max="1022" width="9.09765625" style="1"/>
    <col min="1023" max="1023" width="28.8984375" style="1" customWidth="1"/>
    <col min="1024" max="1024" width="11" style="1" customWidth="1"/>
    <col min="1025" max="1025" width="18.69921875" style="1" customWidth="1"/>
    <col min="1026" max="1026" width="20.8984375" style="1" customWidth="1"/>
    <col min="1027" max="1027" width="0" style="1" hidden="1" customWidth="1"/>
    <col min="1028" max="1028" width="17" style="1" customWidth="1"/>
    <col min="1029" max="1029" width="15.69921875" style="1" customWidth="1"/>
    <col min="1030" max="1030" width="6.8984375" style="1" customWidth="1"/>
    <col min="1031" max="1032" width="15.19921875" style="1" customWidth="1"/>
    <col min="1033" max="1033" width="18.3984375" style="1" customWidth="1"/>
    <col min="1034" max="1034" width="0" style="1" hidden="1" customWidth="1"/>
    <col min="1035" max="1278" width="9.09765625" style="1"/>
    <col min="1279" max="1279" width="28.8984375" style="1" customWidth="1"/>
    <col min="1280" max="1280" width="11" style="1" customWidth="1"/>
    <col min="1281" max="1281" width="18.69921875" style="1" customWidth="1"/>
    <col min="1282" max="1282" width="20.8984375" style="1" customWidth="1"/>
    <col min="1283" max="1283" width="0" style="1" hidden="1" customWidth="1"/>
    <col min="1284" max="1284" width="17" style="1" customWidth="1"/>
    <col min="1285" max="1285" width="15.69921875" style="1" customWidth="1"/>
    <col min="1286" max="1286" width="6.8984375" style="1" customWidth="1"/>
    <col min="1287" max="1288" width="15.19921875" style="1" customWidth="1"/>
    <col min="1289" max="1289" width="18.3984375" style="1" customWidth="1"/>
    <col min="1290" max="1290" width="0" style="1" hidden="1" customWidth="1"/>
    <col min="1291" max="1534" width="9.09765625" style="1"/>
    <col min="1535" max="1535" width="28.8984375" style="1" customWidth="1"/>
    <col min="1536" max="1536" width="11" style="1" customWidth="1"/>
    <col min="1537" max="1537" width="18.69921875" style="1" customWidth="1"/>
    <col min="1538" max="1538" width="20.8984375" style="1" customWidth="1"/>
    <col min="1539" max="1539" width="0" style="1" hidden="1" customWidth="1"/>
    <col min="1540" max="1540" width="17" style="1" customWidth="1"/>
    <col min="1541" max="1541" width="15.69921875" style="1" customWidth="1"/>
    <col min="1542" max="1542" width="6.8984375" style="1" customWidth="1"/>
    <col min="1543" max="1544" width="15.19921875" style="1" customWidth="1"/>
    <col min="1545" max="1545" width="18.3984375" style="1" customWidth="1"/>
    <col min="1546" max="1546" width="0" style="1" hidden="1" customWidth="1"/>
    <col min="1547" max="1790" width="9.09765625" style="1"/>
    <col min="1791" max="1791" width="28.8984375" style="1" customWidth="1"/>
    <col min="1792" max="1792" width="11" style="1" customWidth="1"/>
    <col min="1793" max="1793" width="18.69921875" style="1" customWidth="1"/>
    <col min="1794" max="1794" width="20.8984375" style="1" customWidth="1"/>
    <col min="1795" max="1795" width="0" style="1" hidden="1" customWidth="1"/>
    <col min="1796" max="1796" width="17" style="1" customWidth="1"/>
    <col min="1797" max="1797" width="15.69921875" style="1" customWidth="1"/>
    <col min="1798" max="1798" width="6.8984375" style="1" customWidth="1"/>
    <col min="1799" max="1800" width="15.19921875" style="1" customWidth="1"/>
    <col min="1801" max="1801" width="18.3984375" style="1" customWidth="1"/>
    <col min="1802" max="1802" width="0" style="1" hidden="1" customWidth="1"/>
    <col min="1803" max="2046" width="9.09765625" style="1"/>
    <col min="2047" max="2047" width="28.8984375" style="1" customWidth="1"/>
    <col min="2048" max="2048" width="11" style="1" customWidth="1"/>
    <col min="2049" max="2049" width="18.69921875" style="1" customWidth="1"/>
    <col min="2050" max="2050" width="20.8984375" style="1" customWidth="1"/>
    <col min="2051" max="2051" width="0" style="1" hidden="1" customWidth="1"/>
    <col min="2052" max="2052" width="17" style="1" customWidth="1"/>
    <col min="2053" max="2053" width="15.69921875" style="1" customWidth="1"/>
    <col min="2054" max="2054" width="6.8984375" style="1" customWidth="1"/>
    <col min="2055" max="2056" width="15.19921875" style="1" customWidth="1"/>
    <col min="2057" max="2057" width="18.3984375" style="1" customWidth="1"/>
    <col min="2058" max="2058" width="0" style="1" hidden="1" customWidth="1"/>
    <col min="2059" max="2302" width="9.09765625" style="1"/>
    <col min="2303" max="2303" width="28.8984375" style="1" customWidth="1"/>
    <col min="2304" max="2304" width="11" style="1" customWidth="1"/>
    <col min="2305" max="2305" width="18.69921875" style="1" customWidth="1"/>
    <col min="2306" max="2306" width="20.8984375" style="1" customWidth="1"/>
    <col min="2307" max="2307" width="0" style="1" hidden="1" customWidth="1"/>
    <col min="2308" max="2308" width="17" style="1" customWidth="1"/>
    <col min="2309" max="2309" width="15.69921875" style="1" customWidth="1"/>
    <col min="2310" max="2310" width="6.8984375" style="1" customWidth="1"/>
    <col min="2311" max="2312" width="15.19921875" style="1" customWidth="1"/>
    <col min="2313" max="2313" width="18.3984375" style="1" customWidth="1"/>
    <col min="2314" max="2314" width="0" style="1" hidden="1" customWidth="1"/>
    <col min="2315" max="2558" width="9.09765625" style="1"/>
    <col min="2559" max="2559" width="28.8984375" style="1" customWidth="1"/>
    <col min="2560" max="2560" width="11" style="1" customWidth="1"/>
    <col min="2561" max="2561" width="18.69921875" style="1" customWidth="1"/>
    <col min="2562" max="2562" width="20.8984375" style="1" customWidth="1"/>
    <col min="2563" max="2563" width="0" style="1" hidden="1" customWidth="1"/>
    <col min="2564" max="2564" width="17" style="1" customWidth="1"/>
    <col min="2565" max="2565" width="15.69921875" style="1" customWidth="1"/>
    <col min="2566" max="2566" width="6.8984375" style="1" customWidth="1"/>
    <col min="2567" max="2568" width="15.19921875" style="1" customWidth="1"/>
    <col min="2569" max="2569" width="18.3984375" style="1" customWidth="1"/>
    <col min="2570" max="2570" width="0" style="1" hidden="1" customWidth="1"/>
    <col min="2571" max="2814" width="9.09765625" style="1"/>
    <col min="2815" max="2815" width="28.8984375" style="1" customWidth="1"/>
    <col min="2816" max="2816" width="11" style="1" customWidth="1"/>
    <col min="2817" max="2817" width="18.69921875" style="1" customWidth="1"/>
    <col min="2818" max="2818" width="20.8984375" style="1" customWidth="1"/>
    <col min="2819" max="2819" width="0" style="1" hidden="1" customWidth="1"/>
    <col min="2820" max="2820" width="17" style="1" customWidth="1"/>
    <col min="2821" max="2821" width="15.69921875" style="1" customWidth="1"/>
    <col min="2822" max="2822" width="6.8984375" style="1" customWidth="1"/>
    <col min="2823" max="2824" width="15.19921875" style="1" customWidth="1"/>
    <col min="2825" max="2825" width="18.3984375" style="1" customWidth="1"/>
    <col min="2826" max="2826" width="0" style="1" hidden="1" customWidth="1"/>
    <col min="2827" max="3070" width="9.09765625" style="1"/>
    <col min="3071" max="3071" width="28.8984375" style="1" customWidth="1"/>
    <col min="3072" max="3072" width="11" style="1" customWidth="1"/>
    <col min="3073" max="3073" width="18.69921875" style="1" customWidth="1"/>
    <col min="3074" max="3074" width="20.8984375" style="1" customWidth="1"/>
    <col min="3075" max="3075" width="0" style="1" hidden="1" customWidth="1"/>
    <col min="3076" max="3076" width="17" style="1" customWidth="1"/>
    <col min="3077" max="3077" width="15.69921875" style="1" customWidth="1"/>
    <col min="3078" max="3078" width="6.8984375" style="1" customWidth="1"/>
    <col min="3079" max="3080" width="15.19921875" style="1" customWidth="1"/>
    <col min="3081" max="3081" width="18.3984375" style="1" customWidth="1"/>
    <col min="3082" max="3082" width="0" style="1" hidden="1" customWidth="1"/>
    <col min="3083" max="3326" width="9.09765625" style="1"/>
    <col min="3327" max="3327" width="28.8984375" style="1" customWidth="1"/>
    <col min="3328" max="3328" width="11" style="1" customWidth="1"/>
    <col min="3329" max="3329" width="18.69921875" style="1" customWidth="1"/>
    <col min="3330" max="3330" width="20.8984375" style="1" customWidth="1"/>
    <col min="3331" max="3331" width="0" style="1" hidden="1" customWidth="1"/>
    <col min="3332" max="3332" width="17" style="1" customWidth="1"/>
    <col min="3333" max="3333" width="15.69921875" style="1" customWidth="1"/>
    <col min="3334" max="3334" width="6.8984375" style="1" customWidth="1"/>
    <col min="3335" max="3336" width="15.19921875" style="1" customWidth="1"/>
    <col min="3337" max="3337" width="18.3984375" style="1" customWidth="1"/>
    <col min="3338" max="3338" width="0" style="1" hidden="1" customWidth="1"/>
    <col min="3339" max="3582" width="9.09765625" style="1"/>
    <col min="3583" max="3583" width="28.8984375" style="1" customWidth="1"/>
    <col min="3584" max="3584" width="11" style="1" customWidth="1"/>
    <col min="3585" max="3585" width="18.69921875" style="1" customWidth="1"/>
    <col min="3586" max="3586" width="20.8984375" style="1" customWidth="1"/>
    <col min="3587" max="3587" width="0" style="1" hidden="1" customWidth="1"/>
    <col min="3588" max="3588" width="17" style="1" customWidth="1"/>
    <col min="3589" max="3589" width="15.69921875" style="1" customWidth="1"/>
    <col min="3590" max="3590" width="6.8984375" style="1" customWidth="1"/>
    <col min="3591" max="3592" width="15.19921875" style="1" customWidth="1"/>
    <col min="3593" max="3593" width="18.3984375" style="1" customWidth="1"/>
    <col min="3594" max="3594" width="0" style="1" hidden="1" customWidth="1"/>
    <col min="3595" max="3838" width="9.09765625" style="1"/>
    <col min="3839" max="3839" width="28.8984375" style="1" customWidth="1"/>
    <col min="3840" max="3840" width="11" style="1" customWidth="1"/>
    <col min="3841" max="3841" width="18.69921875" style="1" customWidth="1"/>
    <col min="3842" max="3842" width="20.8984375" style="1" customWidth="1"/>
    <col min="3843" max="3843" width="0" style="1" hidden="1" customWidth="1"/>
    <col min="3844" max="3844" width="17" style="1" customWidth="1"/>
    <col min="3845" max="3845" width="15.69921875" style="1" customWidth="1"/>
    <col min="3846" max="3846" width="6.8984375" style="1" customWidth="1"/>
    <col min="3847" max="3848" width="15.19921875" style="1" customWidth="1"/>
    <col min="3849" max="3849" width="18.3984375" style="1" customWidth="1"/>
    <col min="3850" max="3850" width="0" style="1" hidden="1" customWidth="1"/>
    <col min="3851" max="4094" width="9.09765625" style="1"/>
    <col min="4095" max="4095" width="28.8984375" style="1" customWidth="1"/>
    <col min="4096" max="4096" width="11" style="1" customWidth="1"/>
    <col min="4097" max="4097" width="18.69921875" style="1" customWidth="1"/>
    <col min="4098" max="4098" width="20.8984375" style="1" customWidth="1"/>
    <col min="4099" max="4099" width="0" style="1" hidden="1" customWidth="1"/>
    <col min="4100" max="4100" width="17" style="1" customWidth="1"/>
    <col min="4101" max="4101" width="15.69921875" style="1" customWidth="1"/>
    <col min="4102" max="4102" width="6.8984375" style="1" customWidth="1"/>
    <col min="4103" max="4104" width="15.19921875" style="1" customWidth="1"/>
    <col min="4105" max="4105" width="18.3984375" style="1" customWidth="1"/>
    <col min="4106" max="4106" width="0" style="1" hidden="1" customWidth="1"/>
    <col min="4107" max="4350" width="9.09765625" style="1"/>
    <col min="4351" max="4351" width="28.8984375" style="1" customWidth="1"/>
    <col min="4352" max="4352" width="11" style="1" customWidth="1"/>
    <col min="4353" max="4353" width="18.69921875" style="1" customWidth="1"/>
    <col min="4354" max="4354" width="20.8984375" style="1" customWidth="1"/>
    <col min="4355" max="4355" width="0" style="1" hidden="1" customWidth="1"/>
    <col min="4356" max="4356" width="17" style="1" customWidth="1"/>
    <col min="4357" max="4357" width="15.69921875" style="1" customWidth="1"/>
    <col min="4358" max="4358" width="6.8984375" style="1" customWidth="1"/>
    <col min="4359" max="4360" width="15.19921875" style="1" customWidth="1"/>
    <col min="4361" max="4361" width="18.3984375" style="1" customWidth="1"/>
    <col min="4362" max="4362" width="0" style="1" hidden="1" customWidth="1"/>
    <col min="4363" max="4606" width="9.09765625" style="1"/>
    <col min="4607" max="4607" width="28.8984375" style="1" customWidth="1"/>
    <col min="4608" max="4608" width="11" style="1" customWidth="1"/>
    <col min="4609" max="4609" width="18.69921875" style="1" customWidth="1"/>
    <col min="4610" max="4610" width="20.8984375" style="1" customWidth="1"/>
    <col min="4611" max="4611" width="0" style="1" hidden="1" customWidth="1"/>
    <col min="4612" max="4612" width="17" style="1" customWidth="1"/>
    <col min="4613" max="4613" width="15.69921875" style="1" customWidth="1"/>
    <col min="4614" max="4614" width="6.8984375" style="1" customWidth="1"/>
    <col min="4615" max="4616" width="15.19921875" style="1" customWidth="1"/>
    <col min="4617" max="4617" width="18.3984375" style="1" customWidth="1"/>
    <col min="4618" max="4618" width="0" style="1" hidden="1" customWidth="1"/>
    <col min="4619" max="4862" width="9.09765625" style="1"/>
    <col min="4863" max="4863" width="28.8984375" style="1" customWidth="1"/>
    <col min="4864" max="4864" width="11" style="1" customWidth="1"/>
    <col min="4865" max="4865" width="18.69921875" style="1" customWidth="1"/>
    <col min="4866" max="4866" width="20.8984375" style="1" customWidth="1"/>
    <col min="4867" max="4867" width="0" style="1" hidden="1" customWidth="1"/>
    <col min="4868" max="4868" width="17" style="1" customWidth="1"/>
    <col min="4869" max="4869" width="15.69921875" style="1" customWidth="1"/>
    <col min="4870" max="4870" width="6.8984375" style="1" customWidth="1"/>
    <col min="4871" max="4872" width="15.19921875" style="1" customWidth="1"/>
    <col min="4873" max="4873" width="18.3984375" style="1" customWidth="1"/>
    <col min="4874" max="4874" width="0" style="1" hidden="1" customWidth="1"/>
    <col min="4875" max="5118" width="9.09765625" style="1"/>
    <col min="5119" max="5119" width="28.8984375" style="1" customWidth="1"/>
    <col min="5120" max="5120" width="11" style="1" customWidth="1"/>
    <col min="5121" max="5121" width="18.69921875" style="1" customWidth="1"/>
    <col min="5122" max="5122" width="20.8984375" style="1" customWidth="1"/>
    <col min="5123" max="5123" width="0" style="1" hidden="1" customWidth="1"/>
    <col min="5124" max="5124" width="17" style="1" customWidth="1"/>
    <col min="5125" max="5125" width="15.69921875" style="1" customWidth="1"/>
    <col min="5126" max="5126" width="6.8984375" style="1" customWidth="1"/>
    <col min="5127" max="5128" width="15.19921875" style="1" customWidth="1"/>
    <col min="5129" max="5129" width="18.3984375" style="1" customWidth="1"/>
    <col min="5130" max="5130" width="0" style="1" hidden="1" customWidth="1"/>
    <col min="5131" max="5374" width="9.09765625" style="1"/>
    <col min="5375" max="5375" width="28.8984375" style="1" customWidth="1"/>
    <col min="5376" max="5376" width="11" style="1" customWidth="1"/>
    <col min="5377" max="5377" width="18.69921875" style="1" customWidth="1"/>
    <col min="5378" max="5378" width="20.8984375" style="1" customWidth="1"/>
    <col min="5379" max="5379" width="0" style="1" hidden="1" customWidth="1"/>
    <col min="5380" max="5380" width="17" style="1" customWidth="1"/>
    <col min="5381" max="5381" width="15.69921875" style="1" customWidth="1"/>
    <col min="5382" max="5382" width="6.8984375" style="1" customWidth="1"/>
    <col min="5383" max="5384" width="15.19921875" style="1" customWidth="1"/>
    <col min="5385" max="5385" width="18.3984375" style="1" customWidth="1"/>
    <col min="5386" max="5386" width="0" style="1" hidden="1" customWidth="1"/>
    <col min="5387" max="5630" width="9.09765625" style="1"/>
    <col min="5631" max="5631" width="28.8984375" style="1" customWidth="1"/>
    <col min="5632" max="5632" width="11" style="1" customWidth="1"/>
    <col min="5633" max="5633" width="18.69921875" style="1" customWidth="1"/>
    <col min="5634" max="5634" width="20.8984375" style="1" customWidth="1"/>
    <col min="5635" max="5635" width="0" style="1" hidden="1" customWidth="1"/>
    <col min="5636" max="5636" width="17" style="1" customWidth="1"/>
    <col min="5637" max="5637" width="15.69921875" style="1" customWidth="1"/>
    <col min="5638" max="5638" width="6.8984375" style="1" customWidth="1"/>
    <col min="5639" max="5640" width="15.19921875" style="1" customWidth="1"/>
    <col min="5641" max="5641" width="18.3984375" style="1" customWidth="1"/>
    <col min="5642" max="5642" width="0" style="1" hidden="1" customWidth="1"/>
    <col min="5643" max="5886" width="9.09765625" style="1"/>
    <col min="5887" max="5887" width="28.8984375" style="1" customWidth="1"/>
    <col min="5888" max="5888" width="11" style="1" customWidth="1"/>
    <col min="5889" max="5889" width="18.69921875" style="1" customWidth="1"/>
    <col min="5890" max="5890" width="20.8984375" style="1" customWidth="1"/>
    <col min="5891" max="5891" width="0" style="1" hidden="1" customWidth="1"/>
    <col min="5892" max="5892" width="17" style="1" customWidth="1"/>
    <col min="5893" max="5893" width="15.69921875" style="1" customWidth="1"/>
    <col min="5894" max="5894" width="6.8984375" style="1" customWidth="1"/>
    <col min="5895" max="5896" width="15.19921875" style="1" customWidth="1"/>
    <col min="5897" max="5897" width="18.3984375" style="1" customWidth="1"/>
    <col min="5898" max="5898" width="0" style="1" hidden="1" customWidth="1"/>
    <col min="5899" max="6142" width="9.09765625" style="1"/>
    <col min="6143" max="6143" width="28.8984375" style="1" customWidth="1"/>
    <col min="6144" max="6144" width="11" style="1" customWidth="1"/>
    <col min="6145" max="6145" width="18.69921875" style="1" customWidth="1"/>
    <col min="6146" max="6146" width="20.8984375" style="1" customWidth="1"/>
    <col min="6147" max="6147" width="0" style="1" hidden="1" customWidth="1"/>
    <col min="6148" max="6148" width="17" style="1" customWidth="1"/>
    <col min="6149" max="6149" width="15.69921875" style="1" customWidth="1"/>
    <col min="6150" max="6150" width="6.8984375" style="1" customWidth="1"/>
    <col min="6151" max="6152" width="15.19921875" style="1" customWidth="1"/>
    <col min="6153" max="6153" width="18.3984375" style="1" customWidth="1"/>
    <col min="6154" max="6154" width="0" style="1" hidden="1" customWidth="1"/>
    <col min="6155" max="6398" width="9.09765625" style="1"/>
    <col min="6399" max="6399" width="28.8984375" style="1" customWidth="1"/>
    <col min="6400" max="6400" width="11" style="1" customWidth="1"/>
    <col min="6401" max="6401" width="18.69921875" style="1" customWidth="1"/>
    <col min="6402" max="6402" width="20.8984375" style="1" customWidth="1"/>
    <col min="6403" max="6403" width="0" style="1" hidden="1" customWidth="1"/>
    <col min="6404" max="6404" width="17" style="1" customWidth="1"/>
    <col min="6405" max="6405" width="15.69921875" style="1" customWidth="1"/>
    <col min="6406" max="6406" width="6.8984375" style="1" customWidth="1"/>
    <col min="6407" max="6408" width="15.19921875" style="1" customWidth="1"/>
    <col min="6409" max="6409" width="18.3984375" style="1" customWidth="1"/>
    <col min="6410" max="6410" width="0" style="1" hidden="1" customWidth="1"/>
    <col min="6411" max="6654" width="9.09765625" style="1"/>
    <col min="6655" max="6655" width="28.8984375" style="1" customWidth="1"/>
    <col min="6656" max="6656" width="11" style="1" customWidth="1"/>
    <col min="6657" max="6657" width="18.69921875" style="1" customWidth="1"/>
    <col min="6658" max="6658" width="20.8984375" style="1" customWidth="1"/>
    <col min="6659" max="6659" width="0" style="1" hidden="1" customWidth="1"/>
    <col min="6660" max="6660" width="17" style="1" customWidth="1"/>
    <col min="6661" max="6661" width="15.69921875" style="1" customWidth="1"/>
    <col min="6662" max="6662" width="6.8984375" style="1" customWidth="1"/>
    <col min="6663" max="6664" width="15.19921875" style="1" customWidth="1"/>
    <col min="6665" max="6665" width="18.3984375" style="1" customWidth="1"/>
    <col min="6666" max="6666" width="0" style="1" hidden="1" customWidth="1"/>
    <col min="6667" max="6910" width="9.09765625" style="1"/>
    <col min="6911" max="6911" width="28.8984375" style="1" customWidth="1"/>
    <col min="6912" max="6912" width="11" style="1" customWidth="1"/>
    <col min="6913" max="6913" width="18.69921875" style="1" customWidth="1"/>
    <col min="6914" max="6914" width="20.8984375" style="1" customWidth="1"/>
    <col min="6915" max="6915" width="0" style="1" hidden="1" customWidth="1"/>
    <col min="6916" max="6916" width="17" style="1" customWidth="1"/>
    <col min="6917" max="6917" width="15.69921875" style="1" customWidth="1"/>
    <col min="6918" max="6918" width="6.8984375" style="1" customWidth="1"/>
    <col min="6919" max="6920" width="15.19921875" style="1" customWidth="1"/>
    <col min="6921" max="6921" width="18.3984375" style="1" customWidth="1"/>
    <col min="6922" max="6922" width="0" style="1" hidden="1" customWidth="1"/>
    <col min="6923" max="7166" width="9.09765625" style="1"/>
    <col min="7167" max="7167" width="28.8984375" style="1" customWidth="1"/>
    <col min="7168" max="7168" width="11" style="1" customWidth="1"/>
    <col min="7169" max="7169" width="18.69921875" style="1" customWidth="1"/>
    <col min="7170" max="7170" width="20.8984375" style="1" customWidth="1"/>
    <col min="7171" max="7171" width="0" style="1" hidden="1" customWidth="1"/>
    <col min="7172" max="7172" width="17" style="1" customWidth="1"/>
    <col min="7173" max="7173" width="15.69921875" style="1" customWidth="1"/>
    <col min="7174" max="7174" width="6.8984375" style="1" customWidth="1"/>
    <col min="7175" max="7176" width="15.19921875" style="1" customWidth="1"/>
    <col min="7177" max="7177" width="18.3984375" style="1" customWidth="1"/>
    <col min="7178" max="7178" width="0" style="1" hidden="1" customWidth="1"/>
    <col min="7179" max="7422" width="9.09765625" style="1"/>
    <col min="7423" max="7423" width="28.8984375" style="1" customWidth="1"/>
    <col min="7424" max="7424" width="11" style="1" customWidth="1"/>
    <col min="7425" max="7425" width="18.69921875" style="1" customWidth="1"/>
    <col min="7426" max="7426" width="20.8984375" style="1" customWidth="1"/>
    <col min="7427" max="7427" width="0" style="1" hidden="1" customWidth="1"/>
    <col min="7428" max="7428" width="17" style="1" customWidth="1"/>
    <col min="7429" max="7429" width="15.69921875" style="1" customWidth="1"/>
    <col min="7430" max="7430" width="6.8984375" style="1" customWidth="1"/>
    <col min="7431" max="7432" width="15.19921875" style="1" customWidth="1"/>
    <col min="7433" max="7433" width="18.3984375" style="1" customWidth="1"/>
    <col min="7434" max="7434" width="0" style="1" hidden="1" customWidth="1"/>
    <col min="7435" max="7678" width="9.09765625" style="1"/>
    <col min="7679" max="7679" width="28.8984375" style="1" customWidth="1"/>
    <col min="7680" max="7680" width="11" style="1" customWidth="1"/>
    <col min="7681" max="7681" width="18.69921875" style="1" customWidth="1"/>
    <col min="7682" max="7682" width="20.8984375" style="1" customWidth="1"/>
    <col min="7683" max="7683" width="0" style="1" hidden="1" customWidth="1"/>
    <col min="7684" max="7684" width="17" style="1" customWidth="1"/>
    <col min="7685" max="7685" width="15.69921875" style="1" customWidth="1"/>
    <col min="7686" max="7686" width="6.8984375" style="1" customWidth="1"/>
    <col min="7687" max="7688" width="15.19921875" style="1" customWidth="1"/>
    <col min="7689" max="7689" width="18.3984375" style="1" customWidth="1"/>
    <col min="7690" max="7690" width="0" style="1" hidden="1" customWidth="1"/>
    <col min="7691" max="7934" width="9.09765625" style="1"/>
    <col min="7935" max="7935" width="28.8984375" style="1" customWidth="1"/>
    <col min="7936" max="7936" width="11" style="1" customWidth="1"/>
    <col min="7937" max="7937" width="18.69921875" style="1" customWidth="1"/>
    <col min="7938" max="7938" width="20.8984375" style="1" customWidth="1"/>
    <col min="7939" max="7939" width="0" style="1" hidden="1" customWidth="1"/>
    <col min="7940" max="7940" width="17" style="1" customWidth="1"/>
    <col min="7941" max="7941" width="15.69921875" style="1" customWidth="1"/>
    <col min="7942" max="7942" width="6.8984375" style="1" customWidth="1"/>
    <col min="7943" max="7944" width="15.19921875" style="1" customWidth="1"/>
    <col min="7945" max="7945" width="18.3984375" style="1" customWidth="1"/>
    <col min="7946" max="7946" width="0" style="1" hidden="1" customWidth="1"/>
    <col min="7947" max="8190" width="9.09765625" style="1"/>
    <col min="8191" max="8191" width="28.8984375" style="1" customWidth="1"/>
    <col min="8192" max="8192" width="11" style="1" customWidth="1"/>
    <col min="8193" max="8193" width="18.69921875" style="1" customWidth="1"/>
    <col min="8194" max="8194" width="20.8984375" style="1" customWidth="1"/>
    <col min="8195" max="8195" width="0" style="1" hidden="1" customWidth="1"/>
    <col min="8196" max="8196" width="17" style="1" customWidth="1"/>
    <col min="8197" max="8197" width="15.69921875" style="1" customWidth="1"/>
    <col min="8198" max="8198" width="6.8984375" style="1" customWidth="1"/>
    <col min="8199" max="8200" width="15.19921875" style="1" customWidth="1"/>
    <col min="8201" max="8201" width="18.3984375" style="1" customWidth="1"/>
    <col min="8202" max="8202" width="0" style="1" hidden="1" customWidth="1"/>
    <col min="8203" max="8446" width="9.09765625" style="1"/>
    <col min="8447" max="8447" width="28.8984375" style="1" customWidth="1"/>
    <col min="8448" max="8448" width="11" style="1" customWidth="1"/>
    <col min="8449" max="8449" width="18.69921875" style="1" customWidth="1"/>
    <col min="8450" max="8450" width="20.8984375" style="1" customWidth="1"/>
    <col min="8451" max="8451" width="0" style="1" hidden="1" customWidth="1"/>
    <col min="8452" max="8452" width="17" style="1" customWidth="1"/>
    <col min="8453" max="8453" width="15.69921875" style="1" customWidth="1"/>
    <col min="8454" max="8454" width="6.8984375" style="1" customWidth="1"/>
    <col min="8455" max="8456" width="15.19921875" style="1" customWidth="1"/>
    <col min="8457" max="8457" width="18.3984375" style="1" customWidth="1"/>
    <col min="8458" max="8458" width="0" style="1" hidden="1" customWidth="1"/>
    <col min="8459" max="8702" width="9.09765625" style="1"/>
    <col min="8703" max="8703" width="28.8984375" style="1" customWidth="1"/>
    <col min="8704" max="8704" width="11" style="1" customWidth="1"/>
    <col min="8705" max="8705" width="18.69921875" style="1" customWidth="1"/>
    <col min="8706" max="8706" width="20.8984375" style="1" customWidth="1"/>
    <col min="8707" max="8707" width="0" style="1" hidden="1" customWidth="1"/>
    <col min="8708" max="8708" width="17" style="1" customWidth="1"/>
    <col min="8709" max="8709" width="15.69921875" style="1" customWidth="1"/>
    <col min="8710" max="8710" width="6.8984375" style="1" customWidth="1"/>
    <col min="8711" max="8712" width="15.19921875" style="1" customWidth="1"/>
    <col min="8713" max="8713" width="18.3984375" style="1" customWidth="1"/>
    <col min="8714" max="8714" width="0" style="1" hidden="1" customWidth="1"/>
    <col min="8715" max="8958" width="9.09765625" style="1"/>
    <col min="8959" max="8959" width="28.8984375" style="1" customWidth="1"/>
    <col min="8960" max="8960" width="11" style="1" customWidth="1"/>
    <col min="8961" max="8961" width="18.69921875" style="1" customWidth="1"/>
    <col min="8962" max="8962" width="20.8984375" style="1" customWidth="1"/>
    <col min="8963" max="8963" width="0" style="1" hidden="1" customWidth="1"/>
    <col min="8964" max="8964" width="17" style="1" customWidth="1"/>
    <col min="8965" max="8965" width="15.69921875" style="1" customWidth="1"/>
    <col min="8966" max="8966" width="6.8984375" style="1" customWidth="1"/>
    <col min="8967" max="8968" width="15.19921875" style="1" customWidth="1"/>
    <col min="8969" max="8969" width="18.3984375" style="1" customWidth="1"/>
    <col min="8970" max="8970" width="0" style="1" hidden="1" customWidth="1"/>
    <col min="8971" max="9214" width="9.09765625" style="1"/>
    <col min="9215" max="9215" width="28.8984375" style="1" customWidth="1"/>
    <col min="9216" max="9216" width="11" style="1" customWidth="1"/>
    <col min="9217" max="9217" width="18.69921875" style="1" customWidth="1"/>
    <col min="9218" max="9218" width="20.8984375" style="1" customWidth="1"/>
    <col min="9219" max="9219" width="0" style="1" hidden="1" customWidth="1"/>
    <col min="9220" max="9220" width="17" style="1" customWidth="1"/>
    <col min="9221" max="9221" width="15.69921875" style="1" customWidth="1"/>
    <col min="9222" max="9222" width="6.8984375" style="1" customWidth="1"/>
    <col min="9223" max="9224" width="15.19921875" style="1" customWidth="1"/>
    <col min="9225" max="9225" width="18.3984375" style="1" customWidth="1"/>
    <col min="9226" max="9226" width="0" style="1" hidden="1" customWidth="1"/>
    <col min="9227" max="9470" width="9.09765625" style="1"/>
    <col min="9471" max="9471" width="28.8984375" style="1" customWidth="1"/>
    <col min="9472" max="9472" width="11" style="1" customWidth="1"/>
    <col min="9473" max="9473" width="18.69921875" style="1" customWidth="1"/>
    <col min="9474" max="9474" width="20.8984375" style="1" customWidth="1"/>
    <col min="9475" max="9475" width="0" style="1" hidden="1" customWidth="1"/>
    <col min="9476" max="9476" width="17" style="1" customWidth="1"/>
    <col min="9477" max="9477" width="15.69921875" style="1" customWidth="1"/>
    <col min="9478" max="9478" width="6.8984375" style="1" customWidth="1"/>
    <col min="9479" max="9480" width="15.19921875" style="1" customWidth="1"/>
    <col min="9481" max="9481" width="18.3984375" style="1" customWidth="1"/>
    <col min="9482" max="9482" width="0" style="1" hidden="1" customWidth="1"/>
    <col min="9483" max="9726" width="9.09765625" style="1"/>
    <col min="9727" max="9727" width="28.8984375" style="1" customWidth="1"/>
    <col min="9728" max="9728" width="11" style="1" customWidth="1"/>
    <col min="9729" max="9729" width="18.69921875" style="1" customWidth="1"/>
    <col min="9730" max="9730" width="20.8984375" style="1" customWidth="1"/>
    <col min="9731" max="9731" width="0" style="1" hidden="1" customWidth="1"/>
    <col min="9732" max="9732" width="17" style="1" customWidth="1"/>
    <col min="9733" max="9733" width="15.69921875" style="1" customWidth="1"/>
    <col min="9734" max="9734" width="6.8984375" style="1" customWidth="1"/>
    <col min="9735" max="9736" width="15.19921875" style="1" customWidth="1"/>
    <col min="9737" max="9737" width="18.3984375" style="1" customWidth="1"/>
    <col min="9738" max="9738" width="0" style="1" hidden="1" customWidth="1"/>
    <col min="9739" max="9982" width="9.09765625" style="1"/>
    <col min="9983" max="9983" width="28.8984375" style="1" customWidth="1"/>
    <col min="9984" max="9984" width="11" style="1" customWidth="1"/>
    <col min="9985" max="9985" width="18.69921875" style="1" customWidth="1"/>
    <col min="9986" max="9986" width="20.8984375" style="1" customWidth="1"/>
    <col min="9987" max="9987" width="0" style="1" hidden="1" customWidth="1"/>
    <col min="9988" max="9988" width="17" style="1" customWidth="1"/>
    <col min="9989" max="9989" width="15.69921875" style="1" customWidth="1"/>
    <col min="9990" max="9990" width="6.8984375" style="1" customWidth="1"/>
    <col min="9991" max="9992" width="15.19921875" style="1" customWidth="1"/>
    <col min="9993" max="9993" width="18.3984375" style="1" customWidth="1"/>
    <col min="9994" max="9994" width="0" style="1" hidden="1" customWidth="1"/>
    <col min="9995" max="10238" width="9.09765625" style="1"/>
    <col min="10239" max="10239" width="28.8984375" style="1" customWidth="1"/>
    <col min="10240" max="10240" width="11" style="1" customWidth="1"/>
    <col min="10241" max="10241" width="18.69921875" style="1" customWidth="1"/>
    <col min="10242" max="10242" width="20.8984375" style="1" customWidth="1"/>
    <col min="10243" max="10243" width="0" style="1" hidden="1" customWidth="1"/>
    <col min="10244" max="10244" width="17" style="1" customWidth="1"/>
    <col min="10245" max="10245" width="15.69921875" style="1" customWidth="1"/>
    <col min="10246" max="10246" width="6.8984375" style="1" customWidth="1"/>
    <col min="10247" max="10248" width="15.19921875" style="1" customWidth="1"/>
    <col min="10249" max="10249" width="18.3984375" style="1" customWidth="1"/>
    <col min="10250" max="10250" width="0" style="1" hidden="1" customWidth="1"/>
    <col min="10251" max="10494" width="9.09765625" style="1"/>
    <col min="10495" max="10495" width="28.8984375" style="1" customWidth="1"/>
    <col min="10496" max="10496" width="11" style="1" customWidth="1"/>
    <col min="10497" max="10497" width="18.69921875" style="1" customWidth="1"/>
    <col min="10498" max="10498" width="20.8984375" style="1" customWidth="1"/>
    <col min="10499" max="10499" width="0" style="1" hidden="1" customWidth="1"/>
    <col min="10500" max="10500" width="17" style="1" customWidth="1"/>
    <col min="10501" max="10501" width="15.69921875" style="1" customWidth="1"/>
    <col min="10502" max="10502" width="6.8984375" style="1" customWidth="1"/>
    <col min="10503" max="10504" width="15.19921875" style="1" customWidth="1"/>
    <col min="10505" max="10505" width="18.3984375" style="1" customWidth="1"/>
    <col min="10506" max="10506" width="0" style="1" hidden="1" customWidth="1"/>
    <col min="10507" max="10750" width="9.09765625" style="1"/>
    <col min="10751" max="10751" width="28.8984375" style="1" customWidth="1"/>
    <col min="10752" max="10752" width="11" style="1" customWidth="1"/>
    <col min="10753" max="10753" width="18.69921875" style="1" customWidth="1"/>
    <col min="10754" max="10754" width="20.8984375" style="1" customWidth="1"/>
    <col min="10755" max="10755" width="0" style="1" hidden="1" customWidth="1"/>
    <col min="10756" max="10756" width="17" style="1" customWidth="1"/>
    <col min="10757" max="10757" width="15.69921875" style="1" customWidth="1"/>
    <col min="10758" max="10758" width="6.8984375" style="1" customWidth="1"/>
    <col min="10759" max="10760" width="15.19921875" style="1" customWidth="1"/>
    <col min="10761" max="10761" width="18.3984375" style="1" customWidth="1"/>
    <col min="10762" max="10762" width="0" style="1" hidden="1" customWidth="1"/>
    <col min="10763" max="11006" width="9.09765625" style="1"/>
    <col min="11007" max="11007" width="28.8984375" style="1" customWidth="1"/>
    <col min="11008" max="11008" width="11" style="1" customWidth="1"/>
    <col min="11009" max="11009" width="18.69921875" style="1" customWidth="1"/>
    <col min="11010" max="11010" width="20.8984375" style="1" customWidth="1"/>
    <col min="11011" max="11011" width="0" style="1" hidden="1" customWidth="1"/>
    <col min="11012" max="11012" width="17" style="1" customWidth="1"/>
    <col min="11013" max="11013" width="15.69921875" style="1" customWidth="1"/>
    <col min="11014" max="11014" width="6.8984375" style="1" customWidth="1"/>
    <col min="11015" max="11016" width="15.19921875" style="1" customWidth="1"/>
    <col min="11017" max="11017" width="18.3984375" style="1" customWidth="1"/>
    <col min="11018" max="11018" width="0" style="1" hidden="1" customWidth="1"/>
    <col min="11019" max="11262" width="9.09765625" style="1"/>
    <col min="11263" max="11263" width="28.8984375" style="1" customWidth="1"/>
    <col min="11264" max="11264" width="11" style="1" customWidth="1"/>
    <col min="11265" max="11265" width="18.69921875" style="1" customWidth="1"/>
    <col min="11266" max="11266" width="20.8984375" style="1" customWidth="1"/>
    <col min="11267" max="11267" width="0" style="1" hidden="1" customWidth="1"/>
    <col min="11268" max="11268" width="17" style="1" customWidth="1"/>
    <col min="11269" max="11269" width="15.69921875" style="1" customWidth="1"/>
    <col min="11270" max="11270" width="6.8984375" style="1" customWidth="1"/>
    <col min="11271" max="11272" width="15.19921875" style="1" customWidth="1"/>
    <col min="11273" max="11273" width="18.3984375" style="1" customWidth="1"/>
    <col min="11274" max="11274" width="0" style="1" hidden="1" customWidth="1"/>
    <col min="11275" max="11518" width="9.09765625" style="1"/>
    <col min="11519" max="11519" width="28.8984375" style="1" customWidth="1"/>
    <col min="11520" max="11520" width="11" style="1" customWidth="1"/>
    <col min="11521" max="11521" width="18.69921875" style="1" customWidth="1"/>
    <col min="11522" max="11522" width="20.8984375" style="1" customWidth="1"/>
    <col min="11523" max="11523" width="0" style="1" hidden="1" customWidth="1"/>
    <col min="11524" max="11524" width="17" style="1" customWidth="1"/>
    <col min="11525" max="11525" width="15.69921875" style="1" customWidth="1"/>
    <col min="11526" max="11526" width="6.8984375" style="1" customWidth="1"/>
    <col min="11527" max="11528" width="15.19921875" style="1" customWidth="1"/>
    <col min="11529" max="11529" width="18.3984375" style="1" customWidth="1"/>
    <col min="11530" max="11530" width="0" style="1" hidden="1" customWidth="1"/>
    <col min="11531" max="11774" width="9.09765625" style="1"/>
    <col min="11775" max="11775" width="28.8984375" style="1" customWidth="1"/>
    <col min="11776" max="11776" width="11" style="1" customWidth="1"/>
    <col min="11777" max="11777" width="18.69921875" style="1" customWidth="1"/>
    <col min="11778" max="11778" width="20.8984375" style="1" customWidth="1"/>
    <col min="11779" max="11779" width="0" style="1" hidden="1" customWidth="1"/>
    <col min="11780" max="11780" width="17" style="1" customWidth="1"/>
    <col min="11781" max="11781" width="15.69921875" style="1" customWidth="1"/>
    <col min="11782" max="11782" width="6.8984375" style="1" customWidth="1"/>
    <col min="11783" max="11784" width="15.19921875" style="1" customWidth="1"/>
    <col min="11785" max="11785" width="18.3984375" style="1" customWidth="1"/>
    <col min="11786" max="11786" width="0" style="1" hidden="1" customWidth="1"/>
    <col min="11787" max="12030" width="9.09765625" style="1"/>
    <col min="12031" max="12031" width="28.8984375" style="1" customWidth="1"/>
    <col min="12032" max="12032" width="11" style="1" customWidth="1"/>
    <col min="12033" max="12033" width="18.69921875" style="1" customWidth="1"/>
    <col min="12034" max="12034" width="20.8984375" style="1" customWidth="1"/>
    <col min="12035" max="12035" width="0" style="1" hidden="1" customWidth="1"/>
    <col min="12036" max="12036" width="17" style="1" customWidth="1"/>
    <col min="12037" max="12037" width="15.69921875" style="1" customWidth="1"/>
    <col min="12038" max="12038" width="6.8984375" style="1" customWidth="1"/>
    <col min="12039" max="12040" width="15.19921875" style="1" customWidth="1"/>
    <col min="12041" max="12041" width="18.3984375" style="1" customWidth="1"/>
    <col min="12042" max="12042" width="0" style="1" hidden="1" customWidth="1"/>
    <col min="12043" max="12286" width="9.09765625" style="1"/>
    <col min="12287" max="12287" width="28.8984375" style="1" customWidth="1"/>
    <col min="12288" max="12288" width="11" style="1" customWidth="1"/>
    <col min="12289" max="12289" width="18.69921875" style="1" customWidth="1"/>
    <col min="12290" max="12290" width="20.8984375" style="1" customWidth="1"/>
    <col min="12291" max="12291" width="0" style="1" hidden="1" customWidth="1"/>
    <col min="12292" max="12292" width="17" style="1" customWidth="1"/>
    <col min="12293" max="12293" width="15.69921875" style="1" customWidth="1"/>
    <col min="12294" max="12294" width="6.8984375" style="1" customWidth="1"/>
    <col min="12295" max="12296" width="15.19921875" style="1" customWidth="1"/>
    <col min="12297" max="12297" width="18.3984375" style="1" customWidth="1"/>
    <col min="12298" max="12298" width="0" style="1" hidden="1" customWidth="1"/>
    <col min="12299" max="12542" width="9.09765625" style="1"/>
    <col min="12543" max="12543" width="28.8984375" style="1" customWidth="1"/>
    <col min="12544" max="12544" width="11" style="1" customWidth="1"/>
    <col min="12545" max="12545" width="18.69921875" style="1" customWidth="1"/>
    <col min="12546" max="12546" width="20.8984375" style="1" customWidth="1"/>
    <col min="12547" max="12547" width="0" style="1" hidden="1" customWidth="1"/>
    <col min="12548" max="12548" width="17" style="1" customWidth="1"/>
    <col min="12549" max="12549" width="15.69921875" style="1" customWidth="1"/>
    <col min="12550" max="12550" width="6.8984375" style="1" customWidth="1"/>
    <col min="12551" max="12552" width="15.19921875" style="1" customWidth="1"/>
    <col min="12553" max="12553" width="18.3984375" style="1" customWidth="1"/>
    <col min="12554" max="12554" width="0" style="1" hidden="1" customWidth="1"/>
    <col min="12555" max="12798" width="9.09765625" style="1"/>
    <col min="12799" max="12799" width="28.8984375" style="1" customWidth="1"/>
    <col min="12800" max="12800" width="11" style="1" customWidth="1"/>
    <col min="12801" max="12801" width="18.69921875" style="1" customWidth="1"/>
    <col min="12802" max="12802" width="20.8984375" style="1" customWidth="1"/>
    <col min="12803" max="12803" width="0" style="1" hidden="1" customWidth="1"/>
    <col min="12804" max="12804" width="17" style="1" customWidth="1"/>
    <col min="12805" max="12805" width="15.69921875" style="1" customWidth="1"/>
    <col min="12806" max="12806" width="6.8984375" style="1" customWidth="1"/>
    <col min="12807" max="12808" width="15.19921875" style="1" customWidth="1"/>
    <col min="12809" max="12809" width="18.3984375" style="1" customWidth="1"/>
    <col min="12810" max="12810" width="0" style="1" hidden="1" customWidth="1"/>
    <col min="12811" max="13054" width="9.09765625" style="1"/>
    <col min="13055" max="13055" width="28.8984375" style="1" customWidth="1"/>
    <col min="13056" max="13056" width="11" style="1" customWidth="1"/>
    <col min="13057" max="13057" width="18.69921875" style="1" customWidth="1"/>
    <col min="13058" max="13058" width="20.8984375" style="1" customWidth="1"/>
    <col min="13059" max="13059" width="0" style="1" hidden="1" customWidth="1"/>
    <col min="13060" max="13060" width="17" style="1" customWidth="1"/>
    <col min="13061" max="13061" width="15.69921875" style="1" customWidth="1"/>
    <col min="13062" max="13062" width="6.8984375" style="1" customWidth="1"/>
    <col min="13063" max="13064" width="15.19921875" style="1" customWidth="1"/>
    <col min="13065" max="13065" width="18.3984375" style="1" customWidth="1"/>
    <col min="13066" max="13066" width="0" style="1" hidden="1" customWidth="1"/>
    <col min="13067" max="13310" width="9.09765625" style="1"/>
    <col min="13311" max="13311" width="28.8984375" style="1" customWidth="1"/>
    <col min="13312" max="13312" width="11" style="1" customWidth="1"/>
    <col min="13313" max="13313" width="18.69921875" style="1" customWidth="1"/>
    <col min="13314" max="13314" width="20.8984375" style="1" customWidth="1"/>
    <col min="13315" max="13315" width="0" style="1" hidden="1" customWidth="1"/>
    <col min="13316" max="13316" width="17" style="1" customWidth="1"/>
    <col min="13317" max="13317" width="15.69921875" style="1" customWidth="1"/>
    <col min="13318" max="13318" width="6.8984375" style="1" customWidth="1"/>
    <col min="13319" max="13320" width="15.19921875" style="1" customWidth="1"/>
    <col min="13321" max="13321" width="18.3984375" style="1" customWidth="1"/>
    <col min="13322" max="13322" width="0" style="1" hidden="1" customWidth="1"/>
    <col min="13323" max="13566" width="9.09765625" style="1"/>
    <col min="13567" max="13567" width="28.8984375" style="1" customWidth="1"/>
    <col min="13568" max="13568" width="11" style="1" customWidth="1"/>
    <col min="13569" max="13569" width="18.69921875" style="1" customWidth="1"/>
    <col min="13570" max="13570" width="20.8984375" style="1" customWidth="1"/>
    <col min="13571" max="13571" width="0" style="1" hidden="1" customWidth="1"/>
    <col min="13572" max="13572" width="17" style="1" customWidth="1"/>
    <col min="13573" max="13573" width="15.69921875" style="1" customWidth="1"/>
    <col min="13574" max="13574" width="6.8984375" style="1" customWidth="1"/>
    <col min="13575" max="13576" width="15.19921875" style="1" customWidth="1"/>
    <col min="13577" max="13577" width="18.3984375" style="1" customWidth="1"/>
    <col min="13578" max="13578" width="0" style="1" hidden="1" customWidth="1"/>
    <col min="13579" max="13822" width="9.09765625" style="1"/>
    <col min="13823" max="13823" width="28.8984375" style="1" customWidth="1"/>
    <col min="13824" max="13824" width="11" style="1" customWidth="1"/>
    <col min="13825" max="13825" width="18.69921875" style="1" customWidth="1"/>
    <col min="13826" max="13826" width="20.8984375" style="1" customWidth="1"/>
    <col min="13827" max="13827" width="0" style="1" hidden="1" customWidth="1"/>
    <col min="13828" max="13828" width="17" style="1" customWidth="1"/>
    <col min="13829" max="13829" width="15.69921875" style="1" customWidth="1"/>
    <col min="13830" max="13830" width="6.8984375" style="1" customWidth="1"/>
    <col min="13831" max="13832" width="15.19921875" style="1" customWidth="1"/>
    <col min="13833" max="13833" width="18.3984375" style="1" customWidth="1"/>
    <col min="13834" max="13834" width="0" style="1" hidden="1" customWidth="1"/>
    <col min="13835" max="14078" width="9.09765625" style="1"/>
    <col min="14079" max="14079" width="28.8984375" style="1" customWidth="1"/>
    <col min="14080" max="14080" width="11" style="1" customWidth="1"/>
    <col min="14081" max="14081" width="18.69921875" style="1" customWidth="1"/>
    <col min="14082" max="14082" width="20.8984375" style="1" customWidth="1"/>
    <col min="14083" max="14083" width="0" style="1" hidden="1" customWidth="1"/>
    <col min="14084" max="14084" width="17" style="1" customWidth="1"/>
    <col min="14085" max="14085" width="15.69921875" style="1" customWidth="1"/>
    <col min="14086" max="14086" width="6.8984375" style="1" customWidth="1"/>
    <col min="14087" max="14088" width="15.19921875" style="1" customWidth="1"/>
    <col min="14089" max="14089" width="18.3984375" style="1" customWidth="1"/>
    <col min="14090" max="14090" width="0" style="1" hidden="1" customWidth="1"/>
    <col min="14091" max="14334" width="9.09765625" style="1"/>
    <col min="14335" max="14335" width="28.8984375" style="1" customWidth="1"/>
    <col min="14336" max="14336" width="11" style="1" customWidth="1"/>
    <col min="14337" max="14337" width="18.69921875" style="1" customWidth="1"/>
    <col min="14338" max="14338" width="20.8984375" style="1" customWidth="1"/>
    <col min="14339" max="14339" width="0" style="1" hidden="1" customWidth="1"/>
    <col min="14340" max="14340" width="17" style="1" customWidth="1"/>
    <col min="14341" max="14341" width="15.69921875" style="1" customWidth="1"/>
    <col min="14342" max="14342" width="6.8984375" style="1" customWidth="1"/>
    <col min="14343" max="14344" width="15.19921875" style="1" customWidth="1"/>
    <col min="14345" max="14345" width="18.3984375" style="1" customWidth="1"/>
    <col min="14346" max="14346" width="0" style="1" hidden="1" customWidth="1"/>
    <col min="14347" max="14590" width="9.09765625" style="1"/>
    <col min="14591" max="14591" width="28.8984375" style="1" customWidth="1"/>
    <col min="14592" max="14592" width="11" style="1" customWidth="1"/>
    <col min="14593" max="14593" width="18.69921875" style="1" customWidth="1"/>
    <col min="14594" max="14594" width="20.8984375" style="1" customWidth="1"/>
    <col min="14595" max="14595" width="0" style="1" hidden="1" customWidth="1"/>
    <col min="14596" max="14596" width="17" style="1" customWidth="1"/>
    <col min="14597" max="14597" width="15.69921875" style="1" customWidth="1"/>
    <col min="14598" max="14598" width="6.8984375" style="1" customWidth="1"/>
    <col min="14599" max="14600" width="15.19921875" style="1" customWidth="1"/>
    <col min="14601" max="14601" width="18.3984375" style="1" customWidth="1"/>
    <col min="14602" max="14602" width="0" style="1" hidden="1" customWidth="1"/>
    <col min="14603" max="14846" width="9.09765625" style="1"/>
    <col min="14847" max="14847" width="28.8984375" style="1" customWidth="1"/>
    <col min="14848" max="14848" width="11" style="1" customWidth="1"/>
    <col min="14849" max="14849" width="18.69921875" style="1" customWidth="1"/>
    <col min="14850" max="14850" width="20.8984375" style="1" customWidth="1"/>
    <col min="14851" max="14851" width="0" style="1" hidden="1" customWidth="1"/>
    <col min="14852" max="14852" width="17" style="1" customWidth="1"/>
    <col min="14853" max="14853" width="15.69921875" style="1" customWidth="1"/>
    <col min="14854" max="14854" width="6.8984375" style="1" customWidth="1"/>
    <col min="14855" max="14856" width="15.19921875" style="1" customWidth="1"/>
    <col min="14857" max="14857" width="18.3984375" style="1" customWidth="1"/>
    <col min="14858" max="14858" width="0" style="1" hidden="1" customWidth="1"/>
    <col min="14859" max="15102" width="9.09765625" style="1"/>
    <col min="15103" max="15103" width="28.8984375" style="1" customWidth="1"/>
    <col min="15104" max="15104" width="11" style="1" customWidth="1"/>
    <col min="15105" max="15105" width="18.69921875" style="1" customWidth="1"/>
    <col min="15106" max="15106" width="20.8984375" style="1" customWidth="1"/>
    <col min="15107" max="15107" width="0" style="1" hidden="1" customWidth="1"/>
    <col min="15108" max="15108" width="17" style="1" customWidth="1"/>
    <col min="15109" max="15109" width="15.69921875" style="1" customWidth="1"/>
    <col min="15110" max="15110" width="6.8984375" style="1" customWidth="1"/>
    <col min="15111" max="15112" width="15.19921875" style="1" customWidth="1"/>
    <col min="15113" max="15113" width="18.3984375" style="1" customWidth="1"/>
    <col min="15114" max="15114" width="0" style="1" hidden="1" customWidth="1"/>
    <col min="15115" max="15358" width="9.09765625" style="1"/>
    <col min="15359" max="15359" width="28.8984375" style="1" customWidth="1"/>
    <col min="15360" max="15360" width="11" style="1" customWidth="1"/>
    <col min="15361" max="15361" width="18.69921875" style="1" customWidth="1"/>
    <col min="15362" max="15362" width="20.8984375" style="1" customWidth="1"/>
    <col min="15363" max="15363" width="0" style="1" hidden="1" customWidth="1"/>
    <col min="15364" max="15364" width="17" style="1" customWidth="1"/>
    <col min="15365" max="15365" width="15.69921875" style="1" customWidth="1"/>
    <col min="15366" max="15366" width="6.8984375" style="1" customWidth="1"/>
    <col min="15367" max="15368" width="15.19921875" style="1" customWidth="1"/>
    <col min="15369" max="15369" width="18.3984375" style="1" customWidth="1"/>
    <col min="15370" max="15370" width="0" style="1" hidden="1" customWidth="1"/>
    <col min="15371" max="15614" width="9.09765625" style="1"/>
    <col min="15615" max="15615" width="28.8984375" style="1" customWidth="1"/>
    <col min="15616" max="15616" width="11" style="1" customWidth="1"/>
    <col min="15617" max="15617" width="18.69921875" style="1" customWidth="1"/>
    <col min="15618" max="15618" width="20.8984375" style="1" customWidth="1"/>
    <col min="15619" max="15619" width="0" style="1" hidden="1" customWidth="1"/>
    <col min="15620" max="15620" width="17" style="1" customWidth="1"/>
    <col min="15621" max="15621" width="15.69921875" style="1" customWidth="1"/>
    <col min="15622" max="15622" width="6.8984375" style="1" customWidth="1"/>
    <col min="15623" max="15624" width="15.19921875" style="1" customWidth="1"/>
    <col min="15625" max="15625" width="18.3984375" style="1" customWidth="1"/>
    <col min="15626" max="15626" width="0" style="1" hidden="1" customWidth="1"/>
    <col min="15627" max="15870" width="9.09765625" style="1"/>
    <col min="15871" max="15871" width="28.8984375" style="1" customWidth="1"/>
    <col min="15872" max="15872" width="11" style="1" customWidth="1"/>
    <col min="15873" max="15873" width="18.69921875" style="1" customWidth="1"/>
    <col min="15874" max="15874" width="20.8984375" style="1" customWidth="1"/>
    <col min="15875" max="15875" width="0" style="1" hidden="1" customWidth="1"/>
    <col min="15876" max="15876" width="17" style="1" customWidth="1"/>
    <col min="15877" max="15877" width="15.69921875" style="1" customWidth="1"/>
    <col min="15878" max="15878" width="6.8984375" style="1" customWidth="1"/>
    <col min="15879" max="15880" width="15.19921875" style="1" customWidth="1"/>
    <col min="15881" max="15881" width="18.3984375" style="1" customWidth="1"/>
    <col min="15882" max="15882" width="0" style="1" hidden="1" customWidth="1"/>
    <col min="15883" max="16126" width="9.09765625" style="1"/>
    <col min="16127" max="16127" width="28.8984375" style="1" customWidth="1"/>
    <col min="16128" max="16128" width="11" style="1" customWidth="1"/>
    <col min="16129" max="16129" width="18.69921875" style="1" customWidth="1"/>
    <col min="16130" max="16130" width="20.8984375" style="1" customWidth="1"/>
    <col min="16131" max="16131" width="0" style="1" hidden="1" customWidth="1"/>
    <col min="16132" max="16132" width="17" style="1" customWidth="1"/>
    <col min="16133" max="16133" width="15.69921875" style="1" customWidth="1"/>
    <col min="16134" max="16134" width="6.8984375" style="1" customWidth="1"/>
    <col min="16135" max="16136" width="15.19921875" style="1" customWidth="1"/>
    <col min="16137" max="16137" width="18.3984375" style="1" customWidth="1"/>
    <col min="16138" max="16138" width="0" style="1" hidden="1" customWidth="1"/>
    <col min="16139" max="16381" width="9.09765625" style="1"/>
    <col min="16382" max="16384" width="9.09765625" style="1" customWidth="1"/>
  </cols>
  <sheetData>
    <row r="1" spans="1:10" s="28" customFormat="1">
      <c r="A1" s="28" t="s">
        <v>44</v>
      </c>
      <c r="B1" s="29"/>
      <c r="C1" s="30"/>
      <c r="D1" s="30"/>
      <c r="E1" s="30"/>
      <c r="G1" s="29"/>
      <c r="H1" s="30"/>
    </row>
    <row r="2" spans="1:10" s="28" customFormat="1">
      <c r="A2" s="28" t="s">
        <v>45</v>
      </c>
      <c r="B2" s="29"/>
      <c r="C2" s="30"/>
      <c r="D2" s="30"/>
      <c r="E2" s="30"/>
      <c r="G2" s="29"/>
      <c r="H2" s="30"/>
    </row>
    <row r="4" spans="1:10" s="3" customFormat="1" ht="20.399999999999999">
      <c r="A4" s="70" t="s">
        <v>17</v>
      </c>
      <c r="B4" s="70"/>
      <c r="C4" s="70"/>
      <c r="D4" s="70"/>
      <c r="E4" s="70"/>
      <c r="F4" s="70"/>
      <c r="G4" s="70"/>
      <c r="H4" s="70"/>
      <c r="I4" s="70"/>
      <c r="J4" s="70"/>
    </row>
    <row r="6" spans="1:10" s="32" customFormat="1" ht="41.25" customHeight="1">
      <c r="A6" s="52" t="s">
        <v>1</v>
      </c>
      <c r="B6" s="53" t="s">
        <v>2</v>
      </c>
      <c r="C6" s="54" t="s">
        <v>0</v>
      </c>
      <c r="D6" s="54" t="s">
        <v>15</v>
      </c>
      <c r="E6" s="55" t="s">
        <v>16</v>
      </c>
      <c r="F6" s="52" t="s">
        <v>3</v>
      </c>
      <c r="G6" s="53" t="s">
        <v>4</v>
      </c>
      <c r="H6" s="54" t="s">
        <v>5</v>
      </c>
      <c r="I6" s="56" t="s">
        <v>23</v>
      </c>
      <c r="J6" s="52" t="s">
        <v>6</v>
      </c>
    </row>
    <row r="7" spans="1:10" s="28" customFormat="1" ht="30.75" customHeight="1">
      <c r="A7" s="51" t="s">
        <v>22</v>
      </c>
      <c r="B7" s="35">
        <f>+B8+B9</f>
        <v>0.42942727697523436</v>
      </c>
      <c r="C7" s="36">
        <f>+C8+C9</f>
        <v>681267061</v>
      </c>
      <c r="D7" s="36">
        <f>D8+D9</f>
        <v>399102913</v>
      </c>
      <c r="E7" s="36">
        <f>E8+E9</f>
        <v>72629136.27023147</v>
      </c>
      <c r="F7" s="37">
        <f>F8+F9</f>
        <v>209535011.72976851</v>
      </c>
      <c r="G7" s="35">
        <v>0.1</v>
      </c>
      <c r="H7" s="36">
        <f>F7*G7</f>
        <v>20953501.172976851</v>
      </c>
      <c r="I7" s="37">
        <f>+(H7*50%)-1</f>
        <v>10476749.586488426</v>
      </c>
      <c r="J7" s="37">
        <f>+H7-I7</f>
        <v>10476751.586488426</v>
      </c>
    </row>
    <row r="8" spans="1:10" ht="21.75" customHeight="1">
      <c r="A8" s="39">
        <v>5113</v>
      </c>
      <c r="B8" s="67">
        <f>C8/C13</f>
        <v>0.42928018235454246</v>
      </c>
      <c r="C8" s="40">
        <f>'BANG KE DOANH THU 2025'!D4</f>
        <v>681033702</v>
      </c>
      <c r="D8" s="40">
        <f>'BANG KE DOANH THU 2025'!E4</f>
        <v>399102913</v>
      </c>
      <c r="E8" s="41">
        <f>B8*E13</f>
        <v>72604258.122466624</v>
      </c>
      <c r="F8" s="63">
        <f>C8-D8-E8</f>
        <v>209326530.87753338</v>
      </c>
      <c r="G8" s="42"/>
      <c r="H8" s="36"/>
      <c r="I8" s="37"/>
      <c r="J8" s="37"/>
    </row>
    <row r="9" spans="1:10" ht="21.75" customHeight="1">
      <c r="A9" s="39">
        <v>5151</v>
      </c>
      <c r="B9" s="67">
        <f>C9/C13</f>
        <v>1.4709462069187535E-4</v>
      </c>
      <c r="C9" s="40">
        <v>233359</v>
      </c>
      <c r="D9" s="40"/>
      <c r="E9" s="41">
        <f>B9*E13</f>
        <v>24878.14776485274</v>
      </c>
      <c r="F9" s="63">
        <f>C9-D9-E9</f>
        <v>208480.85223514726</v>
      </c>
      <c r="G9" s="42"/>
      <c r="H9" s="36"/>
      <c r="I9" s="37"/>
      <c r="J9" s="37"/>
    </row>
    <row r="10" spans="1:10" s="28" customFormat="1" ht="28.2">
      <c r="A10" s="51" t="s">
        <v>26</v>
      </c>
      <c r="B10" s="35">
        <f>C10/C13</f>
        <v>0.57057272302476569</v>
      </c>
      <c r="C10" s="36">
        <f>C11+C12</f>
        <v>905187963</v>
      </c>
      <c r="D10" s="36">
        <f>D11+D12</f>
        <v>836894243</v>
      </c>
      <c r="E10" s="36">
        <f>E11+E12</f>
        <v>96501098.72976853</v>
      </c>
      <c r="F10" s="37">
        <f>F11+F12</f>
        <v>-28207378.72976853</v>
      </c>
      <c r="G10" s="38">
        <v>0.17</v>
      </c>
      <c r="H10" s="36">
        <f>+G10*F10</f>
        <v>-4795254.3840606501</v>
      </c>
      <c r="I10" s="37">
        <v>0</v>
      </c>
      <c r="J10" s="37">
        <f>+H10-I10</f>
        <v>-4795254.3840606501</v>
      </c>
    </row>
    <row r="11" spans="1:10" s="28" customFormat="1">
      <c r="A11" s="39">
        <v>5112</v>
      </c>
      <c r="B11" s="68">
        <f>C11/C13</f>
        <v>0.50599828350381271</v>
      </c>
      <c r="C11" s="41">
        <f>'BANG KE DOANH THU 2025'!D16</f>
        <v>802743519</v>
      </c>
      <c r="D11" s="41">
        <f>'BANG KE DOANH THU 2025'!E16</f>
        <v>776859216</v>
      </c>
      <c r="E11" s="41">
        <f>B11*E13</f>
        <v>85579608.598596469</v>
      </c>
      <c r="F11" s="37">
        <f>C11-D11-E11</f>
        <v>-59695305.598596469</v>
      </c>
      <c r="G11" s="38"/>
      <c r="H11" s="36"/>
      <c r="I11" s="37"/>
      <c r="J11" s="37"/>
    </row>
    <row r="12" spans="1:10">
      <c r="A12" s="39">
        <v>5113</v>
      </c>
      <c r="B12" s="43">
        <f>C12/C13</f>
        <v>6.4574439520952973E-2</v>
      </c>
      <c r="C12" s="40">
        <f>'BANG KE DOANH THU 2025'!D15-'TINH THUE TNDN'!C11</f>
        <v>102444444</v>
      </c>
      <c r="D12" s="41">
        <f>'BANG KE DOANH THU 2025'!E15-'TINH THUE TNDN'!D11</f>
        <v>60035027</v>
      </c>
      <c r="E12" s="41">
        <f>B12*E13</f>
        <v>10921490.131172063</v>
      </c>
      <c r="F12" s="37">
        <f>C12-D12-E12</f>
        <v>31487926.868827939</v>
      </c>
      <c r="G12" s="42"/>
      <c r="H12" s="41"/>
      <c r="I12" s="39"/>
      <c r="J12" s="39"/>
    </row>
    <row r="13" spans="1:10" s="28" customFormat="1">
      <c r="A13" s="34" t="s">
        <v>7</v>
      </c>
      <c r="B13" s="38">
        <f>B7+B10</f>
        <v>1</v>
      </c>
      <c r="C13" s="44">
        <f>+C10+C7</f>
        <v>1586455024</v>
      </c>
      <c r="D13" s="44">
        <f>+D10+D7</f>
        <v>1235997156</v>
      </c>
      <c r="E13" s="45">
        <v>169130235</v>
      </c>
      <c r="F13" s="36">
        <f>F7+F10</f>
        <v>181327633</v>
      </c>
      <c r="G13" s="36"/>
      <c r="H13" s="36">
        <f>H10+H7</f>
        <v>16158246.7889162</v>
      </c>
      <c r="I13" s="36">
        <f>I10+I7</f>
        <v>10476749.586488426</v>
      </c>
      <c r="J13" s="64">
        <f>J10+J7</f>
        <v>5681497.2024277756</v>
      </c>
    </row>
    <row r="14" spans="1:10" hidden="1">
      <c r="A14" s="4"/>
      <c r="B14" s="46"/>
      <c r="C14" s="47"/>
      <c r="D14" s="47"/>
      <c r="E14" s="47"/>
      <c r="F14" s="48" t="e">
        <f>+C13-#REF!-#REF!-#REF!</f>
        <v>#REF!</v>
      </c>
      <c r="G14" s="46"/>
      <c r="H14" s="47"/>
      <c r="I14" s="4"/>
      <c r="J14" s="4"/>
    </row>
    <row r="15" spans="1:10" hidden="1">
      <c r="A15" s="4"/>
      <c r="B15" s="46"/>
      <c r="C15" s="47">
        <v>10793007946</v>
      </c>
      <c r="D15" s="47"/>
      <c r="E15" s="47"/>
      <c r="F15" s="47">
        <v>720227155</v>
      </c>
      <c r="G15" s="46"/>
      <c r="H15" s="47"/>
      <c r="I15" s="4">
        <v>74441349</v>
      </c>
      <c r="J15" s="4"/>
    </row>
    <row r="16" spans="1:10" hidden="1">
      <c r="A16" s="4"/>
      <c r="B16" s="46"/>
      <c r="C16" s="47">
        <v>454939007</v>
      </c>
      <c r="D16" s="47"/>
      <c r="E16" s="47"/>
      <c r="F16" s="48">
        <f>F15-F13</f>
        <v>538899522</v>
      </c>
      <c r="G16" s="46"/>
      <c r="H16" s="47"/>
      <c r="I16" s="48">
        <f>+I15-J13</f>
        <v>68759851.797572225</v>
      </c>
      <c r="J16" s="4"/>
    </row>
    <row r="17" spans="1:10" hidden="1">
      <c r="A17" s="4"/>
      <c r="B17" s="46"/>
      <c r="C17" s="47">
        <v>781954</v>
      </c>
      <c r="D17" s="47"/>
      <c r="E17" s="47"/>
      <c r="F17" s="4"/>
      <c r="G17" s="46"/>
      <c r="H17" s="47">
        <v>54680132</v>
      </c>
      <c r="I17" s="4"/>
      <c r="J17" s="4"/>
    </row>
    <row r="18" spans="1:10" hidden="1">
      <c r="A18" s="4"/>
      <c r="B18" s="46"/>
      <c r="C18" s="47">
        <f>+C17+C16+C15</f>
        <v>11248728907</v>
      </c>
      <c r="D18" s="47"/>
      <c r="E18" s="47"/>
      <c r="F18" s="47"/>
      <c r="G18" s="46"/>
      <c r="H18" s="47" t="e">
        <f>+H17-#REF!</f>
        <v>#REF!</v>
      </c>
      <c r="I18" s="4"/>
      <c r="J18" s="4"/>
    </row>
    <row r="19" spans="1:10" ht="16.5" customHeight="1">
      <c r="A19" s="4"/>
      <c r="B19" s="46"/>
      <c r="C19" s="47">
        <v>911</v>
      </c>
      <c r="D19" s="47">
        <v>632</v>
      </c>
      <c r="E19" s="47">
        <v>6422</v>
      </c>
      <c r="F19" s="48"/>
      <c r="G19" s="49"/>
      <c r="H19" s="71" t="s">
        <v>43</v>
      </c>
      <c r="I19" s="71"/>
      <c r="J19" s="71"/>
    </row>
    <row r="20" spans="1:10">
      <c r="A20" s="72"/>
      <c r="B20" s="72"/>
      <c r="C20" s="47"/>
      <c r="D20" s="47"/>
      <c r="E20" s="47"/>
      <c r="F20" s="48"/>
      <c r="G20" s="46"/>
      <c r="H20" s="73" t="s">
        <v>8</v>
      </c>
      <c r="I20" s="73"/>
      <c r="J20" s="73"/>
    </row>
    <row r="21" spans="1:10">
      <c r="A21" s="4"/>
      <c r="B21" s="46"/>
      <c r="C21" s="49"/>
      <c r="D21" s="49"/>
      <c r="E21" s="47" t="s">
        <v>24</v>
      </c>
      <c r="F21" s="69"/>
      <c r="G21" s="46"/>
      <c r="H21" s="47"/>
      <c r="I21" s="4"/>
      <c r="J21" s="4"/>
    </row>
    <row r="22" spans="1:10">
      <c r="A22" s="48"/>
      <c r="B22" s="46"/>
      <c r="C22" s="47"/>
      <c r="D22" s="47"/>
      <c r="E22" s="49" t="s">
        <v>25</v>
      </c>
      <c r="F22" s="49"/>
      <c r="G22" s="46"/>
      <c r="H22" s="47"/>
      <c r="I22" s="4"/>
      <c r="J22" s="4"/>
    </row>
    <row r="23" spans="1:10">
      <c r="E23" s="19" t="s">
        <v>46</v>
      </c>
    </row>
    <row r="24" spans="1:10">
      <c r="F24" s="33"/>
    </row>
    <row r="25" spans="1:10">
      <c r="E25" s="19" t="s">
        <v>47</v>
      </c>
      <c r="F25" s="33">
        <f>F13*0.2</f>
        <v>36265526.600000001</v>
      </c>
    </row>
    <row r="26" spans="1:10">
      <c r="E26" s="19" t="s">
        <v>29</v>
      </c>
      <c r="F26" s="33">
        <f>H13</f>
        <v>16158246.7889162</v>
      </c>
    </row>
    <row r="27" spans="1:10">
      <c r="E27" s="19" t="s">
        <v>30</v>
      </c>
      <c r="F27" s="33">
        <f>F25-F26</f>
        <v>20107279.811083801</v>
      </c>
    </row>
  </sheetData>
  <mergeCells count="4">
    <mergeCell ref="A4:J4"/>
    <mergeCell ref="H19:J19"/>
    <mergeCell ref="A20:B20"/>
    <mergeCell ref="H20:J20"/>
  </mergeCells>
  <pageMargins left="0" right="0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BANG KE DOANH THU 2025</vt:lpstr>
      <vt:lpstr>TINH THUE TNDN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2026-03-28T12:44:15Z</dcterms:modified>
</cp:coreProperties>
</file>