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AN AN\NAM 2025\"/>
    </mc:Choice>
  </mc:AlternateContent>
  <xr:revisionPtr revIDLastSave="0" documentId="13_ncr:1_{EBCA783A-B693-4384-AC59-6541D259EF2C}" xr6:coauthVersionLast="47" xr6:coauthVersionMax="47" xr10:uidLastSave="{00000000-0000-0000-0000-000000000000}"/>
  <bookViews>
    <workbookView xWindow="-120" yWindow="-120" windowWidth="20730" windowHeight="11160" tabRatio="677" activeTab="1" xr2:uid="{00000000-000D-0000-FFFF-FFFF00000000}"/>
  </bookViews>
  <sheets>
    <sheet name="THONG TIN" sheetId="2" r:id="rId1"/>
    <sheet name="SL 2025" sheetId="4" r:id="rId2"/>
    <sheet name="T1" sheetId="5" r:id="rId3"/>
    <sheet name="T2" sheetId="10" r:id="rId4"/>
    <sheet name="T3" sheetId="11" r:id="rId5"/>
    <sheet name="T4" sheetId="6" r:id="rId6"/>
    <sheet name="T5" sheetId="12" r:id="rId7"/>
    <sheet name="T6" sheetId="13" r:id="rId8"/>
    <sheet name="T7" sheetId="7" r:id="rId9"/>
    <sheet name="T8" sheetId="14" r:id="rId10"/>
    <sheet name="T9" sheetId="15" r:id="rId11"/>
    <sheet name="T10" sheetId="8" r:id="rId12"/>
    <sheet name="T11" sheetId="16" r:id="rId13"/>
    <sheet name="T12" sheetId="1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4" l="1"/>
  <c r="F20" i="4"/>
  <c r="C47" i="4" l="1"/>
  <c r="E52" i="5" l="1"/>
  <c r="E38" i="6"/>
  <c r="E38" i="11"/>
  <c r="D26" i="4"/>
  <c r="D48" i="4"/>
  <c r="C54" i="15"/>
  <c r="D54" i="17"/>
  <c r="C54" i="17"/>
  <c r="D54" i="16"/>
  <c r="C54" i="16"/>
  <c r="D54" i="8"/>
  <c r="C54" i="8"/>
  <c r="D54" i="15"/>
  <c r="D25" i="14"/>
  <c r="C25" i="14"/>
  <c r="D54" i="7"/>
  <c r="C54" i="7"/>
  <c r="D54" i="13"/>
  <c r="C54" i="13"/>
  <c r="D54" i="12"/>
  <c r="C54" i="12"/>
  <c r="D54" i="6"/>
  <c r="C54" i="6"/>
  <c r="D25" i="11"/>
  <c r="C25" i="11"/>
  <c r="C55" i="5"/>
  <c r="D55" i="10"/>
  <c r="C55" i="10"/>
  <c r="E23" i="17"/>
  <c r="D25" i="17"/>
  <c r="C25" i="17"/>
  <c r="E23" i="16"/>
  <c r="D25" i="16"/>
  <c r="C25" i="16"/>
  <c r="E23" i="8"/>
  <c r="D25" i="8"/>
  <c r="C25" i="8"/>
  <c r="E23" i="15"/>
  <c r="D25" i="15"/>
  <c r="C25" i="15"/>
  <c r="E23" i="14"/>
  <c r="E23" i="7"/>
  <c r="D25" i="7"/>
  <c r="C25" i="7"/>
  <c r="E23" i="13"/>
  <c r="D25" i="13"/>
  <c r="C25" i="13"/>
  <c r="E23" i="12"/>
  <c r="D25" i="12"/>
  <c r="C25" i="12"/>
  <c r="E23" i="6"/>
  <c r="D25" i="6"/>
  <c r="C25" i="6"/>
  <c r="E23" i="11"/>
  <c r="D25" i="10"/>
  <c r="E23" i="10"/>
  <c r="C25" i="10"/>
  <c r="E23" i="5"/>
  <c r="B55" i="10"/>
  <c r="E53" i="10"/>
  <c r="E52" i="10"/>
  <c r="E51" i="10"/>
  <c r="D50" i="10"/>
  <c r="E50" i="10" s="1"/>
  <c r="E45" i="10"/>
  <c r="E53" i="5"/>
  <c r="E55" i="10" l="1"/>
  <c r="E51" i="11"/>
  <c r="F51" i="11" s="1"/>
  <c r="E51" i="6"/>
  <c r="F51" i="6" s="1"/>
  <c r="E51" i="12"/>
  <c r="E51" i="13"/>
  <c r="E51" i="7"/>
  <c r="E51" i="14"/>
  <c r="E51" i="15"/>
  <c r="E51" i="8"/>
  <c r="E51" i="16"/>
  <c r="E51" i="17"/>
  <c r="E51" i="5"/>
  <c r="D22" i="10"/>
  <c r="E22" i="10" s="1"/>
  <c r="D22" i="11"/>
  <c r="E22" i="11" s="1"/>
  <c r="D22" i="6"/>
  <c r="E22" i="6" s="1"/>
  <c r="D22" i="12"/>
  <c r="E22" i="12" s="1"/>
  <c r="D22" i="13"/>
  <c r="E22" i="13" s="1"/>
  <c r="D22" i="7"/>
  <c r="E22" i="7" s="1"/>
  <c r="D22" i="14"/>
  <c r="E22" i="14" s="1"/>
  <c r="D22" i="15"/>
  <c r="E22" i="15" s="1"/>
  <c r="D22" i="8"/>
  <c r="E22" i="8" s="1"/>
  <c r="D22" i="16"/>
  <c r="E22" i="16" s="1"/>
  <c r="D22" i="17"/>
  <c r="E22" i="17" s="1"/>
  <c r="D22" i="5"/>
  <c r="E22" i="5" s="1"/>
  <c r="D46" i="4"/>
  <c r="C43" i="4"/>
  <c r="E38" i="5" s="1"/>
  <c r="F53" i="5" s="1"/>
  <c r="F52" i="5" l="1"/>
  <c r="F51" i="5"/>
  <c r="D12" i="4"/>
  <c r="D20" i="4"/>
  <c r="D25" i="4" l="1"/>
  <c r="E25" i="4"/>
  <c r="D58" i="4" l="1"/>
  <c r="F50" i="4"/>
  <c r="F46" i="4"/>
  <c r="F58" i="4"/>
  <c r="C55" i="4"/>
  <c r="E38" i="8" s="1"/>
  <c r="F51" i="8" s="1"/>
  <c r="F54" i="4" l="1"/>
  <c r="F59" i="4" s="1"/>
  <c r="C57" i="4"/>
  <c r="E38" i="17" s="1"/>
  <c r="F51" i="17" s="1"/>
  <c r="C56" i="4"/>
  <c r="E38" i="16" s="1"/>
  <c r="F51" i="16" s="1"/>
  <c r="C53" i="4"/>
  <c r="E38" i="15" s="1"/>
  <c r="F51" i="15" s="1"/>
  <c r="C52" i="4"/>
  <c r="E38" i="14" s="1"/>
  <c r="F51" i="14" s="1"/>
  <c r="C51" i="4"/>
  <c r="E38" i="7" s="1"/>
  <c r="F51" i="7" s="1"/>
  <c r="C49" i="4"/>
  <c r="E38" i="13" s="1"/>
  <c r="F51" i="13" s="1"/>
  <c r="C48" i="4"/>
  <c r="E38" i="12" s="1"/>
  <c r="F51" i="12" s="1"/>
  <c r="C45" i="4"/>
  <c r="C44" i="4"/>
  <c r="E38" i="10" s="1"/>
  <c r="F52" i="10" l="1"/>
  <c r="F45" i="10"/>
  <c r="F51" i="10"/>
  <c r="F53" i="10"/>
  <c r="F50" i="10"/>
  <c r="C58" i="4"/>
  <c r="C46" i="4"/>
  <c r="E58" i="4"/>
  <c r="E54" i="4"/>
  <c r="E50" i="4"/>
  <c r="E46" i="4"/>
  <c r="E20" i="4"/>
  <c r="E16" i="4"/>
  <c r="E12" i="4"/>
  <c r="E45" i="17"/>
  <c r="E45" i="16"/>
  <c r="E45" i="8"/>
  <c r="E45" i="15"/>
  <c r="E45" i="14"/>
  <c r="E45" i="7"/>
  <c r="E45" i="13"/>
  <c r="E45" i="12"/>
  <c r="F55" i="10" l="1"/>
  <c r="I44" i="4" s="1"/>
  <c r="E26" i="4"/>
  <c r="F45" i="8"/>
  <c r="F45" i="7"/>
  <c r="F45" i="16"/>
  <c r="F45" i="12"/>
  <c r="F45" i="14"/>
  <c r="F45" i="17"/>
  <c r="F45" i="13"/>
  <c r="F45" i="15"/>
  <c r="E59" i="4"/>
  <c r="H60" i="4" s="1"/>
  <c r="E45" i="6"/>
  <c r="E45" i="11"/>
  <c r="E45" i="5"/>
  <c r="E16" i="17"/>
  <c r="E25" i="17" s="1"/>
  <c r="E16" i="16"/>
  <c r="E25" i="16" s="1"/>
  <c r="E16" i="8"/>
  <c r="E25" i="8" s="1"/>
  <c r="E16" i="15"/>
  <c r="E25" i="15" s="1"/>
  <c r="E16" i="14"/>
  <c r="E25" i="14" s="1"/>
  <c r="E16" i="7"/>
  <c r="E25" i="7" s="1"/>
  <c r="E16" i="13"/>
  <c r="E25" i="13" s="1"/>
  <c r="E16" i="12"/>
  <c r="E25" i="12" s="1"/>
  <c r="E16" i="6"/>
  <c r="E25" i="6" s="1"/>
  <c r="E16" i="11"/>
  <c r="E25" i="11" s="1"/>
  <c r="E16" i="10"/>
  <c r="E25" i="10" s="1"/>
  <c r="E16" i="5"/>
  <c r="G59" i="4" l="1"/>
  <c r="F45" i="5"/>
  <c r="F45" i="11"/>
  <c r="F45" i="6"/>
  <c r="B54" i="17"/>
  <c r="D50" i="17"/>
  <c r="E50" i="17"/>
  <c r="B25" i="17"/>
  <c r="D21" i="17"/>
  <c r="C21" i="17"/>
  <c r="A2" i="17"/>
  <c r="A31" i="17" s="1"/>
  <c r="A1" i="17"/>
  <c r="A30" i="17" s="1"/>
  <c r="B54" i="16"/>
  <c r="D50" i="16"/>
  <c r="E50" i="16"/>
  <c r="B25" i="16"/>
  <c r="D21" i="16"/>
  <c r="C21" i="16"/>
  <c r="A2" i="16"/>
  <c r="A31" i="16" s="1"/>
  <c r="A1" i="16"/>
  <c r="A30" i="16" s="1"/>
  <c r="B54" i="8"/>
  <c r="D50" i="8"/>
  <c r="B25" i="8"/>
  <c r="D21" i="8"/>
  <c r="C21" i="8"/>
  <c r="A2" i="8"/>
  <c r="A31" i="8" s="1"/>
  <c r="A1" i="8"/>
  <c r="A30" i="8" s="1"/>
  <c r="B54" i="15"/>
  <c r="D50" i="15"/>
  <c r="E50" i="15"/>
  <c r="B25" i="15"/>
  <c r="D21" i="15"/>
  <c r="C21" i="15"/>
  <c r="A2" i="15"/>
  <c r="A31" i="15" s="1"/>
  <c r="A1" i="15"/>
  <c r="A30" i="15" s="1"/>
  <c r="B54" i="14"/>
  <c r="D50" i="14"/>
  <c r="D54" i="14" s="1"/>
  <c r="B25" i="14"/>
  <c r="D21" i="14"/>
  <c r="C21" i="14"/>
  <c r="A2" i="14"/>
  <c r="A31" i="14" s="1"/>
  <c r="A1" i="14"/>
  <c r="A30" i="14" s="1"/>
  <c r="B54" i="7"/>
  <c r="D50" i="7"/>
  <c r="B25" i="7"/>
  <c r="D21" i="7"/>
  <c r="C21" i="7"/>
  <c r="A2" i="7"/>
  <c r="A31" i="7" s="1"/>
  <c r="A1" i="7"/>
  <c r="A30" i="7" s="1"/>
  <c r="B54" i="13"/>
  <c r="D50" i="13"/>
  <c r="B25" i="13"/>
  <c r="D21" i="13"/>
  <c r="C21" i="13"/>
  <c r="A2" i="13"/>
  <c r="A31" i="13" s="1"/>
  <c r="A1" i="13"/>
  <c r="A30" i="13" s="1"/>
  <c r="B54" i="12"/>
  <c r="D50" i="12"/>
  <c r="E50" i="12"/>
  <c r="B25" i="12"/>
  <c r="D21" i="12"/>
  <c r="C21" i="12"/>
  <c r="A2" i="12"/>
  <c r="A31" i="12" s="1"/>
  <c r="A1" i="12"/>
  <c r="A30" i="12" s="1"/>
  <c r="C21" i="6"/>
  <c r="C54" i="11"/>
  <c r="C21" i="11"/>
  <c r="E50" i="7" l="1"/>
  <c r="E52" i="12"/>
  <c r="E52" i="13"/>
  <c r="E52" i="8"/>
  <c r="E52" i="7"/>
  <c r="E50" i="14"/>
  <c r="E52" i="16"/>
  <c r="E21" i="17"/>
  <c r="E21" i="13"/>
  <c r="E52" i="15"/>
  <c r="E21" i="8"/>
  <c r="E21" i="7"/>
  <c r="E21" i="16"/>
  <c r="E21" i="12"/>
  <c r="E50" i="13"/>
  <c r="F50" i="13" s="1"/>
  <c r="E52" i="14"/>
  <c r="F52" i="14" s="1"/>
  <c r="C54" i="14"/>
  <c r="E21" i="15"/>
  <c r="E50" i="8"/>
  <c r="E52" i="17"/>
  <c r="F50" i="17"/>
  <c r="F50" i="16"/>
  <c r="F50" i="15"/>
  <c r="E21" i="14"/>
  <c r="F50" i="7"/>
  <c r="F50" i="12"/>
  <c r="F52" i="17" l="1"/>
  <c r="F54" i="17" s="1"/>
  <c r="I57" i="4" s="1"/>
  <c r="E54" i="17"/>
  <c r="F52" i="16"/>
  <c r="F54" i="16" s="1"/>
  <c r="I56" i="4" s="1"/>
  <c r="E54" i="16"/>
  <c r="F52" i="8"/>
  <c r="F54" i="8" s="1"/>
  <c r="E54" i="8"/>
  <c r="F52" i="15"/>
  <c r="F54" i="15" s="1"/>
  <c r="I53" i="4" s="1"/>
  <c r="E54" i="15"/>
  <c r="F52" i="7"/>
  <c r="F54" i="7" s="1"/>
  <c r="I51" i="4" s="1"/>
  <c r="E54" i="7"/>
  <c r="F52" i="13"/>
  <c r="F54" i="13" s="1"/>
  <c r="E54" i="13"/>
  <c r="F52" i="12"/>
  <c r="F54" i="12" s="1"/>
  <c r="I48" i="4" s="1"/>
  <c r="E54" i="12"/>
  <c r="E54" i="14"/>
  <c r="F50" i="8"/>
  <c r="F50" i="14"/>
  <c r="F54" i="14" s="1"/>
  <c r="I49" i="4"/>
  <c r="I52" i="4" l="1"/>
  <c r="I55" i="4"/>
  <c r="C21" i="10"/>
  <c r="D21" i="5"/>
  <c r="D25" i="5" s="1"/>
  <c r="C21" i="5"/>
  <c r="C25" i="5" s="1"/>
  <c r="B54" i="11"/>
  <c r="E52" i="11"/>
  <c r="F52" i="11" s="1"/>
  <c r="D50" i="11"/>
  <c r="D54" i="11" s="1"/>
  <c r="B25" i="11"/>
  <c r="D21" i="11"/>
  <c r="A2" i="11"/>
  <c r="A31" i="11" s="1"/>
  <c r="A1" i="11"/>
  <c r="A30" i="11" s="1"/>
  <c r="B25" i="10"/>
  <c r="D21" i="10"/>
  <c r="A2" i="10"/>
  <c r="A31" i="10" s="1"/>
  <c r="A1" i="10"/>
  <c r="A30" i="10" s="1"/>
  <c r="E21" i="10" l="1"/>
  <c r="E21" i="11"/>
  <c r="E50" i="11"/>
  <c r="E54" i="11" s="1"/>
  <c r="F50" i="11" l="1"/>
  <c r="F54" i="11" s="1"/>
  <c r="I45" i="4" l="1"/>
  <c r="E52" i="6"/>
  <c r="E54" i="6" s="1"/>
  <c r="B54" i="6"/>
  <c r="D50" i="6"/>
  <c r="B25" i="6"/>
  <c r="D21" i="6"/>
  <c r="B55" i="5"/>
  <c r="D50" i="5"/>
  <c r="D55" i="5" s="1"/>
  <c r="B25" i="5"/>
  <c r="E21" i="5"/>
  <c r="E25" i="5" s="1"/>
  <c r="E50" i="6" l="1"/>
  <c r="E21" i="6"/>
  <c r="E50" i="5"/>
  <c r="E55" i="5" s="1"/>
  <c r="A2" i="6"/>
  <c r="A31" i="6" s="1"/>
  <c r="A1" i="6"/>
  <c r="A30" i="6" s="1"/>
  <c r="A2" i="5"/>
  <c r="A31" i="5" s="1"/>
  <c r="A1" i="5"/>
  <c r="A30" i="5" s="1"/>
  <c r="F50" i="5" l="1"/>
  <c r="F55" i="5" s="1"/>
  <c r="F52" i="6"/>
  <c r="F50" i="6"/>
  <c r="F54" i="6" l="1"/>
  <c r="D54" i="4"/>
  <c r="D50" i="4"/>
  <c r="C36" i="4"/>
  <c r="C35" i="4"/>
  <c r="I47" i="4" l="1"/>
  <c r="I43" i="4"/>
  <c r="D59" i="4"/>
  <c r="C54" i="4"/>
  <c r="C50" i="4"/>
  <c r="D16" i="4"/>
  <c r="I58" i="4" l="1"/>
  <c r="I59" i="4" s="1"/>
  <c r="C59" i="4"/>
  <c r="C2" i="4"/>
  <c r="C1" i="4"/>
  <c r="F16" i="14" l="1"/>
  <c r="F25" i="4"/>
  <c r="C22" i="4"/>
  <c r="E9" i="16" s="1"/>
  <c r="F21" i="17"/>
  <c r="F22" i="17"/>
  <c r="C23" i="4"/>
  <c r="E9" i="17"/>
  <c r="F16" i="17" s="1"/>
  <c r="F25" i="17" s="1"/>
  <c r="I23" i="4" s="1"/>
  <c r="F23" i="17"/>
  <c r="C14" i="4"/>
  <c r="E9" i="12"/>
  <c r="F21" i="12" s="1"/>
  <c r="C19" i="4"/>
  <c r="E9" i="15" s="1"/>
  <c r="F22" i="14"/>
  <c r="C18" i="4"/>
  <c r="E9" i="14"/>
  <c r="F21" i="14" s="1"/>
  <c r="C15" i="4"/>
  <c r="E9" i="13" s="1"/>
  <c r="C21" i="4"/>
  <c r="E9" i="8" s="1"/>
  <c r="C17" i="4"/>
  <c r="E9" i="7" s="1"/>
  <c r="C20" i="4"/>
  <c r="C13" i="4"/>
  <c r="C16" i="4" s="1"/>
  <c r="F16" i="7" l="1"/>
  <c r="F23" i="7"/>
  <c r="F22" i="7"/>
  <c r="F21" i="7"/>
  <c r="F16" i="8"/>
  <c r="F22" i="8"/>
  <c r="F23" i="8"/>
  <c r="F21" i="8"/>
  <c r="F25" i="14"/>
  <c r="I18" i="4" s="1"/>
  <c r="F16" i="13"/>
  <c r="F21" i="13"/>
  <c r="F23" i="13"/>
  <c r="F22" i="13"/>
  <c r="F21" i="15"/>
  <c r="F23" i="15"/>
  <c r="F22" i="15"/>
  <c r="F16" i="15"/>
  <c r="F25" i="15" s="1"/>
  <c r="I19" i="4" s="1"/>
  <c r="F16" i="16"/>
  <c r="F21" i="16"/>
  <c r="F23" i="16"/>
  <c r="F22" i="16"/>
  <c r="F23" i="14"/>
  <c r="E9" i="6"/>
  <c r="F22" i="12"/>
  <c r="F16" i="12"/>
  <c r="C25" i="4"/>
  <c r="F23" i="12"/>
  <c r="F25" i="12" l="1"/>
  <c r="I14" i="4" s="1"/>
  <c r="F16" i="6"/>
  <c r="F21" i="6"/>
  <c r="F22" i="6"/>
  <c r="F23" i="6"/>
  <c r="F25" i="16"/>
  <c r="I22" i="4" s="1"/>
  <c r="F25" i="13"/>
  <c r="I15" i="4" s="1"/>
  <c r="F25" i="8"/>
  <c r="I21" i="4" s="1"/>
  <c r="F25" i="7"/>
  <c r="I17" i="4" s="1"/>
  <c r="F25" i="6" l="1"/>
  <c r="I13" i="4" s="1"/>
  <c r="C10" i="4"/>
  <c r="E9" i="10" s="1"/>
  <c r="C11" i="4"/>
  <c r="E9" i="11" s="1"/>
  <c r="C9" i="4"/>
  <c r="E9" i="5" s="1"/>
  <c r="F12" i="4"/>
  <c r="F26" i="4"/>
  <c r="G26" i="4" s="1"/>
  <c r="F21" i="11" l="1"/>
  <c r="F23" i="11"/>
  <c r="F16" i="11"/>
  <c r="F22" i="11"/>
  <c r="F22" i="5"/>
  <c r="F23" i="5"/>
  <c r="F16" i="5"/>
  <c r="F21" i="5"/>
  <c r="F23" i="10"/>
  <c r="F22" i="10"/>
  <c r="F16" i="10"/>
  <c r="F21" i="10"/>
  <c r="C12" i="4"/>
  <c r="C26" i="4" s="1"/>
  <c r="H27" i="4"/>
  <c r="F25" i="10" l="1"/>
  <c r="I10" i="4" s="1"/>
  <c r="F25" i="5"/>
  <c r="I9" i="4" s="1"/>
  <c r="F25" i="11"/>
  <c r="I11" i="4" s="1"/>
  <c r="I24" i="4" l="1"/>
  <c r="I25" i="4" s="1"/>
</calcChain>
</file>

<file path=xl/sharedStrings.xml><?xml version="1.0" encoding="utf-8"?>
<sst xmlns="http://schemas.openxmlformats.org/spreadsheetml/2006/main" count="872" uniqueCount="120">
  <si>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</si>
  <si>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</si>
  <si>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</si>
  <si>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</si>
  <si>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</si>
  <si>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</si>
  <si>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</si>
  <si>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</si>
  <si>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</si>
  <si>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</si>
  <si>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</si>
  <si>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</si>
  <si>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</si>
  <si>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</si>
  <si>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</si>
  <si>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</si>
  <si>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</si>
  <si>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</si>
  <si>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</si>
  <si>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</si>
  <si>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</si>
  <si>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 xml:space="preserve">Tên doanh nghiệp: </t>
  </si>
  <si>
    <t>Trụ sở chính :</t>
  </si>
  <si>
    <t>Mã số thuế :</t>
  </si>
  <si>
    <t>Trụ sở chính:</t>
  </si>
  <si>
    <t>BẢNG BÁO CÁO SẢN LƯỢNG SẢN XUẤT VÀ TIÊU THỤ ĐIỆN SOLAR</t>
  </si>
  <si>
    <t xml:space="preserve">Công suất dự án : 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</si>
  <si>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</si>
  <si>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</si>
  <si>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</si>
  <si>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</si>
  <si>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</si>
  <si>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</si>
  <si>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</si>
  <si>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</si>
  <si>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</si>
  <si>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</si>
  <si>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</si>
  <si>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</si>
  <si>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</si>
  <si>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</si>
  <si>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</si>
  <si>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</si>
  <si>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</si>
  <si>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</si>
  <si>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</si>
  <si>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</si>
  <si>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</si>
  <si>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</si>
  <si>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</si>
  <si>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</si>
  <si>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</si>
  <si>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</si>
  <si>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</si>
  <si>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</si>
  <si>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</si>
  <si>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</si>
  <si>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</si>
  <si>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Công ty TNHH Thuận An</t>
  </si>
  <si>
    <t>Ấp Chồng Nô 3, Xã Hòa Tân, Huyện Cầu Kè, Tỉnh Trà Vinh</t>
  </si>
  <si>
    <t>2 1 0 0 4 0 6 8 1 8</t>
  </si>
  <si>
    <t xml:space="preserve">  62,3    Kw</t>
  </si>
  <si>
    <t>HÒA TÂN</t>
  </si>
  <si>
    <t>HÒA ÂN</t>
  </si>
  <si>
    <t xml:space="preserve"> 142,4     Kw</t>
  </si>
  <si>
    <t>Chi phí khấu hao hệ thống pin năng lượng mặt trời</t>
  </si>
  <si>
    <t>ĐỊA ĐIỂM :</t>
  </si>
  <si>
    <t>Giá thành</t>
  </si>
  <si>
    <t xml:space="preserve">Chi phí khấu hao thay tấm pin sửa chửa hệ thống </t>
  </si>
  <si>
    <t xml:space="preserve">Hóa đơn Số 02 </t>
  </si>
  <si>
    <t>Hóa đơn số 5</t>
  </si>
  <si>
    <t>Hóa đơn số 11</t>
  </si>
  <si>
    <t>Hóa đơn Số 06</t>
  </si>
  <si>
    <t>Hóa đơn Số 10</t>
  </si>
  <si>
    <t>Hóa đơn Số 12</t>
  </si>
  <si>
    <t>Chi phí khấu hao thay tấm pin + 3 interver (2024)</t>
  </si>
  <si>
    <t>Chi phí khấu hao thay tấm pin sửa chửa hệ thống (2023)</t>
  </si>
  <si>
    <t>Chi phí khấu hao thay tấm pin sửa chửa hệ thống (2024)</t>
  </si>
  <si>
    <t>Sản lượng còn lại 12/2024</t>
  </si>
  <si>
    <t>Hóa đơn 3</t>
  </si>
  <si>
    <t>Hóa đơn số 7</t>
  </si>
  <si>
    <t>Hóa đơn Số 8</t>
  </si>
  <si>
    <t>Hóa đơn Số 13</t>
  </si>
  <si>
    <t>Tháng 1/2025</t>
  </si>
  <si>
    <t>Tháng 2/2025</t>
  </si>
  <si>
    <t>Tháng 3/2025</t>
  </si>
  <si>
    <t>Tháng 4/2025</t>
  </si>
  <si>
    <t>Tháng 5/2025</t>
  </si>
  <si>
    <t>Tháng 5 /2025</t>
  </si>
  <si>
    <t>Tháng 6/2025</t>
  </si>
  <si>
    <t>Tháng 6 /2025</t>
  </si>
  <si>
    <t>Tháng 7/2025</t>
  </si>
  <si>
    <t>Tháng 7 /2025</t>
  </si>
  <si>
    <t>Tháng 8/2025</t>
  </si>
  <si>
    <t>Tháng 8 /2025</t>
  </si>
  <si>
    <t>Tháng 9/2025</t>
  </si>
  <si>
    <t>Tháng 9 /2025</t>
  </si>
  <si>
    <t>Tháng 10/2025</t>
  </si>
  <si>
    <t>Tháng 10 /2025</t>
  </si>
  <si>
    <t>Tháng 11/2025</t>
  </si>
  <si>
    <t>Tháng 11 /2025</t>
  </si>
  <si>
    <t>Tháng 12/2025</t>
  </si>
  <si>
    <t>Tháng 12 /2025</t>
  </si>
  <si>
    <t>Hóa đơn Số 16</t>
  </si>
  <si>
    <t>Hóa đơn Số 17</t>
  </si>
  <si>
    <t>Hóa đơn Số 19</t>
  </si>
  <si>
    <t>Hóa đơn Số 20</t>
  </si>
  <si>
    <t>Hóa đơn Số 22</t>
  </si>
  <si>
    <t>Hóa đơn Số 23</t>
  </si>
  <si>
    <t>Hóa đơn Số 24</t>
  </si>
  <si>
    <t>Hóa đơn Số 25</t>
  </si>
  <si>
    <t>Hóa đơn Số 26</t>
  </si>
  <si>
    <t>Hóa đơn Số 27</t>
  </si>
  <si>
    <t>Hóa đơn Số 28</t>
  </si>
  <si>
    <t>Hóa đơn Số 29</t>
  </si>
  <si>
    <t>Hóa đơn Số 31</t>
  </si>
  <si>
    <t>Hóa đơn Số 32</t>
  </si>
  <si>
    <t>Hóa đơn Số 02/2026</t>
  </si>
  <si>
    <t>Hóa đơn Số 01/2026</t>
  </si>
  <si>
    <t>Chi phí khấu hao sửa chửa hệ thống ĐMT(2025)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</si>
</sst>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1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Times New Roman"/>
      <family val="1"/>
      <scheme val="major"/>
    </font>
    <font>
      <b/>
      <sz val="10"/>
      <name val="Times New Roman"/>
      <family val="1"/>
      <scheme val="major"/>
    </font>
    <font>
      <i/>
      <sz val="10"/>
      <name val="Times New Roman"/>
      <family val="1"/>
      <scheme val="major"/>
    </font>
    <font>
      <b/>
      <sz val="14"/>
      <name val="Times New Roman"/>
      <family val="1"/>
      <scheme val="major"/>
    </font>
    <font>
      <sz val="10"/>
      <name val="Times New Roman"/>
      <family val="1"/>
      <scheme val="major"/>
    </font>
    <font>
      <i/>
      <sz val="8"/>
      <name val="Times New Roman"/>
      <family val="1"/>
      <scheme val="maj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0" fontId="2" fillId="0" borderId="0" xfId="0" applyFont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8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3" fontId="8" fillId="2" borderId="1" xfId="0" applyNumberFormat="1" applyFont="1" applyFill="1" applyBorder="1"/>
    <xf numFmtId="0" fontId="9" fillId="0" borderId="0" xfId="0" applyFont="1"/>
    <xf numFmtId="0" fontId="8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164" fontId="0" fillId="0" borderId="0" xfId="1" applyFont="1"/>
    <xf numFmtId="166" fontId="0" fillId="0" borderId="0" xfId="1" applyNumberFormat="1" applyFont="1"/>
    <xf numFmtId="166" fontId="8" fillId="2" borderId="1" xfId="0" applyNumberFormat="1" applyFont="1" applyFill="1" applyBorder="1"/>
    <xf numFmtId="166" fontId="0" fillId="0" borderId="0" xfId="0" applyNumberFormat="1"/>
    <xf numFmtId="3" fontId="0" fillId="0" borderId="0" xfId="0" applyNumberFormat="1"/>
    <xf numFmtId="0" fontId="3" fillId="4" borderId="0" xfId="0" applyFont="1" applyFill="1"/>
    <xf numFmtId="0" fontId="3" fillId="0" borderId="0" xfId="0" applyFont="1"/>
    <xf numFmtId="0" fontId="10" fillId="0" borderId="1" xfId="0" applyFont="1" applyBorder="1" applyAlignment="1">
      <alignment horizontal="center" vertical="center"/>
    </xf>
    <xf numFmtId="165" fontId="10" fillId="0" borderId="1" xfId="1" applyNumberFormat="1" applyFont="1" applyBorder="1" applyAlignment="1">
      <alignment vertical="center"/>
    </xf>
    <xf numFmtId="3" fontId="3" fillId="4" borderId="0" xfId="0" applyNumberFormat="1" applyFont="1" applyFill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10" fillId="0" borderId="3" xfId="1" applyNumberFormat="1" applyFont="1" applyBorder="1" applyAlignment="1">
      <alignment vertical="center"/>
    </xf>
    <xf numFmtId="0" fontId="2" fillId="0" borderId="14" xfId="0" applyFont="1" applyBorder="1"/>
    <xf numFmtId="165" fontId="2" fillId="0" borderId="15" xfId="1" applyNumberFormat="1" applyFont="1" applyBorder="1"/>
    <xf numFmtId="0" fontId="2" fillId="0" borderId="16" xfId="0" applyFont="1" applyBorder="1"/>
    <xf numFmtId="165" fontId="2" fillId="0" borderId="13" xfId="1" applyNumberFormat="1" applyFont="1" applyBorder="1"/>
    <xf numFmtId="165" fontId="2" fillId="0" borderId="11" xfId="1" applyNumberFormat="1" applyFont="1" applyBorder="1"/>
    <xf numFmtId="0" fontId="2" fillId="0" borderId="17" xfId="0" applyFont="1" applyBorder="1"/>
    <xf numFmtId="0" fontId="2" fillId="0" borderId="12" xfId="0" applyFont="1" applyBorder="1"/>
    <xf numFmtId="165" fontId="2" fillId="0" borderId="17" xfId="1" applyNumberFormat="1" applyFont="1" applyBorder="1"/>
    <xf numFmtId="165" fontId="2" fillId="0" borderId="12" xfId="1" applyNumberFormat="1" applyFont="1" applyBorder="1"/>
    <xf numFmtId="0" fontId="0" fillId="0" borderId="2" xfId="0" applyBorder="1" applyAlignment="1">
      <alignment horizontal="center" vertical="center"/>
    </xf>
    <xf numFmtId="166" fontId="0" fillId="0" borderId="2" xfId="1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0" fontId="0" fillId="4" borderId="0" xfId="0" applyFill="1"/>
    <xf numFmtId="164" fontId="0" fillId="4" borderId="0" xfId="1" applyFont="1" applyFill="1"/>
    <xf numFmtId="0" fontId="2" fillId="0" borderId="13" xfId="0" applyFont="1" applyBorder="1"/>
    <xf numFmtId="3" fontId="0" fillId="4" borderId="9" xfId="0" applyNumberFormat="1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166" fontId="0" fillId="0" borderId="0" xfId="1" applyNumberFormat="1" applyFont="1" applyFill="1"/>
    <xf numFmtId="3" fontId="0" fillId="0" borderId="10" xfId="0" applyNumberFormat="1" applyBorder="1"/>
    <xf numFmtId="0" fontId="0" fillId="4" borderId="1" xfId="0" applyFill="1" applyBorder="1" applyAlignment="1">
      <alignment vertical="center"/>
    </xf>
    <xf numFmtId="166" fontId="0" fillId="4" borderId="1" xfId="1" applyNumberFormat="1" applyFont="1" applyFill="1" applyBorder="1" applyAlignment="1">
      <alignment vertical="center"/>
    </xf>
    <xf numFmtId="166" fontId="0" fillId="4" borderId="1" xfId="1" applyNumberFormat="1" applyFont="1" applyFill="1" applyBorder="1" applyAlignment="1">
      <alignment horizontal="center" vertical="center"/>
    </xf>
    <xf numFmtId="166" fontId="0" fillId="4" borderId="2" xfId="1" applyNumberFormat="1" applyFont="1" applyFill="1" applyBorder="1" applyAlignment="1">
      <alignment horizontal="center" vertical="center"/>
    </xf>
    <xf numFmtId="0" fontId="0" fillId="5" borderId="0" xfId="0" applyFill="1"/>
    <xf numFmtId="165" fontId="10" fillId="0" borderId="5" xfId="1" applyNumberFormat="1" applyFont="1" applyBorder="1"/>
    <xf numFmtId="3" fontId="0" fillId="4" borderId="5" xfId="0" applyNumberFormat="1" applyFill="1" applyBorder="1"/>
    <xf numFmtId="3" fontId="0" fillId="5" borderId="5" xfId="0" applyNumberFormat="1" applyFill="1" applyBorder="1"/>
    <xf numFmtId="0" fontId="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5"/>
  <sheetViews>
    <sheetView workbookViewId="0">
      <selection activeCell="J15" sqref="J15"/>
    </sheetView>
  </sheetViews>
  <sheetFormatPr defaultRowHeight="15.75" x14ac:dyDescent="0.25"/>
  <sheetData>
    <row r="3" spans="1:3" x14ac:dyDescent="0.25">
      <c r="A3" t="s">
        <v>21</v>
      </c>
      <c r="C3" t="s">
        <v>58</v>
      </c>
    </row>
    <row r="4" spans="1:3" x14ac:dyDescent="0.25">
      <c r="A4" t="s">
        <v>22</v>
      </c>
      <c r="C4" t="s">
        <v>59</v>
      </c>
    </row>
    <row r="5" spans="1:3" x14ac:dyDescent="0.25">
      <c r="A5" t="s">
        <v>23</v>
      </c>
      <c r="C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tabSelected="1" topLeftCell="A7" zoomScale="90" zoomScaleNormal="90" workbookViewId="0">
      <selection activeCell="L45" sqref="L45"/>
    </sheetView>
  </sheetViews>
  <sheetFormatPr defaultRowHeight="15.75" x14ac:dyDescent="0.25"/>
  <cols>
    <col min="1" max="1" width="23" customWidth="1"/>
    <col min="2" max="2" width="2.625" customWidth="1"/>
    <col min="3" max="6" width="15.625" customWidth="1"/>
    <col min="8" max="8" width="18.375" customWidth="1"/>
    <col min="9" max="9" width="22.5" customWidth="1"/>
  </cols>
  <sheetData>
    <row r="1" spans="1:9" ht="33" customHeight="1" x14ac:dyDescent="0.25">
      <c r="A1" t="s">
        <v>21</v>
      </c>
      <c r="C1" t="str">
        <f>'THONG TIN'!C3</f>
        <v>Công ty TNHH Thuận An</v>
      </c>
    </row>
    <row r="2" spans="1:9" ht="27.75" customHeight="1" x14ac:dyDescent="0.25">
      <c r="A2" t="s">
        <v>24</v>
      </c>
      <c r="C2" t="str">
        <f>'THONG TIN'!C4</f>
        <v>Ấp Chồng Nô 3, Xã Hòa Tân, Huyện Cầu Kè, Tỉnh Trà Vinh</v>
      </c>
    </row>
    <row r="3" spans="1:9" ht="21.95" customHeight="1" x14ac:dyDescent="0.25">
      <c r="A3" s="88" t="s">
        <v>25</v>
      </c>
      <c r="B3" s="88"/>
      <c r="C3" s="88"/>
      <c r="D3" s="88"/>
      <c r="E3" s="88"/>
      <c r="F3" s="88"/>
    </row>
    <row r="4" spans="1:9" ht="21.95" customHeight="1" x14ac:dyDescent="0.25">
      <c r="A4" s="90" t="s">
        <v>62</v>
      </c>
      <c r="B4" s="90"/>
      <c r="C4" s="90"/>
      <c r="D4" s="90"/>
      <c r="E4" s="90"/>
      <c r="F4" s="90"/>
    </row>
    <row r="5" spans="1:9" ht="21.95" customHeight="1" x14ac:dyDescent="0.25">
      <c r="B5" t="s">
        <v>26</v>
      </c>
      <c r="D5" s="29" t="s">
        <v>61</v>
      </c>
      <c r="E5" s="24" t="s">
        <v>52</v>
      </c>
      <c r="F5" s="43">
        <v>2025</v>
      </c>
    </row>
    <row r="6" spans="1:9" ht="21.95" customHeight="1" x14ac:dyDescent="0.25"/>
    <row r="7" spans="1:9" ht="21.95" customHeight="1" x14ac:dyDescent="0.25">
      <c r="A7" s="89" t="s">
        <v>27</v>
      </c>
      <c r="B7" s="89"/>
      <c r="C7" s="44" t="s">
        <v>40</v>
      </c>
      <c r="D7" s="44" t="s">
        <v>41</v>
      </c>
      <c r="E7" s="44" t="s">
        <v>43</v>
      </c>
      <c r="F7" s="44" t="s">
        <v>42</v>
      </c>
      <c r="I7" s="55" t="s">
        <v>67</v>
      </c>
    </row>
    <row r="8" spans="1:9" ht="21.95" customHeight="1" x14ac:dyDescent="0.25">
      <c r="A8" s="80" t="s">
        <v>78</v>
      </c>
      <c r="B8" s="80"/>
      <c r="C8" s="81">
        <v>0</v>
      </c>
      <c r="D8" s="82">
        <v>6430</v>
      </c>
      <c r="E8" s="56"/>
      <c r="F8" s="56"/>
      <c r="G8" t="s">
        <v>79</v>
      </c>
      <c r="I8" s="55"/>
    </row>
    <row r="9" spans="1:9" ht="21.95" customHeight="1" x14ac:dyDescent="0.25">
      <c r="A9" s="32" t="s">
        <v>28</v>
      </c>
      <c r="B9" s="33"/>
      <c r="C9" s="46">
        <f>D9+E9+F9</f>
        <v>7429</v>
      </c>
      <c r="D9" s="34">
        <v>7067</v>
      </c>
      <c r="E9" s="34"/>
      <c r="F9" s="34">
        <v>362</v>
      </c>
      <c r="G9" t="s">
        <v>70</v>
      </c>
      <c r="H9" s="45"/>
      <c r="I9" s="46">
        <f>'T1'!F25</f>
        <v>1846.9773859200429</v>
      </c>
    </row>
    <row r="10" spans="1:9" ht="21.95" customHeight="1" x14ac:dyDescent="0.25">
      <c r="A10" s="27" t="s">
        <v>29</v>
      </c>
      <c r="B10" s="28"/>
      <c r="C10" s="46">
        <f t="shared" ref="C10:C11" si="0">D10+E10+F10</f>
        <v>8242</v>
      </c>
      <c r="D10" s="34">
        <v>8032</v>
      </c>
      <c r="E10" s="35"/>
      <c r="F10" s="35">
        <v>210</v>
      </c>
      <c r="G10" t="s">
        <v>80</v>
      </c>
      <c r="H10" s="45"/>
      <c r="I10" s="46">
        <f>'T2'!F25</f>
        <v>1664.7894928415435</v>
      </c>
    </row>
    <row r="11" spans="1:9" ht="21.95" customHeight="1" x14ac:dyDescent="0.25">
      <c r="A11" s="30" t="s">
        <v>30</v>
      </c>
      <c r="B11" s="31"/>
      <c r="C11" s="46">
        <f t="shared" si="0"/>
        <v>9208</v>
      </c>
      <c r="D11" s="34">
        <v>9190</v>
      </c>
      <c r="E11" s="36"/>
      <c r="F11" s="36">
        <v>18</v>
      </c>
      <c r="G11" t="s">
        <v>71</v>
      </c>
      <c r="H11" s="45"/>
      <c r="I11" s="46">
        <f>'T3'!F25</f>
        <v>1490.1384665508253</v>
      </c>
    </row>
    <row r="12" spans="1:9" ht="21.95" customHeight="1" x14ac:dyDescent="0.25">
      <c r="A12" s="39" t="s">
        <v>44</v>
      </c>
      <c r="B12" s="40"/>
      <c r="C12" s="70">
        <f>SUM(C8:C11)</f>
        <v>24879</v>
      </c>
      <c r="D12" s="70">
        <f>SUM(D9:D11)</f>
        <v>24289</v>
      </c>
      <c r="E12" s="71">
        <f>SUM(E9:E11)</f>
        <v>0</v>
      </c>
      <c r="F12" s="71">
        <f>SUM(F9:F11)</f>
        <v>590</v>
      </c>
      <c r="H12" s="45"/>
      <c r="I12" s="46"/>
    </row>
    <row r="13" spans="1:9" ht="21.95" customHeight="1" x14ac:dyDescent="0.25">
      <c r="A13" s="32" t="s">
        <v>31</v>
      </c>
      <c r="B13" s="33"/>
      <c r="C13" s="46">
        <f t="shared" ref="C13:C15" si="1">D13+E13+F13</f>
        <v>8814</v>
      </c>
      <c r="D13" s="37">
        <v>8442</v>
      </c>
      <c r="E13" s="37"/>
      <c r="F13" s="37">
        <v>372</v>
      </c>
      <c r="G13" t="s">
        <v>82</v>
      </c>
      <c r="H13" s="45"/>
      <c r="I13" s="46">
        <f>'T4'!F25</f>
        <v>1556.7500567279328</v>
      </c>
    </row>
    <row r="14" spans="1:9" ht="21.95" customHeight="1" x14ac:dyDescent="0.25">
      <c r="A14" s="27" t="s">
        <v>32</v>
      </c>
      <c r="B14" s="28"/>
      <c r="C14" s="46">
        <f t="shared" si="1"/>
        <v>7451</v>
      </c>
      <c r="D14" s="35">
        <v>7450</v>
      </c>
      <c r="E14" s="35"/>
      <c r="F14" s="35">
        <v>1</v>
      </c>
      <c r="G14" t="s">
        <v>103</v>
      </c>
      <c r="H14" s="45"/>
      <c r="I14" s="46">
        <f>'T5'!F25</f>
        <v>1841.5239565159038</v>
      </c>
    </row>
    <row r="15" spans="1:9" ht="21.95" customHeight="1" x14ac:dyDescent="0.25">
      <c r="A15" s="30" t="s">
        <v>33</v>
      </c>
      <c r="B15" s="31"/>
      <c r="C15" s="46">
        <f t="shared" si="1"/>
        <v>6557</v>
      </c>
      <c r="D15" s="36">
        <v>6373</v>
      </c>
      <c r="E15" s="36"/>
      <c r="F15" s="36">
        <v>184</v>
      </c>
      <c r="G15" t="s">
        <v>105</v>
      </c>
      <c r="H15" s="45"/>
      <c r="I15" s="46">
        <f>'T6'!F25</f>
        <v>2092.6025621473232</v>
      </c>
    </row>
    <row r="16" spans="1:9" ht="21.95" customHeight="1" x14ac:dyDescent="0.25">
      <c r="A16" s="39" t="s">
        <v>45</v>
      </c>
      <c r="B16" s="40"/>
      <c r="C16" s="70">
        <f>SUM(C13:C15)</f>
        <v>22822</v>
      </c>
      <c r="D16" s="70">
        <f>SUM(D13:D15)</f>
        <v>22265</v>
      </c>
      <c r="E16" s="70">
        <f>SUM(E13:E15)</f>
        <v>0</v>
      </c>
      <c r="F16" s="70">
        <f>SUM(F13:F15)</f>
        <v>557</v>
      </c>
      <c r="H16" s="45"/>
      <c r="I16" s="46"/>
    </row>
    <row r="17" spans="1:9" ht="21.95" customHeight="1" x14ac:dyDescent="0.25">
      <c r="A17" s="32" t="s">
        <v>34</v>
      </c>
      <c r="B17" s="33"/>
      <c r="C17" s="46">
        <f>D17+E17+F17</f>
        <v>7222</v>
      </c>
      <c r="D17" s="37">
        <v>7207</v>
      </c>
      <c r="E17" s="37"/>
      <c r="F17" s="37">
        <v>15</v>
      </c>
      <c r="G17" t="s">
        <v>107</v>
      </c>
      <c r="H17" s="45"/>
      <c r="I17" s="46">
        <f>'T7'!F25</f>
        <v>1899.9162281916367</v>
      </c>
    </row>
    <row r="18" spans="1:9" ht="21.95" customHeight="1" x14ac:dyDescent="0.25">
      <c r="A18" s="27" t="s">
        <v>35</v>
      </c>
      <c r="B18" s="28"/>
      <c r="C18" s="46">
        <f t="shared" ref="C18:C19" si="2">D18+E18+F18</f>
        <v>7839</v>
      </c>
      <c r="D18" s="35">
        <v>7678</v>
      </c>
      <c r="E18" s="35"/>
      <c r="F18" s="35">
        <v>161</v>
      </c>
      <c r="G18" t="s">
        <v>109</v>
      </c>
      <c r="H18" s="45"/>
      <c r="I18" s="46">
        <f>'T8'!F25</f>
        <v>1750.3756856741932</v>
      </c>
    </row>
    <row r="19" spans="1:9" ht="21.95" customHeight="1" x14ac:dyDescent="0.25">
      <c r="A19" s="30" t="s">
        <v>36</v>
      </c>
      <c r="B19" s="31"/>
      <c r="C19" s="46">
        <f t="shared" si="2"/>
        <v>6549</v>
      </c>
      <c r="D19" s="36">
        <v>6450</v>
      </c>
      <c r="E19" s="35"/>
      <c r="F19" s="35">
        <v>99</v>
      </c>
      <c r="G19" t="s">
        <v>112</v>
      </c>
      <c r="H19" s="45"/>
      <c r="I19" s="46">
        <f>'T9'!F25</f>
        <v>2095.1588028706674</v>
      </c>
    </row>
    <row r="20" spans="1:9" ht="21.95" customHeight="1" x14ac:dyDescent="0.25">
      <c r="A20" s="39" t="s">
        <v>46</v>
      </c>
      <c r="B20" s="40"/>
      <c r="C20" s="70">
        <f>SUM(C17:C19)</f>
        <v>21610</v>
      </c>
      <c r="D20" s="70">
        <f>SUM(D17:D19)</f>
        <v>21335</v>
      </c>
      <c r="E20" s="70">
        <f>SUM(E17:E19)</f>
        <v>0</v>
      </c>
      <c r="F20" s="70">
        <f>SUM(F17:F19)</f>
        <v>275</v>
      </c>
      <c r="H20" s="45"/>
      <c r="I20" s="46"/>
    </row>
    <row r="21" spans="1:9" ht="21.95" customHeight="1" x14ac:dyDescent="0.25">
      <c r="A21" s="32" t="s">
        <v>37</v>
      </c>
      <c r="B21" s="33"/>
      <c r="C21" s="46">
        <f t="shared" ref="C21:C23" si="3">D21+E21+F21</f>
        <v>6914</v>
      </c>
      <c r="D21" s="36">
        <v>6732</v>
      </c>
      <c r="E21" s="36"/>
      <c r="F21" s="36">
        <v>182</v>
      </c>
      <c r="G21" t="s">
        <v>114</v>
      </c>
      <c r="H21" s="45"/>
      <c r="I21" s="46">
        <f>'T10'!F25</f>
        <v>1984.5523575354352</v>
      </c>
    </row>
    <row r="22" spans="1:9" ht="21.95" customHeight="1" x14ac:dyDescent="0.25">
      <c r="A22" s="27" t="s">
        <v>38</v>
      </c>
      <c r="B22" s="28"/>
      <c r="C22" s="46">
        <f t="shared" si="3"/>
        <v>6702</v>
      </c>
      <c r="D22" s="37">
        <v>6630</v>
      </c>
      <c r="E22" s="37"/>
      <c r="F22" s="37">
        <v>72</v>
      </c>
      <c r="G22" t="s">
        <v>115</v>
      </c>
      <c r="H22" s="45"/>
      <c r="I22" s="46">
        <f>'T11'!F25</f>
        <v>2047.3284094300209</v>
      </c>
    </row>
    <row r="23" spans="1:9" ht="21.95" customHeight="1" x14ac:dyDescent="0.25">
      <c r="A23" s="30" t="s">
        <v>39</v>
      </c>
      <c r="B23" s="31"/>
      <c r="C23" s="46">
        <f t="shared" si="3"/>
        <v>7222</v>
      </c>
      <c r="D23" s="86">
        <v>7188</v>
      </c>
      <c r="E23" s="35"/>
      <c r="F23" s="35">
        <v>34</v>
      </c>
      <c r="G23" t="s">
        <v>118</v>
      </c>
      <c r="H23" s="73"/>
      <c r="I23" s="46">
        <f>'T12'!F25</f>
        <v>1936.0481860980337</v>
      </c>
    </row>
    <row r="24" spans="1:9" ht="21.95" customHeight="1" x14ac:dyDescent="0.25">
      <c r="A24" s="76"/>
      <c r="B24" s="77"/>
      <c r="C24" s="78"/>
      <c r="D24" s="79"/>
      <c r="E24" s="79"/>
      <c r="F24" s="79"/>
      <c r="G24" s="72"/>
      <c r="H24" s="73"/>
      <c r="I24" s="46">
        <f>SUM(I9:I23)</f>
        <v>22206.161590503558</v>
      </c>
    </row>
    <row r="25" spans="1:9" ht="21.95" customHeight="1" x14ac:dyDescent="0.25">
      <c r="A25" s="39" t="s">
        <v>47</v>
      </c>
      <c r="B25" s="40"/>
      <c r="C25" s="70">
        <f>SUM(C21:C24)</f>
        <v>20838</v>
      </c>
      <c r="D25" s="70">
        <f>SUM(D21:D24)</f>
        <v>20550</v>
      </c>
      <c r="E25" s="70">
        <f>SUM(E21:E24)</f>
        <v>0</v>
      </c>
      <c r="F25" s="70">
        <f>SUM(F21:F24)</f>
        <v>288</v>
      </c>
      <c r="H25" s="45"/>
      <c r="I25" s="48">
        <f>I24/12</f>
        <v>1850.5134658752966</v>
      </c>
    </row>
    <row r="26" spans="1:9" ht="21.95" customHeight="1" x14ac:dyDescent="0.25">
      <c r="C26" s="48">
        <f>C12+C16+C20+C25</f>
        <v>90149</v>
      </c>
      <c r="D26" s="48">
        <f>D12+D16+D20+D25</f>
        <v>88439</v>
      </c>
      <c r="E26" s="49">
        <f>SUM(E12+E16+E20+E25)</f>
        <v>0</v>
      </c>
      <c r="F26" s="49">
        <f>SUM(F12+F16+F20+F25)</f>
        <v>1710</v>
      </c>
      <c r="G26" s="49">
        <f>E26+F26</f>
        <v>1710</v>
      </c>
      <c r="H26" s="48"/>
    </row>
    <row r="27" spans="1:9" ht="21.95" customHeight="1" x14ac:dyDescent="0.25">
      <c r="A27" s="38"/>
      <c r="C27" s="48"/>
      <c r="D27" s="48"/>
      <c r="F27" s="48"/>
      <c r="H27" s="49">
        <f>D23+E26+F26</f>
        <v>8898</v>
      </c>
    </row>
    <row r="28" spans="1:9" ht="21.95" customHeight="1" x14ac:dyDescent="0.25">
      <c r="A28" s="38" t="s">
        <v>48</v>
      </c>
      <c r="C28" s="42" t="s">
        <v>49</v>
      </c>
      <c r="H28" s="49"/>
    </row>
    <row r="29" spans="1:9" ht="21.95" customHeight="1" x14ac:dyDescent="0.25">
      <c r="C29" s="42" t="s">
        <v>57</v>
      </c>
    </row>
    <row r="30" spans="1:9" ht="21.95" customHeight="1" x14ac:dyDescent="0.25">
      <c r="C30" s="42" t="s">
        <v>50</v>
      </c>
    </row>
    <row r="31" spans="1:9" ht="21.95" customHeight="1" x14ac:dyDescent="0.25">
      <c r="C31" s="42" t="s">
        <v>51</v>
      </c>
    </row>
    <row r="34" spans="1:9" x14ac:dyDescent="0.25">
      <c r="C34" s="42"/>
    </row>
    <row r="35" spans="1:9" ht="21.95" customHeight="1" x14ac:dyDescent="0.25">
      <c r="A35" t="s">
        <v>21</v>
      </c>
      <c r="C35" t="str">
        <f>'THONG TIN'!C3</f>
        <v>Công ty TNHH Thuận An</v>
      </c>
    </row>
    <row r="36" spans="1:9" ht="21.95" customHeight="1" x14ac:dyDescent="0.25">
      <c r="A36" t="s">
        <v>24</v>
      </c>
      <c r="C36" t="str">
        <f>'THONG TIN'!C4</f>
        <v>Ấp Chồng Nô 3, Xã Hòa Tân, Huyện Cầu Kè, Tỉnh Trà Vinh</v>
      </c>
    </row>
    <row r="37" spans="1:9" ht="21.95" customHeight="1" x14ac:dyDescent="0.25">
      <c r="A37" s="88" t="s">
        <v>25</v>
      </c>
      <c r="B37" s="88"/>
      <c r="C37" s="88"/>
      <c r="D37" s="88"/>
      <c r="E37" s="88"/>
      <c r="F37" s="88"/>
    </row>
    <row r="38" spans="1:9" ht="21.95" customHeight="1" x14ac:dyDescent="0.25">
      <c r="A38" s="90" t="s">
        <v>63</v>
      </c>
      <c r="B38" s="90"/>
      <c r="C38" s="90"/>
      <c r="D38" s="90"/>
      <c r="E38" s="90"/>
      <c r="F38" s="90"/>
    </row>
    <row r="39" spans="1:9" ht="21.95" customHeight="1" x14ac:dyDescent="0.25">
      <c r="A39" s="42"/>
      <c r="B39" t="s">
        <v>26</v>
      </c>
      <c r="D39" s="29" t="s">
        <v>64</v>
      </c>
      <c r="E39" s="24" t="s">
        <v>52</v>
      </c>
      <c r="F39" s="43">
        <v>2025</v>
      </c>
    </row>
    <row r="40" spans="1:9" ht="21.95" customHeight="1" x14ac:dyDescent="0.25"/>
    <row r="41" spans="1:9" ht="21.95" customHeight="1" x14ac:dyDescent="0.25">
      <c r="A41" s="89" t="s">
        <v>27</v>
      </c>
      <c r="B41" s="89"/>
      <c r="C41" s="44" t="s">
        <v>40</v>
      </c>
      <c r="D41" s="44" t="s">
        <v>41</v>
      </c>
      <c r="E41" s="44" t="s">
        <v>43</v>
      </c>
      <c r="F41" s="44" t="s">
        <v>42</v>
      </c>
      <c r="I41" s="55" t="s">
        <v>67</v>
      </c>
    </row>
    <row r="42" spans="1:9" ht="21.95" customHeight="1" x14ac:dyDescent="0.25">
      <c r="A42" s="80" t="s">
        <v>78</v>
      </c>
      <c r="B42" s="68"/>
      <c r="C42" s="69">
        <v>0</v>
      </c>
      <c r="D42" s="83">
        <v>12107</v>
      </c>
      <c r="E42" s="68"/>
      <c r="F42" s="68"/>
      <c r="G42" t="s">
        <v>69</v>
      </c>
      <c r="I42" s="55"/>
    </row>
    <row r="43" spans="1:9" ht="21.95" customHeight="1" x14ac:dyDescent="0.25">
      <c r="A43" s="25" t="s">
        <v>28</v>
      </c>
      <c r="B43" s="26"/>
      <c r="C43" s="46">
        <f>D43+E43+F43</f>
        <v>15752</v>
      </c>
      <c r="D43" s="34">
        <v>13737</v>
      </c>
      <c r="E43" s="34">
        <v>1200</v>
      </c>
      <c r="F43" s="34">
        <v>815</v>
      </c>
      <c r="G43" t="s">
        <v>72</v>
      </c>
      <c r="I43" s="46">
        <f>'T1'!F55</f>
        <v>1544.0509776536312</v>
      </c>
    </row>
    <row r="44" spans="1:9" ht="21.95" customHeight="1" x14ac:dyDescent="0.25">
      <c r="A44" s="27" t="s">
        <v>29</v>
      </c>
      <c r="B44" s="28"/>
      <c r="C44" s="46">
        <f t="shared" ref="C44:C45" si="4">D44+E44+F44</f>
        <v>18008</v>
      </c>
      <c r="D44" s="34">
        <v>15400</v>
      </c>
      <c r="E44" s="35">
        <v>1100</v>
      </c>
      <c r="F44" s="34">
        <v>1508</v>
      </c>
      <c r="G44" t="s">
        <v>81</v>
      </c>
      <c r="I44" s="46">
        <f>'T2'!F55</f>
        <v>1381.7641603731674</v>
      </c>
    </row>
    <row r="45" spans="1:9" ht="21.95" customHeight="1" x14ac:dyDescent="0.25">
      <c r="A45" s="30" t="s">
        <v>30</v>
      </c>
      <c r="B45" s="31"/>
      <c r="C45" s="46">
        <f t="shared" si="4"/>
        <v>19059</v>
      </c>
      <c r="D45" s="34">
        <v>18886</v>
      </c>
      <c r="E45" s="36">
        <v>0</v>
      </c>
      <c r="F45" s="34">
        <v>173</v>
      </c>
      <c r="G45" t="s">
        <v>73</v>
      </c>
      <c r="I45" s="46">
        <f>'T3'!F54</f>
        <v>1305.5673959809012</v>
      </c>
    </row>
    <row r="46" spans="1:9" ht="21.95" customHeight="1" x14ac:dyDescent="0.25">
      <c r="A46" s="39" t="s">
        <v>44</v>
      </c>
      <c r="B46" s="40"/>
      <c r="C46" s="41">
        <f>SUM(C42:C45)</f>
        <v>52819</v>
      </c>
      <c r="D46" s="41">
        <f>SUM(D43:D45)</f>
        <v>48023</v>
      </c>
      <c r="E46" s="41">
        <f>SUM(E43:E45)</f>
        <v>2300</v>
      </c>
      <c r="F46" s="41">
        <f>SUM(F43:F45)</f>
        <v>2496</v>
      </c>
      <c r="I46" s="46"/>
    </row>
    <row r="47" spans="1:9" ht="21.95" customHeight="1" x14ac:dyDescent="0.25">
      <c r="A47" s="32" t="s">
        <v>31</v>
      </c>
      <c r="B47" s="33"/>
      <c r="C47" s="46">
        <f>D47+E47+F47</f>
        <v>18181</v>
      </c>
      <c r="D47" s="37">
        <v>16482</v>
      </c>
      <c r="E47" s="37">
        <v>980</v>
      </c>
      <c r="F47" s="37">
        <v>719</v>
      </c>
      <c r="G47" t="s">
        <v>74</v>
      </c>
      <c r="I47" s="46">
        <f>'T4'!F54</f>
        <v>1368.6160827237225</v>
      </c>
    </row>
    <row r="48" spans="1:9" ht="21.95" customHeight="1" x14ac:dyDescent="0.25">
      <c r="A48" s="27" t="s">
        <v>32</v>
      </c>
      <c r="B48" s="28"/>
      <c r="C48" s="46">
        <f t="shared" ref="C48:C49" si="5">D48+E48+F48</f>
        <v>14776</v>
      </c>
      <c r="D48" s="35">
        <f>14361-272</f>
        <v>14089</v>
      </c>
      <c r="E48" s="35">
        <v>400</v>
      </c>
      <c r="F48" s="35">
        <v>287</v>
      </c>
      <c r="G48" t="s">
        <v>104</v>
      </c>
      <c r="I48" s="46">
        <f>'T5'!F54</f>
        <v>1684.0016919328641</v>
      </c>
    </row>
    <row r="49" spans="1:9" ht="21.95" customHeight="1" x14ac:dyDescent="0.25">
      <c r="A49" s="30" t="s">
        <v>33</v>
      </c>
      <c r="B49" s="31"/>
      <c r="C49" s="46">
        <f t="shared" si="5"/>
        <v>12977</v>
      </c>
      <c r="D49" s="36">
        <v>11650</v>
      </c>
      <c r="E49" s="36">
        <v>860</v>
      </c>
      <c r="F49" s="36">
        <v>467</v>
      </c>
      <c r="G49" t="s">
        <v>106</v>
      </c>
      <c r="I49" s="46">
        <f>'T6'!F54</f>
        <v>1917.4546505355629</v>
      </c>
    </row>
    <row r="50" spans="1:9" ht="21.95" customHeight="1" x14ac:dyDescent="0.25">
      <c r="A50" s="39" t="s">
        <v>45</v>
      </c>
      <c r="B50" s="40"/>
      <c r="C50" s="41">
        <f>SUM(C47:C49)</f>
        <v>45934</v>
      </c>
      <c r="D50" s="41">
        <f>SUM(D47:D49)</f>
        <v>42221</v>
      </c>
      <c r="E50" s="47">
        <f>SUM(E47:E49)</f>
        <v>2240</v>
      </c>
      <c r="F50" s="47">
        <f>SUM(F47:F49)</f>
        <v>1473</v>
      </c>
      <c r="I50" s="46"/>
    </row>
    <row r="51" spans="1:9" ht="21.95" customHeight="1" x14ac:dyDescent="0.25">
      <c r="A51" s="32" t="s">
        <v>34</v>
      </c>
      <c r="B51" s="33"/>
      <c r="C51" s="46">
        <f t="shared" ref="C51:C53" si="6">D51+E51+F51</f>
        <v>14653</v>
      </c>
      <c r="D51" s="37">
        <v>14204</v>
      </c>
      <c r="E51" s="37">
        <v>300</v>
      </c>
      <c r="F51" s="37">
        <v>149</v>
      </c>
      <c r="G51" t="s">
        <v>108</v>
      </c>
      <c r="I51" s="46">
        <f>'T7'!F54</f>
        <v>1698.1375145021498</v>
      </c>
    </row>
    <row r="52" spans="1:9" ht="21.95" customHeight="1" x14ac:dyDescent="0.25">
      <c r="A52" s="27" t="s">
        <v>35</v>
      </c>
      <c r="B52" s="28"/>
      <c r="C52" s="46">
        <f t="shared" si="6"/>
        <v>16187</v>
      </c>
      <c r="D52" s="35">
        <v>14564</v>
      </c>
      <c r="E52" s="35">
        <v>990</v>
      </c>
      <c r="F52" s="35">
        <v>633</v>
      </c>
      <c r="G52" t="s">
        <v>110</v>
      </c>
      <c r="I52" s="46">
        <f>'T8'!F54</f>
        <v>1537.2094273182183</v>
      </c>
    </row>
    <row r="53" spans="1:9" ht="21.95" customHeight="1" x14ac:dyDescent="0.25">
      <c r="A53" s="30" t="s">
        <v>36</v>
      </c>
      <c r="B53" s="31"/>
      <c r="C53" s="46">
        <f t="shared" si="6"/>
        <v>14020</v>
      </c>
      <c r="D53" s="36">
        <v>13423</v>
      </c>
      <c r="E53" s="36">
        <v>400</v>
      </c>
      <c r="F53" s="36">
        <v>197</v>
      </c>
      <c r="G53" t="s">
        <v>111</v>
      </c>
      <c r="I53" s="46">
        <f>'T9'!F54</f>
        <v>1774.8080599144077</v>
      </c>
    </row>
    <row r="54" spans="1:9" ht="21.95" customHeight="1" x14ac:dyDescent="0.25">
      <c r="A54" s="39" t="s">
        <v>46</v>
      </c>
      <c r="B54" s="40"/>
      <c r="C54" s="41">
        <f>SUM(C51:C53)</f>
        <v>44860</v>
      </c>
      <c r="D54" s="41">
        <f>SUM(D51:D53)</f>
        <v>42191</v>
      </c>
      <c r="E54" s="47">
        <f>SUM(E51:E53)</f>
        <v>1690</v>
      </c>
      <c r="F54" s="47">
        <f>SUM(F51:F53)</f>
        <v>979</v>
      </c>
      <c r="I54" s="46"/>
    </row>
    <row r="55" spans="1:9" ht="21.95" customHeight="1" x14ac:dyDescent="0.25">
      <c r="A55" s="32" t="s">
        <v>37</v>
      </c>
      <c r="B55" s="33"/>
      <c r="C55" s="46">
        <f>D55+E55+F55</f>
        <v>14287</v>
      </c>
      <c r="D55" s="37">
        <v>13552</v>
      </c>
      <c r="E55" s="37">
        <v>400</v>
      </c>
      <c r="F55" s="37">
        <v>335</v>
      </c>
      <c r="G55" t="s">
        <v>113</v>
      </c>
      <c r="I55" s="46">
        <f>'T10'!F54</f>
        <v>1741.6398824105829</v>
      </c>
    </row>
    <row r="56" spans="1:9" ht="21.95" customHeight="1" x14ac:dyDescent="0.25">
      <c r="A56" s="27" t="s">
        <v>38</v>
      </c>
      <c r="B56" s="28"/>
      <c r="C56" s="46">
        <f t="shared" ref="C56:C57" si="7">D56+E56+F56</f>
        <v>12938</v>
      </c>
      <c r="D56" s="87">
        <v>12259</v>
      </c>
      <c r="E56" s="87">
        <v>350</v>
      </c>
      <c r="F56" s="87">
        <v>329</v>
      </c>
      <c r="G56" s="84" t="s">
        <v>116</v>
      </c>
      <c r="I56" s="46">
        <f>'T11'!F54</f>
        <v>1923.2345803060753</v>
      </c>
    </row>
    <row r="57" spans="1:9" ht="21.95" customHeight="1" x14ac:dyDescent="0.25">
      <c r="A57" s="30" t="s">
        <v>39</v>
      </c>
      <c r="B57" s="31"/>
      <c r="C57" s="46">
        <f t="shared" si="7"/>
        <v>13924</v>
      </c>
      <c r="D57" s="75">
        <v>13251</v>
      </c>
      <c r="E57" s="36">
        <v>250</v>
      </c>
      <c r="F57" s="36">
        <v>423</v>
      </c>
      <c r="G57" s="72" t="s">
        <v>117</v>
      </c>
      <c r="H57" s="72"/>
      <c r="I57" s="46">
        <f>'T12'!F54</f>
        <v>1787.0445992530881</v>
      </c>
    </row>
    <row r="58" spans="1:9" ht="21.95" customHeight="1" x14ac:dyDescent="0.25">
      <c r="A58" s="39" t="s">
        <v>47</v>
      </c>
      <c r="B58" s="40"/>
      <c r="C58" s="41">
        <f>SUM(C55:C57)</f>
        <v>41149</v>
      </c>
      <c r="D58" s="41">
        <f>SUM(D55:D57)</f>
        <v>39062</v>
      </c>
      <c r="E58" s="47">
        <f>SUM(E55:E57)</f>
        <v>1000</v>
      </c>
      <c r="F58" s="47">
        <f>SUM(F55:F57)</f>
        <v>1087</v>
      </c>
      <c r="I58" s="48">
        <f>SUM(I43:I57)</f>
        <v>19663.529022904375</v>
      </c>
    </row>
    <row r="59" spans="1:9" ht="21.95" customHeight="1" x14ac:dyDescent="0.25">
      <c r="C59" s="49">
        <f>C46+C50+C54+C58</f>
        <v>184762</v>
      </c>
      <c r="D59" s="49">
        <f>D46+D50+D54+D58</f>
        <v>171497</v>
      </c>
      <c r="E59" s="49">
        <f>SUM(E46+E50+E54+E58)</f>
        <v>7230</v>
      </c>
      <c r="F59" s="49">
        <f>F46+F50+F54+F58</f>
        <v>6035</v>
      </c>
      <c r="G59" s="49">
        <f>E59+F59</f>
        <v>13265</v>
      </c>
      <c r="H59" s="49"/>
      <c r="I59" s="48">
        <f>I58/12</f>
        <v>1638.6274185753646</v>
      </c>
    </row>
    <row r="60" spans="1:9" ht="21.95" customHeight="1" x14ac:dyDescent="0.25">
      <c r="C60" s="49"/>
      <c r="D60" s="49"/>
      <c r="E60" s="49"/>
      <c r="F60" s="49"/>
      <c r="H60" s="49">
        <f>E59+F59+D57</f>
        <v>26516</v>
      </c>
    </row>
    <row r="61" spans="1:9" ht="21.95" customHeight="1" x14ac:dyDescent="0.25">
      <c r="A61" s="38" t="s">
        <v>48</v>
      </c>
      <c r="C61" s="42" t="s">
        <v>49</v>
      </c>
      <c r="H61" s="48"/>
    </row>
    <row r="62" spans="1:9" ht="21.95" customHeight="1" x14ac:dyDescent="0.25">
      <c r="C62" s="42" t="s">
        <v>57</v>
      </c>
      <c r="H62" s="48"/>
    </row>
    <row r="63" spans="1:9" ht="21.95" customHeight="1" x14ac:dyDescent="0.25">
      <c r="C63" s="42" t="s">
        <v>50</v>
      </c>
    </row>
    <row r="64" spans="1:9" ht="21.95" customHeight="1" x14ac:dyDescent="0.25">
      <c r="C64" s="42" t="s">
        <v>51</v>
      </c>
      <c r="H64" s="48"/>
    </row>
  </sheetData>
  <mergeCells count="6">
    <mergeCell ref="A3:F3"/>
    <mergeCell ref="A7:B7"/>
    <mergeCell ref="A37:F37"/>
    <mergeCell ref="A41:B41"/>
    <mergeCell ref="A4:F4"/>
    <mergeCell ref="A38:F3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topLeftCell="A37" workbookViewId="0">
      <selection activeCell="D46" sqref="D46"/>
    </sheetView>
  </sheetViews>
  <sheetFormatPr defaultRowHeight="18" customHeight="1" x14ac:dyDescent="0.25"/>
  <cols>
    <col min="1" max="1" width="45.12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8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8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8" customHeight="1" x14ac:dyDescent="0.25">
      <c r="E3" s="91" t="s">
        <v>53</v>
      </c>
      <c r="F3" s="91"/>
    </row>
    <row r="4" spans="1:6" ht="18" customHeight="1" x14ac:dyDescent="0.25">
      <c r="E4" s="91" t="s">
        <v>3</v>
      </c>
      <c r="F4" s="91"/>
    </row>
    <row r="5" spans="1:6" ht="18" customHeight="1" x14ac:dyDescent="0.3">
      <c r="A5" s="92" t="s">
        <v>4</v>
      </c>
      <c r="B5" s="92"/>
      <c r="C5" s="92"/>
      <c r="D5" s="92"/>
      <c r="E5" s="92"/>
      <c r="F5" s="92"/>
    </row>
    <row r="6" spans="1:6" ht="18" customHeight="1" x14ac:dyDescent="0.25">
      <c r="A6" s="93" t="s">
        <v>83</v>
      </c>
      <c r="B6" s="93"/>
      <c r="C6" s="93"/>
      <c r="D6" s="93"/>
      <c r="E6" s="93"/>
      <c r="F6" s="93"/>
    </row>
    <row r="7" spans="1:6" ht="18" customHeight="1" x14ac:dyDescent="0.25">
      <c r="B7" s="1" t="s">
        <v>66</v>
      </c>
      <c r="C7" s="50" t="s">
        <v>62</v>
      </c>
    </row>
    <row r="8" spans="1:6" ht="18" customHeight="1" x14ac:dyDescent="0.25">
      <c r="B8" s="2" t="s">
        <v>55</v>
      </c>
      <c r="C8" s="3"/>
      <c r="D8" s="3"/>
      <c r="E8" s="51"/>
      <c r="F8" s="3"/>
    </row>
    <row r="9" spans="1:6" ht="18" customHeight="1" x14ac:dyDescent="0.25">
      <c r="B9" s="2" t="s">
        <v>56</v>
      </c>
      <c r="C9" s="3"/>
      <c r="D9" s="3"/>
      <c r="E9" s="54">
        <f>'SL 2025'!C9</f>
        <v>7429</v>
      </c>
      <c r="F9" s="3"/>
    </row>
    <row r="10" spans="1:6" ht="18" customHeight="1" x14ac:dyDescent="0.25">
      <c r="B10" s="2" t="s">
        <v>54</v>
      </c>
      <c r="C10" s="3"/>
      <c r="D10" s="3"/>
      <c r="E10" s="3"/>
      <c r="F10" s="3"/>
    </row>
    <row r="12" spans="1:6" ht="29.2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ht="32.25" customHeight="1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ht="18" customHeight="1" x14ac:dyDescent="0.25">
      <c r="A14" s="5" t="s">
        <v>12</v>
      </c>
      <c r="B14" s="6"/>
      <c r="C14" s="6"/>
      <c r="D14" s="6"/>
      <c r="E14" s="6"/>
      <c r="F14" s="6"/>
    </row>
    <row r="15" spans="1:6" ht="18" customHeight="1" x14ac:dyDescent="0.25">
      <c r="A15" s="15"/>
      <c r="B15" s="16"/>
      <c r="C15" s="16"/>
      <c r="D15" s="16"/>
      <c r="E15" s="16"/>
      <c r="F15" s="16"/>
    </row>
    <row r="16" spans="1:6" ht="18" customHeight="1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ht="18" customHeight="1" x14ac:dyDescent="0.25">
      <c r="A17" s="7"/>
      <c r="B17" s="8"/>
      <c r="C17" s="8"/>
      <c r="D17" s="8"/>
      <c r="E17" s="8"/>
      <c r="F17" s="8"/>
    </row>
    <row r="18" spans="1:6" ht="18" customHeight="1" x14ac:dyDescent="0.25">
      <c r="A18" s="7" t="s">
        <v>14</v>
      </c>
      <c r="B18" s="8"/>
      <c r="C18" s="8"/>
      <c r="D18" s="8"/>
      <c r="E18" s="9"/>
      <c r="F18" s="9"/>
    </row>
    <row r="19" spans="1:6" ht="18" customHeight="1" x14ac:dyDescent="0.25">
      <c r="A19" s="17"/>
      <c r="B19" s="18"/>
      <c r="C19" s="18"/>
      <c r="D19" s="18"/>
      <c r="E19" s="19"/>
      <c r="F19" s="19"/>
    </row>
    <row r="20" spans="1:6" ht="18" customHeight="1" x14ac:dyDescent="0.25">
      <c r="A20" s="7" t="s">
        <v>0</v>
      </c>
      <c r="B20" s="8"/>
      <c r="C20" s="85"/>
      <c r="D20" s="85"/>
      <c r="E20" s="85"/>
      <c r="F20" s="85"/>
    </row>
    <row r="21" spans="1:6" ht="18" customHeight="1" x14ac:dyDescent="0.25">
      <c r="A21" s="22" t="s">
        <v>65</v>
      </c>
      <c r="B21" s="23"/>
      <c r="C21" s="23">
        <f>12823592+(B21/12)</f>
        <v>12823592</v>
      </c>
      <c r="D21" s="23">
        <f>B21-(B21/12)</f>
        <v>0</v>
      </c>
      <c r="E21" s="23">
        <f>B21+C21-D21</f>
        <v>12823592</v>
      </c>
      <c r="F21" s="23">
        <f>E21/E9</f>
        <v>1726.1531834701843</v>
      </c>
    </row>
    <row r="22" spans="1:6" ht="18" customHeight="1" x14ac:dyDescent="0.25">
      <c r="A22" s="7" t="s">
        <v>76</v>
      </c>
      <c r="B22" s="23"/>
      <c r="C22" s="23">
        <v>897603</v>
      </c>
      <c r="D22" s="23">
        <f>B22-(B22/12)</f>
        <v>0</v>
      </c>
      <c r="E22" s="23">
        <f>B22+C22-D22</f>
        <v>897603</v>
      </c>
      <c r="F22" s="23">
        <f>E22/E9</f>
        <v>120.82420244985866</v>
      </c>
    </row>
    <row r="23" spans="1:6" ht="18" customHeight="1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ht="18" customHeight="1" x14ac:dyDescent="0.25">
      <c r="A24" s="20"/>
      <c r="B24" s="21"/>
      <c r="C24" s="21"/>
      <c r="D24" s="21"/>
      <c r="E24" s="21"/>
      <c r="F24" s="21"/>
    </row>
    <row r="25" spans="1:6" ht="18" customHeight="1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1846.9773859200429</v>
      </c>
    </row>
    <row r="27" spans="1:6" ht="18" customHeight="1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ht="18" customHeight="1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ht="18" customHeight="1" x14ac:dyDescent="0.25">
      <c r="A29" s="14"/>
      <c r="B29" s="14"/>
      <c r="C29" s="14"/>
      <c r="D29" s="14"/>
      <c r="E29" s="14"/>
      <c r="F29" s="14"/>
    </row>
    <row r="30" spans="1:6" ht="18" customHeight="1" x14ac:dyDescent="0.25">
      <c r="A30" s="1" t="str">
        <f>A1</f>
        <v>Công ty TNHH Thuận An</v>
      </c>
      <c r="E30" s="98" t="s">
        <v>1</v>
      </c>
      <c r="F30" s="98"/>
    </row>
    <row r="31" spans="1:6" ht="18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8" customHeight="1" x14ac:dyDescent="0.25">
      <c r="E32" s="91" t="s">
        <v>53</v>
      </c>
      <c r="F32" s="91"/>
    </row>
    <row r="33" spans="1:6" ht="18" customHeight="1" x14ac:dyDescent="0.25">
      <c r="E33" s="91" t="s">
        <v>3</v>
      </c>
      <c r="F33" s="91"/>
    </row>
    <row r="34" spans="1:6" ht="18" customHeight="1" x14ac:dyDescent="0.3">
      <c r="A34" s="92" t="s">
        <v>4</v>
      </c>
      <c r="B34" s="92"/>
      <c r="C34" s="92"/>
      <c r="D34" s="92"/>
      <c r="E34" s="92"/>
      <c r="F34" s="92"/>
    </row>
    <row r="35" spans="1:6" ht="18" customHeight="1" x14ac:dyDescent="0.25">
      <c r="A35" s="93" t="s">
        <v>83</v>
      </c>
      <c r="B35" s="93"/>
      <c r="C35" s="93"/>
      <c r="D35" s="93"/>
      <c r="E35" s="93"/>
      <c r="F35" s="93"/>
    </row>
    <row r="36" spans="1:6" ht="18" customHeight="1" x14ac:dyDescent="0.25">
      <c r="B36" s="1" t="s">
        <v>66</v>
      </c>
      <c r="C36" s="50" t="s">
        <v>63</v>
      </c>
    </row>
    <row r="37" spans="1:6" ht="18" customHeight="1" x14ac:dyDescent="0.25">
      <c r="B37" s="2" t="s">
        <v>55</v>
      </c>
      <c r="C37" s="3"/>
      <c r="D37" s="3"/>
      <c r="E37" s="51"/>
      <c r="F37" s="3"/>
    </row>
    <row r="38" spans="1:6" ht="18" customHeight="1" x14ac:dyDescent="0.25">
      <c r="B38" s="2" t="s">
        <v>56</v>
      </c>
      <c r="C38" s="3"/>
      <c r="D38" s="3"/>
      <c r="E38" s="54">
        <f>'SL 2025'!C43</f>
        <v>15752</v>
      </c>
      <c r="F38" s="3"/>
    </row>
    <row r="39" spans="1:6" ht="18" customHeight="1" x14ac:dyDescent="0.25">
      <c r="B39" s="2" t="s">
        <v>54</v>
      </c>
      <c r="C39" s="3"/>
      <c r="D39" s="3"/>
      <c r="E39" s="3"/>
      <c r="F39" s="3"/>
    </row>
    <row r="41" spans="1:6" ht="30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ht="24.75" customHeight="1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ht="18" customHeight="1" x14ac:dyDescent="0.25">
      <c r="A43" s="5" t="s">
        <v>12</v>
      </c>
      <c r="B43" s="6"/>
      <c r="C43" s="6"/>
      <c r="D43" s="6"/>
      <c r="E43" s="6"/>
      <c r="F43" s="6"/>
    </row>
    <row r="44" spans="1:6" ht="18" customHeight="1" x14ac:dyDescent="0.25">
      <c r="A44" s="15"/>
      <c r="B44" s="16"/>
      <c r="C44" s="16"/>
      <c r="D44" s="16"/>
      <c r="E44" s="16"/>
      <c r="F44" s="16"/>
    </row>
    <row r="45" spans="1:6" ht="18" customHeight="1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ht="18" customHeight="1" x14ac:dyDescent="0.25">
      <c r="A46" s="7"/>
      <c r="B46" s="8"/>
      <c r="C46" s="8"/>
      <c r="D46" s="8"/>
      <c r="E46" s="8"/>
      <c r="F46" s="8"/>
    </row>
    <row r="47" spans="1:6" ht="18" customHeight="1" x14ac:dyDescent="0.25">
      <c r="A47" s="7" t="s">
        <v>14</v>
      </c>
      <c r="B47" s="8"/>
      <c r="C47" s="8"/>
      <c r="D47" s="8"/>
      <c r="E47" s="9"/>
      <c r="F47" s="9"/>
    </row>
    <row r="48" spans="1:6" ht="18" customHeight="1" x14ac:dyDescent="0.25">
      <c r="A48" s="17"/>
      <c r="B48" s="18"/>
      <c r="C48" s="18"/>
      <c r="D48" s="18"/>
      <c r="E48" s="19"/>
      <c r="F48" s="19"/>
    </row>
    <row r="49" spans="1:6" ht="18" customHeight="1" x14ac:dyDescent="0.25">
      <c r="A49" s="17" t="s">
        <v>0</v>
      </c>
      <c r="B49" s="18"/>
      <c r="C49" s="18"/>
      <c r="D49" s="18"/>
      <c r="E49" s="18"/>
      <c r="F49" s="18"/>
    </row>
    <row r="50" spans="1:6" ht="18" customHeight="1" x14ac:dyDescent="0.25">
      <c r="A50" s="5" t="s">
        <v>65</v>
      </c>
      <c r="B50" s="6"/>
      <c r="C50" s="6">
        <v>21449563</v>
      </c>
      <c r="D50" s="6">
        <f>B50-(B50/12)*3</f>
        <v>0</v>
      </c>
      <c r="E50" s="6">
        <f>B50+C50-D50</f>
        <v>21449563</v>
      </c>
      <c r="F50" s="6">
        <f>E50/E38</f>
        <v>1361.7041010665312</v>
      </c>
    </row>
    <row r="51" spans="1:6" ht="18" customHeight="1" x14ac:dyDescent="0.25">
      <c r="A51" s="15" t="s">
        <v>76</v>
      </c>
      <c r="B51" s="16"/>
      <c r="C51" s="16">
        <v>2872328</v>
      </c>
      <c r="D51" s="16"/>
      <c r="E51" s="6">
        <f>B51+C51-D51</f>
        <v>2872328</v>
      </c>
      <c r="F51" s="16">
        <f>E51/E38</f>
        <v>182.34687658710004</v>
      </c>
    </row>
    <row r="52" spans="1:6" ht="18" customHeight="1" x14ac:dyDescent="0.25">
      <c r="A52" s="7" t="s">
        <v>119</v>
      </c>
      <c r="B52" s="8"/>
      <c r="C52" s="8">
        <v>0</v>
      </c>
      <c r="D52" s="8"/>
      <c r="E52" s="8">
        <f>B52+C52-D52</f>
        <v>0</v>
      </c>
      <c r="F52" s="8">
        <f>E52/E38</f>
        <v>0</v>
      </c>
    </row>
    <row r="53" spans="1:6" ht="18" customHeight="1" x14ac:dyDescent="0.25">
      <c r="A53" s="15" t="s">
        <v>75</v>
      </c>
      <c r="B53" s="18"/>
      <c r="C53" s="18">
        <v>0</v>
      </c>
      <c r="D53" s="18"/>
      <c r="E53" s="8">
        <f>B53+C53-D53</f>
        <v>0</v>
      </c>
      <c r="F53" s="8">
        <f>E53/E38</f>
        <v>0</v>
      </c>
    </row>
    <row r="54" spans="1:6" ht="18" customHeight="1" x14ac:dyDescent="0.25">
      <c r="A54" s="74"/>
      <c r="B54" s="62"/>
      <c r="C54" s="62"/>
      <c r="D54" s="62"/>
      <c r="E54" s="62"/>
      <c r="F54" s="62"/>
    </row>
    <row r="55" spans="1:6" ht="18" customHeight="1" x14ac:dyDescent="0.25">
      <c r="A55" s="4" t="s">
        <v>15</v>
      </c>
      <c r="B55" s="53">
        <f>B50+B52</f>
        <v>0</v>
      </c>
      <c r="C55" s="53">
        <f>C45+C50+C51+C52+C53</f>
        <v>24321891</v>
      </c>
      <c r="D55" s="53">
        <f>D45+D50+D51+D52+D53</f>
        <v>0</v>
      </c>
      <c r="E55" s="53">
        <f>E45+E50+E51+E52+E53</f>
        <v>24321891</v>
      </c>
      <c r="F55" s="53">
        <f>F45+F50+F51+F52+F53</f>
        <v>1544.0509776536312</v>
      </c>
    </row>
    <row r="56" spans="1:6" ht="18" customHeight="1" x14ac:dyDescent="0.25">
      <c r="A56" s="10"/>
      <c r="B56" s="11"/>
      <c r="C56" s="12"/>
      <c r="D56" s="12"/>
      <c r="E56" s="12"/>
      <c r="F56" s="12"/>
    </row>
    <row r="57" spans="1:6" ht="18" customHeight="1" x14ac:dyDescent="0.25">
      <c r="A57" s="13" t="s">
        <v>16</v>
      </c>
      <c r="B57" s="13"/>
      <c r="C57" s="13" t="s">
        <v>17</v>
      </c>
      <c r="D57" s="13"/>
      <c r="E57" s="13" t="s">
        <v>18</v>
      </c>
      <c r="F57" s="13"/>
    </row>
    <row r="58" spans="1:6" ht="18" customHeight="1" x14ac:dyDescent="0.25">
      <c r="A58" s="14" t="s">
        <v>19</v>
      </c>
      <c r="B58" s="14"/>
      <c r="C58" s="14" t="s">
        <v>19</v>
      </c>
      <c r="D58" s="14"/>
      <c r="E58" s="14" t="s">
        <v>20</v>
      </c>
      <c r="F58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opLeftCell="A31" workbookViewId="0">
      <selection activeCell="D18" sqref="D1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98" t="s">
        <v>1</v>
      </c>
      <c r="F1" s="98"/>
    </row>
    <row r="2" spans="1:6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84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2025'!C10</f>
        <v>8242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1555.8835234166465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108.90596942489687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1664.7894928415435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x14ac:dyDescent="0.25">
      <c r="A30" s="1" t="str">
        <f>A1</f>
        <v>Công ty TNHH Thuận An</v>
      </c>
      <c r="E30" s="98" t="s">
        <v>1</v>
      </c>
      <c r="F30" s="98"/>
    </row>
    <row r="31" spans="1:6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84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2025'!C44</f>
        <v>18008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30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ht="24.75" customHeight="1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ht="18" customHeight="1" x14ac:dyDescent="0.25">
      <c r="A43" s="5" t="s">
        <v>12</v>
      </c>
      <c r="B43" s="6"/>
      <c r="C43" s="6"/>
      <c r="D43" s="6"/>
      <c r="E43" s="6"/>
      <c r="F43" s="6"/>
    </row>
    <row r="44" spans="1:6" ht="18" customHeight="1" x14ac:dyDescent="0.25">
      <c r="A44" s="15"/>
      <c r="B44" s="16"/>
      <c r="C44" s="16"/>
      <c r="D44" s="16"/>
      <c r="E44" s="16"/>
      <c r="F44" s="16"/>
    </row>
    <row r="45" spans="1:6" ht="18" customHeight="1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ht="18" customHeight="1" x14ac:dyDescent="0.25">
      <c r="A46" s="7"/>
      <c r="B46" s="8"/>
      <c r="C46" s="8"/>
      <c r="D46" s="8"/>
      <c r="E46" s="8"/>
      <c r="F46" s="8"/>
    </row>
    <row r="47" spans="1:6" ht="18" customHeight="1" x14ac:dyDescent="0.25">
      <c r="A47" s="7" t="s">
        <v>14</v>
      </c>
      <c r="B47" s="8"/>
      <c r="C47" s="8"/>
      <c r="D47" s="8"/>
      <c r="E47" s="9"/>
      <c r="F47" s="9"/>
    </row>
    <row r="48" spans="1:6" ht="18" customHeight="1" x14ac:dyDescent="0.25">
      <c r="A48" s="17"/>
      <c r="B48" s="18"/>
      <c r="C48" s="18"/>
      <c r="D48" s="18"/>
      <c r="E48" s="19"/>
      <c r="F48" s="19"/>
    </row>
    <row r="49" spans="1:6" ht="18" customHeight="1" x14ac:dyDescent="0.25">
      <c r="A49" s="17" t="s">
        <v>0</v>
      </c>
      <c r="B49" s="18"/>
      <c r="C49" s="18"/>
      <c r="D49" s="18"/>
      <c r="E49" s="18"/>
      <c r="F49" s="18"/>
    </row>
    <row r="50" spans="1:6" ht="18" customHeight="1" x14ac:dyDescent="0.25">
      <c r="A50" s="5" t="s">
        <v>65</v>
      </c>
      <c r="B50" s="6"/>
      <c r="C50" s="6">
        <v>21449563</v>
      </c>
      <c r="D50" s="6">
        <f>B50-(B50/12)*3</f>
        <v>0</v>
      </c>
      <c r="E50" s="6">
        <f>B50+C50-D50</f>
        <v>21449563</v>
      </c>
      <c r="F50" s="6">
        <f>E50/E38</f>
        <v>1191.1130053309639</v>
      </c>
    </row>
    <row r="51" spans="1:6" ht="18" customHeight="1" x14ac:dyDescent="0.25">
      <c r="A51" s="15" t="s">
        <v>76</v>
      </c>
      <c r="B51" s="16"/>
      <c r="C51" s="16">
        <v>2872328</v>
      </c>
      <c r="D51" s="16"/>
      <c r="E51" s="6">
        <f>B51+C51-D51</f>
        <v>2872328</v>
      </c>
      <c r="F51" s="16">
        <f>E51/E38</f>
        <v>159.50288760550868</v>
      </c>
    </row>
    <row r="52" spans="1:6" ht="18" customHeight="1" x14ac:dyDescent="0.25">
      <c r="A52" s="7" t="s">
        <v>119</v>
      </c>
      <c r="B52" s="8"/>
      <c r="C52" s="8">
        <v>560918</v>
      </c>
      <c r="D52" s="8"/>
      <c r="E52" s="8">
        <f>B52+C52-D52</f>
        <v>560918</v>
      </c>
      <c r="F52" s="8">
        <f>E52/E38</f>
        <v>31.148267436694802</v>
      </c>
    </row>
    <row r="53" spans="1:6" ht="18" customHeight="1" x14ac:dyDescent="0.25">
      <c r="A53" s="15" t="s">
        <v>75</v>
      </c>
      <c r="B53" s="18"/>
      <c r="C53" s="18">
        <v>0</v>
      </c>
      <c r="D53" s="18"/>
      <c r="E53" s="8">
        <f>B53+C53-D53</f>
        <v>0</v>
      </c>
      <c r="F53" s="8">
        <f>E53/E38</f>
        <v>0</v>
      </c>
    </row>
    <row r="54" spans="1:6" ht="18" customHeight="1" x14ac:dyDescent="0.25">
      <c r="A54" s="74"/>
      <c r="B54" s="62"/>
      <c r="C54" s="62"/>
      <c r="D54" s="62"/>
      <c r="E54" s="62"/>
      <c r="F54" s="62"/>
    </row>
    <row r="55" spans="1:6" ht="18" customHeight="1" x14ac:dyDescent="0.25">
      <c r="A55" s="4" t="s">
        <v>15</v>
      </c>
      <c r="B55" s="53">
        <f>B50+B52</f>
        <v>0</v>
      </c>
      <c r="C55" s="53">
        <f>C45+C50+C51+C52+C53</f>
        <v>24882809</v>
      </c>
      <c r="D55" s="53">
        <f t="shared" ref="D55:E55" si="1">D45+D50+D51+D52+D53</f>
        <v>0</v>
      </c>
      <c r="E55" s="53">
        <f t="shared" si="1"/>
        <v>24882809</v>
      </c>
      <c r="F55" s="53">
        <f>F45+F50+F51+F52+F53</f>
        <v>1381.7641603731674</v>
      </c>
    </row>
    <row r="56" spans="1:6" ht="18" customHeight="1" x14ac:dyDescent="0.25">
      <c r="A56" s="10"/>
      <c r="B56" s="11"/>
      <c r="C56" s="12"/>
      <c r="D56" s="12"/>
      <c r="E56" s="12"/>
      <c r="F56" s="12"/>
    </row>
    <row r="57" spans="1:6" ht="18" customHeight="1" x14ac:dyDescent="0.25">
      <c r="A57" s="13" t="s">
        <v>16</v>
      </c>
      <c r="B57" s="13"/>
      <c r="C57" s="13" t="s">
        <v>17</v>
      </c>
      <c r="D57" s="13"/>
      <c r="E57" s="13" t="s">
        <v>18</v>
      </c>
      <c r="F57" s="13"/>
    </row>
    <row r="58" spans="1:6" ht="18" customHeight="1" x14ac:dyDescent="0.25">
      <c r="A58" s="14" t="s">
        <v>19</v>
      </c>
      <c r="B58" s="14"/>
      <c r="C58" s="14" t="s">
        <v>19</v>
      </c>
      <c r="D58" s="14"/>
      <c r="E58" s="14" t="s">
        <v>20</v>
      </c>
      <c r="F58" s="14"/>
    </row>
    <row r="59" spans="1:6" ht="18" customHeight="1" x14ac:dyDescent="0.25"/>
    <row r="60" spans="1:6" ht="18" customHeight="1" x14ac:dyDescent="0.25"/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7"/>
  <sheetViews>
    <sheetView topLeftCell="A46" workbookViewId="0">
      <selection activeCell="D20" sqref="D2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98" t="s">
        <v>1</v>
      </c>
      <c r="F1" s="98"/>
    </row>
    <row r="2" spans="1:6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85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2025'!C11</f>
        <v>9208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1392.6576889661164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97.480777584708946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1490.1384665508253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x14ac:dyDescent="0.25">
      <c r="A30" s="1" t="str">
        <f>A1</f>
        <v>Công ty TNHH Thuận An</v>
      </c>
      <c r="E30" s="98" t="s">
        <v>1</v>
      </c>
      <c r="F30" s="98"/>
    </row>
    <row r="31" spans="1:6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85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2025'!C45</f>
        <v>19059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8"/>
      <c r="D49" s="8"/>
      <c r="E49" s="8"/>
      <c r="F49" s="8"/>
    </row>
    <row r="50" spans="1:6" x14ac:dyDescent="0.25">
      <c r="A50" s="59" t="s">
        <v>65</v>
      </c>
      <c r="B50" s="8"/>
      <c r="C50" s="8">
        <v>21449563</v>
      </c>
      <c r="D50" s="60">
        <f>B50-(B50/12)*3</f>
        <v>0</v>
      </c>
      <c r="E50" s="8">
        <f>B50+C50-D50</f>
        <v>21449563</v>
      </c>
      <c r="F50" s="60">
        <f>E50/E38</f>
        <v>1125.4296133060495</v>
      </c>
    </row>
    <row r="51" spans="1:6" x14ac:dyDescent="0.25">
      <c r="A51" s="59" t="s">
        <v>76</v>
      </c>
      <c r="B51" s="8"/>
      <c r="C51" s="8">
        <v>2872328</v>
      </c>
      <c r="D51" s="60"/>
      <c r="E51" s="8">
        <f>B51+C51-D51</f>
        <v>2872328</v>
      </c>
      <c r="F51" s="60">
        <f>E51/E38</f>
        <v>150.7071724644525</v>
      </c>
    </row>
    <row r="52" spans="1:6" x14ac:dyDescent="0.25">
      <c r="A52" s="7" t="s">
        <v>119</v>
      </c>
      <c r="B52" s="8"/>
      <c r="C52" s="8">
        <v>560918</v>
      </c>
      <c r="D52" s="60"/>
      <c r="E52" s="8">
        <f>B52+C52-D52</f>
        <v>560918</v>
      </c>
      <c r="F52" s="60">
        <f>E52/E38</f>
        <v>29.430610210399287</v>
      </c>
    </row>
    <row r="53" spans="1:6" x14ac:dyDescent="0.25">
      <c r="A53" s="61"/>
      <c r="B53" s="62"/>
      <c r="C53" s="62"/>
      <c r="D53" s="63"/>
      <c r="E53" s="62"/>
      <c r="F53" s="63"/>
    </row>
    <row r="54" spans="1:6" x14ac:dyDescent="0.25">
      <c r="A54" s="57" t="s">
        <v>15</v>
      </c>
      <c r="B54" s="58">
        <f>B50+B52</f>
        <v>0</v>
      </c>
      <c r="C54" s="58">
        <f>C45+C50+C51+C52</f>
        <v>24882809</v>
      </c>
      <c r="D54" s="58">
        <f t="shared" ref="D54" si="1">D45+D50+D51+D52</f>
        <v>0</v>
      </c>
      <c r="E54" s="58">
        <f>E45+E50+E51+E52</f>
        <v>24882809</v>
      </c>
      <c r="F54" s="58">
        <f>F45+F50+F51+F52</f>
        <v>1305.5673959809012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7"/>
  <sheetViews>
    <sheetView topLeftCell="A13" workbookViewId="0">
      <selection activeCell="D19" sqref="D19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86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2025'!C13</f>
        <v>8814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ht="15.75" customHeight="1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1454.91173133651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101.83832539142274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1556.7500567279328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86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2025'!C47</f>
        <v>18181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ht="15.75" customHeight="1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1179.7790550574775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157.98514933171992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30.851878334525054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F54" si="1">D45+D50+D51+D52</f>
        <v>0</v>
      </c>
      <c r="E54" s="53">
        <f t="shared" si="1"/>
        <v>24882809</v>
      </c>
      <c r="F54" s="53">
        <f t="shared" si="1"/>
        <v>1368.6160827237225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1:F1"/>
    <mergeCell ref="E2:F2"/>
    <mergeCell ref="E3:F3"/>
    <mergeCell ref="E4:F4"/>
    <mergeCell ref="A6:F6"/>
    <mergeCell ref="A5:F5"/>
    <mergeCell ref="E12:F12"/>
    <mergeCell ref="A34:F34"/>
    <mergeCell ref="A41:A42"/>
    <mergeCell ref="B41:B42"/>
    <mergeCell ref="C41:C42"/>
    <mergeCell ref="D41:D42"/>
    <mergeCell ref="E41:F41"/>
    <mergeCell ref="E31:F31"/>
    <mergeCell ref="E32:F32"/>
    <mergeCell ref="E33:F33"/>
    <mergeCell ref="A35:F35"/>
    <mergeCell ref="E30:F30"/>
    <mergeCell ref="A12:A13"/>
    <mergeCell ref="B12:B13"/>
    <mergeCell ref="C12:C13"/>
    <mergeCell ref="D12:D13"/>
  </mergeCells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7"/>
  <sheetViews>
    <sheetView topLeftCell="A4" workbookViewId="0">
      <selection activeCell="D17" sqref="D17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87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2025'!C14</f>
        <v>7451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1721.0565024828882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120.4674540330157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1841.5239565159038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88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2025'!C48</f>
        <v>14776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1451.6488224147265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194.39144558743908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37.96142393069843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F54" si="1">D45+D50+D51+D52</f>
        <v>0</v>
      </c>
      <c r="E54" s="53">
        <f t="shared" si="1"/>
        <v>24882809</v>
      </c>
      <c r="F54" s="53">
        <f t="shared" si="1"/>
        <v>1684.0016919328641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7"/>
  <sheetViews>
    <sheetView topLeftCell="A43" workbookViewId="0">
      <selection activeCell="D19" sqref="D19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89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2025'!C15</f>
        <v>6557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1955.7102333384169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136.89232880890651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E25" si="0">D16+D21+D22+D23</f>
        <v>0</v>
      </c>
      <c r="E25" s="53">
        <f t="shared" si="0"/>
        <v>13721195</v>
      </c>
      <c r="F25" s="53">
        <f>F16+F21+F22+F23</f>
        <v>2092.6025621473232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90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2025'!C49</f>
        <v>12977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1652.8907297526393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221.33990906989288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43.224011713030748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F54" si="1">D45+D50+D51+D52</f>
        <v>0</v>
      </c>
      <c r="E54" s="53">
        <f t="shared" si="1"/>
        <v>24882809</v>
      </c>
      <c r="F54" s="53">
        <f t="shared" si="1"/>
        <v>1917.4546505355629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7"/>
  <sheetViews>
    <sheetView topLeftCell="A10" workbookViewId="0">
      <selection activeCell="D19" sqref="D19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91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2025'!C17</f>
        <v>7222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1775.6289116588202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124.28731653281639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1899.9162281916367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92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2025'!C51</f>
        <v>14653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1463.8342318979048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196.02320343956868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38.280079164676174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F54" si="1">D45+D50+D51+D52</f>
        <v>0</v>
      </c>
      <c r="E54" s="53">
        <f t="shared" si="1"/>
        <v>24882809</v>
      </c>
      <c r="F54" s="53">
        <f t="shared" si="1"/>
        <v>1698.1375145021498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7"/>
  <sheetViews>
    <sheetView topLeftCell="A4" workbookViewId="0">
      <selection activeCell="D17" sqref="D17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93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2025'!C18</f>
        <v>7839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1635.8709019007526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114.50478377344049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1750.3756856741932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94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2025'!C52</f>
        <v>16187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1325.1104590103168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177.44659294495582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34.652375362945577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E54" si="1">D45+D50+D51+D52</f>
        <v>0</v>
      </c>
      <c r="E54" s="53">
        <f t="shared" si="1"/>
        <v>24882809</v>
      </c>
      <c r="F54" s="53">
        <f>F45+F50+F51+F52</f>
        <v>1537.2094273182183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7"/>
  <sheetViews>
    <sheetView workbookViewId="0">
      <selection activeCell="D18" sqref="D1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95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2025'!C19</f>
        <v>6549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1958.099251794167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137.05955107650024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2095.1588028706674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96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2025'!C53</f>
        <v>14020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1529.9260342368045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204.87360912981455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40.008416547788876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E54" si="1">D45+D50+D51+D52</f>
        <v>0</v>
      </c>
      <c r="E54" s="53">
        <f t="shared" si="1"/>
        <v>24882809</v>
      </c>
      <c r="F54" s="53">
        <f>F45+F50+F51+F52</f>
        <v>1774.8080599144077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7"/>
  <sheetViews>
    <sheetView topLeftCell="A10" workbookViewId="0">
      <selection activeCell="D18" sqref="D1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ht="15.75" customHeight="1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97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2025'!C21</f>
        <v>6914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1854.7283772056696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129.8239803297657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1984.5523575354352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ht="15.75" customHeight="1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98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2025'!C55</f>
        <v>14287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1501.3342899139077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201.04486596206343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39.260726534611884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F54" si="1">D45+D50+D51+D52</f>
        <v>0</v>
      </c>
      <c r="E54" s="53">
        <f t="shared" si="1"/>
        <v>24882809</v>
      </c>
      <c r="F54" s="53">
        <f t="shared" si="1"/>
        <v>1741.6398824105829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7"/>
  <sheetViews>
    <sheetView topLeftCell="A10" workbookViewId="0">
      <selection activeCell="D18" sqref="D1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99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2025'!C22</f>
        <v>6702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1913.397791703969</v>
      </c>
    </row>
    <row r="22" spans="1:6" x14ac:dyDescent="0.25">
      <c r="A22" s="7" t="s">
        <v>76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133.93061772605193</v>
      </c>
    </row>
    <row r="23" spans="1:6" x14ac:dyDescent="0.25">
      <c r="A23" s="7" t="s">
        <v>77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13721195</v>
      </c>
      <c r="D25" s="53">
        <f t="shared" ref="D25:F25" si="0">D16+D21+D22+D23</f>
        <v>0</v>
      </c>
      <c r="E25" s="53">
        <f t="shared" si="0"/>
        <v>13721195</v>
      </c>
      <c r="F25" s="53">
        <f t="shared" si="0"/>
        <v>2047.3284094300209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100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2025'!C56</f>
        <v>12938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1657.8731643221518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222.00711083629619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43.354305147627144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F54" si="1">D45+D50+D51+D52</f>
        <v>0</v>
      </c>
      <c r="E54" s="53">
        <f t="shared" si="1"/>
        <v>24882809</v>
      </c>
      <c r="F54" s="53">
        <f t="shared" si="1"/>
        <v>1923.2345803060753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7"/>
  <sheetViews>
    <sheetView topLeftCell="A40" workbookViewId="0">
      <selection activeCell="D47" sqref="D47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8" t="s">
        <v>1</v>
      </c>
      <c r="F1" s="98"/>
    </row>
    <row r="2" spans="1:6" ht="15.75" customHeight="1" x14ac:dyDescent="0.25">
      <c r="A2" s="1" t="str">
        <f>'THONG TIN'!C4</f>
        <v>Ấp Chồng Nô 3, Xã Hòa Tân, Huyện Cầu Kè, Tỉnh Trà Vinh</v>
      </c>
      <c r="E2" s="91" t="s">
        <v>2</v>
      </c>
      <c r="F2" s="91"/>
    </row>
    <row r="3" spans="1:6" ht="15.75" customHeight="1" x14ac:dyDescent="0.25">
      <c r="E3" s="91" t="s">
        <v>53</v>
      </c>
      <c r="F3" s="91"/>
    </row>
    <row r="4" spans="1:6" x14ac:dyDescent="0.25">
      <c r="E4" s="91" t="s">
        <v>3</v>
      </c>
      <c r="F4" s="91"/>
    </row>
    <row r="5" spans="1:6" ht="18.75" x14ac:dyDescent="0.3">
      <c r="A5" s="92" t="s">
        <v>4</v>
      </c>
      <c r="B5" s="92"/>
      <c r="C5" s="92"/>
      <c r="D5" s="92"/>
      <c r="E5" s="92"/>
      <c r="F5" s="92"/>
    </row>
    <row r="6" spans="1:6" x14ac:dyDescent="0.25">
      <c r="A6" s="93" t="s">
        <v>101</v>
      </c>
      <c r="B6" s="93"/>
      <c r="C6" s="93"/>
      <c r="D6" s="93"/>
      <c r="E6" s="93"/>
      <c r="F6" s="93"/>
    </row>
    <row r="7" spans="1:6" x14ac:dyDescent="0.25">
      <c r="B7" s="1" t="s">
        <v>66</v>
      </c>
      <c r="C7" s="50" t="s">
        <v>62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f>'SL 2025'!C23</f>
        <v>7222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4" t="s">
        <v>5</v>
      </c>
      <c r="B12" s="94" t="s">
        <v>6</v>
      </c>
      <c r="C12" s="94" t="s">
        <v>7</v>
      </c>
      <c r="D12" s="94" t="s">
        <v>8</v>
      </c>
      <c r="E12" s="96" t="s">
        <v>9</v>
      </c>
      <c r="F12" s="97"/>
    </row>
    <row r="13" spans="1:6" x14ac:dyDescent="0.25">
      <c r="A13" s="95"/>
      <c r="B13" s="95"/>
      <c r="C13" s="95"/>
      <c r="D13" s="9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v>0</v>
      </c>
      <c r="D16" s="8"/>
      <c r="E16" s="8">
        <f>C16</f>
        <v>0</v>
      </c>
      <c r="F16" s="8">
        <f>E16/E9</f>
        <v>0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65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1775.6289116588202</v>
      </c>
    </row>
    <row r="22" spans="1:6" x14ac:dyDescent="0.25">
      <c r="A22" s="7" t="s">
        <v>76</v>
      </c>
      <c r="B22" s="23"/>
      <c r="C22" s="23">
        <v>897588</v>
      </c>
      <c r="D22" s="23">
        <f>B22-(B22/12)*3</f>
        <v>0</v>
      </c>
      <c r="E22" s="23">
        <f>B22+C22-D22</f>
        <v>897588</v>
      </c>
      <c r="F22" s="23">
        <f>E22/E9</f>
        <v>124.28523954583218</v>
      </c>
    </row>
    <row r="23" spans="1:6" x14ac:dyDescent="0.25">
      <c r="A23" s="7" t="s">
        <v>119</v>
      </c>
      <c r="B23" s="23"/>
      <c r="C23" s="23">
        <v>260960</v>
      </c>
      <c r="D23" s="23"/>
      <c r="E23" s="23">
        <f>B23+C23-D23</f>
        <v>260960</v>
      </c>
      <c r="F23" s="23">
        <f>E23/E9</f>
        <v>36.134034893381333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13982140</v>
      </c>
      <c r="D25" s="53">
        <f t="shared" ref="D25:F25" si="0">D16+D21+D22+D23</f>
        <v>0</v>
      </c>
      <c r="E25" s="53">
        <f t="shared" si="0"/>
        <v>13982140</v>
      </c>
      <c r="F25" s="53">
        <f t="shared" si="0"/>
        <v>1936.0481860980337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8" t="s">
        <v>1</v>
      </c>
      <c r="F30" s="98"/>
    </row>
    <row r="31" spans="1:6" ht="15.75" customHeight="1" x14ac:dyDescent="0.25">
      <c r="A31" s="1" t="str">
        <f>A2</f>
        <v>Ấp Chồng Nô 3, Xã Hòa Tân, Huyện Cầu Kè, Tỉnh Trà Vinh</v>
      </c>
      <c r="E31" s="91" t="s">
        <v>2</v>
      </c>
      <c r="F31" s="91"/>
    </row>
    <row r="32" spans="1:6" ht="15.75" customHeight="1" x14ac:dyDescent="0.25">
      <c r="E32" s="91" t="s">
        <v>53</v>
      </c>
      <c r="F32" s="91"/>
    </row>
    <row r="33" spans="1:6" x14ac:dyDescent="0.25">
      <c r="E33" s="91" t="s">
        <v>3</v>
      </c>
      <c r="F33" s="91"/>
    </row>
    <row r="34" spans="1:6" ht="18.75" x14ac:dyDescent="0.3">
      <c r="A34" s="92" t="s">
        <v>4</v>
      </c>
      <c r="B34" s="92"/>
      <c r="C34" s="92"/>
      <c r="D34" s="92"/>
      <c r="E34" s="92"/>
      <c r="F34" s="92"/>
    </row>
    <row r="35" spans="1:6" x14ac:dyDescent="0.25">
      <c r="A35" s="93" t="s">
        <v>102</v>
      </c>
      <c r="B35" s="93"/>
      <c r="C35" s="93"/>
      <c r="D35" s="93"/>
      <c r="E35" s="93"/>
      <c r="F35" s="93"/>
    </row>
    <row r="36" spans="1:6" x14ac:dyDescent="0.25">
      <c r="B36" s="1" t="s">
        <v>66</v>
      </c>
      <c r="C36" s="50" t="s">
        <v>63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f>'SL 2025'!C57</f>
        <v>13924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4" t="s">
        <v>5</v>
      </c>
      <c r="B41" s="94" t="s">
        <v>6</v>
      </c>
      <c r="C41" s="94" t="s">
        <v>7</v>
      </c>
      <c r="D41" s="94" t="s">
        <v>8</v>
      </c>
      <c r="E41" s="96" t="s">
        <v>9</v>
      </c>
      <c r="F41" s="97"/>
    </row>
    <row r="42" spans="1:6" x14ac:dyDescent="0.25">
      <c r="A42" s="95"/>
      <c r="B42" s="95"/>
      <c r="C42" s="95"/>
      <c r="D42" s="95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0</v>
      </c>
      <c r="D45" s="8"/>
      <c r="E45" s="8">
        <f>C45</f>
        <v>0</v>
      </c>
      <c r="F45" s="8">
        <f>E45/E38</f>
        <v>0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65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1540.4742171789715</v>
      </c>
    </row>
    <row r="51" spans="1:6" x14ac:dyDescent="0.25">
      <c r="A51" s="64" t="s">
        <v>68</v>
      </c>
      <c r="B51" s="66"/>
      <c r="C51" s="66">
        <v>2872328</v>
      </c>
      <c r="D51" s="66"/>
      <c r="E51" s="66">
        <f>B51+C51-D51</f>
        <v>2872328</v>
      </c>
      <c r="F51" s="8">
        <f>E51/E38</f>
        <v>206.286124676817</v>
      </c>
    </row>
    <row r="52" spans="1:6" x14ac:dyDescent="0.25">
      <c r="A52" s="7" t="s">
        <v>119</v>
      </c>
      <c r="B52" s="8"/>
      <c r="C52" s="8">
        <v>560918</v>
      </c>
      <c r="D52" s="66"/>
      <c r="E52" s="66">
        <f>B52+C52-D52</f>
        <v>560918</v>
      </c>
      <c r="F52" s="8">
        <f>E52/E38</f>
        <v>40.284257397299626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24882809</v>
      </c>
      <c r="D54" s="53">
        <f t="shared" ref="D54:F54" si="1">D45+D50+D51+D52</f>
        <v>0</v>
      </c>
      <c r="E54" s="53">
        <f t="shared" si="1"/>
        <v>24882809</v>
      </c>
      <c r="F54" s="53">
        <f t="shared" si="1"/>
        <v>1787.0445992530881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1:A42"/>
    <mergeCell ref="B41:B42"/>
    <mergeCell ref="C41:C42"/>
    <mergeCell ref="D41:D42"/>
    <mergeCell ref="E41:F41"/>
    <mergeCell ref="E31:F31"/>
    <mergeCell ref="E32:F32"/>
    <mergeCell ref="E33:F33"/>
    <mergeCell ref="A34:F34"/>
    <mergeCell ref="A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THONG TIN</vt:lpstr>
      <vt:lpstr>SL 2025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Windows</cp:lastModifiedBy>
  <cp:lastPrinted>2022-03-13T07:47:02Z</cp:lastPrinted>
  <dcterms:created xsi:type="dcterms:W3CDTF">2016-04-11T03:39:34Z</dcterms:created>
  <dcterms:modified xsi:type="dcterms:W3CDTF">2026-03-21T02:55:22Z</dcterms:modified>
</cp:coreProperties>
</file>