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C THUE\PHUC MINH\"/>
    </mc:Choice>
  </mc:AlternateContent>
  <bookViews>
    <workbookView xWindow="0" yWindow="0" windowWidth="8550" windowHeight="6060"/>
  </bookViews>
  <sheets>
    <sheet name="THUE 2023" sheetId="1" r:id="rId1"/>
    <sheet name="KT 2023" sheetId="4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3" i="1" l="1"/>
  <c r="J9" i="1"/>
  <c r="K9" i="1"/>
  <c r="L9" i="1"/>
  <c r="M9" i="1"/>
  <c r="N9" i="1"/>
  <c r="O9" i="1"/>
  <c r="P9" i="1"/>
  <c r="Q9" i="1"/>
  <c r="R9" i="1"/>
  <c r="S9" i="1"/>
  <c r="T9" i="1"/>
  <c r="I9" i="1"/>
  <c r="J9" i="4"/>
  <c r="K9" i="4"/>
  <c r="U9" i="4" s="1"/>
  <c r="L9" i="4"/>
  <c r="M9" i="4"/>
  <c r="N9" i="4"/>
  <c r="O9" i="4"/>
  <c r="P9" i="4"/>
  <c r="Q9" i="4"/>
  <c r="R9" i="4"/>
  <c r="S9" i="4"/>
  <c r="T9" i="4"/>
  <c r="I9" i="4"/>
  <c r="I8" i="4"/>
  <c r="T10" i="4"/>
  <c r="S10" i="4"/>
  <c r="R10" i="4"/>
  <c r="Q10" i="4"/>
  <c r="P10" i="4"/>
  <c r="O10" i="4"/>
  <c r="N10" i="4"/>
  <c r="M10" i="4"/>
  <c r="L10" i="4"/>
  <c r="K10" i="4"/>
  <c r="J10" i="4"/>
  <c r="I10" i="4"/>
  <c r="U10" i="4" s="1"/>
  <c r="V10" i="4" s="1"/>
  <c r="W10" i="4" s="1"/>
  <c r="H10" i="4"/>
  <c r="G10" i="4"/>
  <c r="G9" i="4"/>
  <c r="T8" i="4"/>
  <c r="S8" i="4"/>
  <c r="R8" i="4"/>
  <c r="R6" i="4" s="1"/>
  <c r="R11" i="4" s="1"/>
  <c r="Q8" i="4"/>
  <c r="P8" i="4"/>
  <c r="O8" i="4"/>
  <c r="N8" i="4"/>
  <c r="M8" i="4"/>
  <c r="L8" i="4"/>
  <c r="K8" i="4"/>
  <c r="J8" i="4"/>
  <c r="J6" i="4" s="1"/>
  <c r="J11" i="4" s="1"/>
  <c r="H8" i="4"/>
  <c r="G8" i="4"/>
  <c r="T7" i="4"/>
  <c r="T6" i="4" s="1"/>
  <c r="T11" i="4" s="1"/>
  <c r="S7" i="4"/>
  <c r="R7" i="4"/>
  <c r="Q7" i="4"/>
  <c r="P7" i="4"/>
  <c r="P6" i="4" s="1"/>
  <c r="P11" i="4" s="1"/>
  <c r="O7" i="4"/>
  <c r="N7" i="4"/>
  <c r="M7" i="4"/>
  <c r="L7" i="4"/>
  <c r="L6" i="4" s="1"/>
  <c r="L11" i="4" s="1"/>
  <c r="K7" i="4"/>
  <c r="J7" i="4"/>
  <c r="I7" i="4"/>
  <c r="G7" i="4"/>
  <c r="N6" i="4"/>
  <c r="N11" i="4" s="1"/>
  <c r="F6" i="4"/>
  <c r="F11" i="4" s="1"/>
  <c r="G11" i="1"/>
  <c r="H11" i="1"/>
  <c r="F11" i="1"/>
  <c r="I6" i="4" l="1"/>
  <c r="I11" i="4" s="1"/>
  <c r="K6" i="4"/>
  <c r="K11" i="4" s="1"/>
  <c r="M6" i="4"/>
  <c r="M11" i="4" s="1"/>
  <c r="O6" i="4"/>
  <c r="O11" i="4" s="1"/>
  <c r="Q6" i="4"/>
  <c r="Q11" i="4" s="1"/>
  <c r="S6" i="4"/>
  <c r="S11" i="4" s="1"/>
  <c r="U8" i="4"/>
  <c r="V8" i="4" s="1"/>
  <c r="W8" i="4" s="1"/>
  <c r="V9" i="4"/>
  <c r="W9" i="4" s="1"/>
  <c r="U7" i="4"/>
  <c r="U6" i="4" s="1"/>
  <c r="U11" i="4" s="1"/>
  <c r="G6" i="4"/>
  <c r="G11" i="4" s="1"/>
  <c r="H7" i="4"/>
  <c r="H9" i="4"/>
  <c r="V13" i="1"/>
  <c r="G10" i="1"/>
  <c r="G9" i="1"/>
  <c r="H9" i="1" s="1"/>
  <c r="G8" i="1"/>
  <c r="G7" i="1"/>
  <c r="H6" i="4" l="1"/>
  <c r="H11" i="4" s="1"/>
  <c r="V7" i="4"/>
  <c r="U9" i="1"/>
  <c r="V9" i="1" s="1"/>
  <c r="W9" i="1" s="1"/>
  <c r="T10" i="1"/>
  <c r="S10" i="1"/>
  <c r="R10" i="1"/>
  <c r="Q10" i="1"/>
  <c r="P10" i="1"/>
  <c r="O10" i="1"/>
  <c r="N10" i="1"/>
  <c r="M10" i="1"/>
  <c r="L10" i="1"/>
  <c r="K10" i="1"/>
  <c r="J10" i="1"/>
  <c r="U10" i="1" s="1"/>
  <c r="I10" i="1"/>
  <c r="T8" i="1"/>
  <c r="S8" i="1"/>
  <c r="R8" i="1"/>
  <c r="Q8" i="1"/>
  <c r="P8" i="1"/>
  <c r="O8" i="1"/>
  <c r="N8" i="1"/>
  <c r="M8" i="1"/>
  <c r="L8" i="1"/>
  <c r="K8" i="1"/>
  <c r="J8" i="1"/>
  <c r="I8" i="1"/>
  <c r="T7" i="1"/>
  <c r="S7" i="1"/>
  <c r="S6" i="1" s="1"/>
  <c r="S11" i="1" s="1"/>
  <c r="R7" i="1"/>
  <c r="R6" i="1" s="1"/>
  <c r="R11" i="1" s="1"/>
  <c r="Q7" i="1"/>
  <c r="P7" i="1"/>
  <c r="O7" i="1"/>
  <c r="O6" i="1" s="1"/>
  <c r="O11" i="1" s="1"/>
  <c r="N7" i="1"/>
  <c r="M7" i="1"/>
  <c r="L7" i="1"/>
  <c r="K7" i="1"/>
  <c r="K6" i="1" s="1"/>
  <c r="K11" i="1" s="1"/>
  <c r="J7" i="1"/>
  <c r="J6" i="1" s="1"/>
  <c r="J11" i="1" s="1"/>
  <c r="I7" i="1"/>
  <c r="H10" i="1"/>
  <c r="H8" i="1"/>
  <c r="H7" i="1"/>
  <c r="F6" i="1"/>
  <c r="W7" i="4" l="1"/>
  <c r="W6" i="4" s="1"/>
  <c r="W11" i="4" s="1"/>
  <c r="V6" i="4"/>
  <c r="V11" i="4" s="1"/>
  <c r="L6" i="1"/>
  <c r="L11" i="1" s="1"/>
  <c r="P6" i="1"/>
  <c r="P11" i="1" s="1"/>
  <c r="T6" i="1"/>
  <c r="T11" i="1" s="1"/>
  <c r="N6" i="1"/>
  <c r="N11" i="1" s="1"/>
  <c r="U8" i="1"/>
  <c r="V8" i="1" s="1"/>
  <c r="W8" i="1" s="1"/>
  <c r="M6" i="1"/>
  <c r="M11" i="1" s="1"/>
  <c r="Q6" i="1"/>
  <c r="Q11" i="1" s="1"/>
  <c r="I6" i="1"/>
  <c r="I11" i="1" s="1"/>
  <c r="U7" i="1"/>
  <c r="V10" i="1"/>
  <c r="W10" i="1" s="1"/>
  <c r="H6" i="1"/>
  <c r="G6" i="1"/>
  <c r="V7" i="1"/>
  <c r="U6" i="1" l="1"/>
  <c r="U11" i="1" s="1"/>
  <c r="U12" i="1" s="1"/>
  <c r="V6" i="1"/>
  <c r="V11" i="1" s="1"/>
  <c r="W7" i="1"/>
  <c r="W6" i="1" s="1"/>
  <c r="W11" i="1" s="1"/>
  <c r="U14" i="1" l="1"/>
</calcChain>
</file>

<file path=xl/sharedStrings.xml><?xml version="1.0" encoding="utf-8"?>
<sst xmlns="http://schemas.openxmlformats.org/spreadsheetml/2006/main" count="73" uniqueCount="38">
  <si>
    <t>Tổng cộng</t>
  </si>
  <si>
    <t>Phương tiện vận tải</t>
  </si>
  <si>
    <t>STT</t>
  </si>
  <si>
    <t>Tên tài sản</t>
  </si>
  <si>
    <t>Mã tài sản</t>
  </si>
  <si>
    <t>Ngày mua</t>
  </si>
  <si>
    <t>Thời gian phân bổ</t>
  </si>
  <si>
    <t>Nguyên giá</t>
  </si>
  <si>
    <t>Giá trị khấu hao tháng 1</t>
  </si>
  <si>
    <t>Giá trị khấu hao tháng 2</t>
  </si>
  <si>
    <t>Giá trị khấu hao tháng 3</t>
  </si>
  <si>
    <t>Giá trị khấu hao tháng 4</t>
  </si>
  <si>
    <t>Giá trị khấu hao tháng 5</t>
  </si>
  <si>
    <t>Giá trị khấu hao tháng 6</t>
  </si>
  <si>
    <t>Giá trị khấu hao tháng 7</t>
  </si>
  <si>
    <t>Giá trị khấu hao tháng 8</t>
  </si>
  <si>
    <t>Giá trị khấu hao tháng 9</t>
  </si>
  <si>
    <t>Giá trị khấu hao tháng 10</t>
  </si>
  <si>
    <t>Giá trị khấu hao tháng 11</t>
  </si>
  <si>
    <t>Giá trị khấu hao tháng 12</t>
  </si>
  <si>
    <t xml:space="preserve"> GT khấu hao luỹ kế cuối năm</t>
  </si>
  <si>
    <t>Giá trị còn lại cuối năm</t>
  </si>
  <si>
    <t>Khấu hao lũy kế đầu năm</t>
  </si>
  <si>
    <t>Giá trị còn lại đầu năm</t>
  </si>
  <si>
    <t>CÔNG TY TNHH THƯƠNG MẠI DỊCH VỤ VẬN TẢI XÂY DỰNG PHÚC MINH</t>
  </si>
  <si>
    <t>XETAI-1503</t>
  </si>
  <si>
    <t>Xe tải Isuzu 84C-03313</t>
  </si>
  <si>
    <t>XETAI-1801</t>
  </si>
  <si>
    <t>Xe tải Isuzu 84C-06125</t>
  </si>
  <si>
    <t>XETAI-1901</t>
  </si>
  <si>
    <t>Xe tải Isuzu 84C-07561</t>
  </si>
  <si>
    <t>Xe ôtô tải HINO 84C-00508</t>
  </si>
  <si>
    <t>XETAI-2101</t>
  </si>
  <si>
    <t xml:space="preserve"> Tổng khấu hao năm 2023</t>
  </si>
  <si>
    <t>KH kế toán</t>
  </si>
  <si>
    <t>Chênh lệch</t>
  </si>
  <si>
    <t>BẢNG TÍNH KHẤU HAO TÀI SẢN CỐ ĐỊNH NĂM 2023</t>
  </si>
  <si>
    <t>KH Thuế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</si>
</sst>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rgb="FFFF0000"/>
      <name val="Times New Roman"/>
      <family val="1"/>
      <charset val="163"/>
    </font>
    <font>
      <sz val="11"/>
      <color rgb="FFFF0000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4" fillId="0" borderId="0" xfId="0" applyFont="1"/>
    <xf numFmtId="164" fontId="2" fillId="0" borderId="0" xfId="1" applyNumberFormat="1" applyFont="1"/>
    <xf numFmtId="164" fontId="2" fillId="0" borderId="0" xfId="1" applyNumberFormat="1" applyFont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164" fontId="4" fillId="2" borderId="1" xfId="1" applyNumberFormat="1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1" applyNumberFormat="1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164" fontId="2" fillId="0" borderId="1" xfId="1" applyNumberFormat="1" applyFont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164" fontId="4" fillId="3" borderId="1" xfId="1" applyNumberFormat="1" applyFont="1" applyFill="1" applyBorder="1"/>
    <xf numFmtId="164" fontId="6" fillId="4" borderId="0" xfId="1" applyNumberFormat="1" applyFont="1" applyFill="1"/>
    <xf numFmtId="164" fontId="7" fillId="4" borderId="0" xfId="1" applyNumberFormat="1" applyFont="1" applyFill="1"/>
    <xf numFmtId="9" fontId="2" fillId="0" borderId="0" xfId="2" applyFont="1"/>
    <xf numFmtId="164" fontId="6" fillId="0" borderId="0" xfId="1" applyNumberFormat="1" applyFont="1" applyFill="1"/>
    <xf numFmtId="164" fontId="7" fillId="0" borderId="0" xfId="1" applyNumberFormat="1" applyFont="1" applyFill="1"/>
    <xf numFmtId="164" fontId="2" fillId="0" borderId="0" xfId="1" applyNumberFormat="1" applyFont="1" applyFill="1"/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8"/>
  <sheetViews>
    <sheetView tabSelected="1" topLeftCell="K1" zoomScaleNormal="100" workbookViewId="0">
      <selection activeCell="E7" sqref="E7"/>
    </sheetView>
  </sheetViews>
  <sheetFormatPr defaultRowHeight="14.25" x14ac:dyDescent="0.2"/>
  <cols>
    <col min="1" max="1" width="5.85546875" style="1" customWidth="1"/>
    <col min="2" max="2" width="31.28515625" style="1" customWidth="1"/>
    <col min="3" max="3" width="12" style="1" bestFit="1" customWidth="1"/>
    <col min="4" max="4" width="11.28515625" style="1" bestFit="1" customWidth="1"/>
    <col min="5" max="5" width="10.7109375" style="3" bestFit="1" customWidth="1"/>
    <col min="6" max="6" width="15.7109375" style="6" bestFit="1" customWidth="1"/>
    <col min="7" max="7" width="18" style="6" customWidth="1"/>
    <col min="8" max="8" width="15.7109375" style="6" bestFit="1" customWidth="1"/>
    <col min="9" max="9" width="14.7109375" style="6" bestFit="1" customWidth="1"/>
    <col min="10" max="13" width="14.5703125" style="6" bestFit="1" customWidth="1"/>
    <col min="14" max="14" width="14.28515625" style="6" bestFit="1" customWidth="1"/>
    <col min="15" max="20" width="14.5703125" style="6" bestFit="1" customWidth="1"/>
    <col min="21" max="21" width="18" style="6" bestFit="1" customWidth="1"/>
    <col min="22" max="22" width="18.7109375" style="6" bestFit="1" customWidth="1"/>
    <col min="23" max="23" width="17.42578125" style="6" bestFit="1" customWidth="1"/>
    <col min="24" max="24" width="11.140625" style="1" bestFit="1" customWidth="1"/>
    <col min="25" max="16384" width="9.140625" style="1"/>
  </cols>
  <sheetData>
    <row r="1" spans="1:23" ht="15.75" x14ac:dyDescent="0.25">
      <c r="A1" s="2" t="s">
        <v>24</v>
      </c>
    </row>
    <row r="3" spans="1:23" ht="20.25" x14ac:dyDescent="0.3">
      <c r="A3" s="28" t="s">
        <v>36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</row>
    <row r="4" spans="1:23" x14ac:dyDescent="0.2">
      <c r="A4" s="3"/>
      <c r="B4" s="3"/>
      <c r="C4" s="3"/>
      <c r="D4" s="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s="4" customFormat="1" ht="30" customHeight="1" x14ac:dyDescent="0.25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9" t="s">
        <v>7</v>
      </c>
      <c r="G5" s="9" t="s">
        <v>22</v>
      </c>
      <c r="H5" s="9" t="s">
        <v>23</v>
      </c>
      <c r="I5" s="9" t="s">
        <v>8</v>
      </c>
      <c r="J5" s="9" t="s">
        <v>9</v>
      </c>
      <c r="K5" s="9" t="s">
        <v>10</v>
      </c>
      <c r="L5" s="9" t="s">
        <v>11</v>
      </c>
      <c r="M5" s="9" t="s">
        <v>12</v>
      </c>
      <c r="N5" s="9" t="s">
        <v>13</v>
      </c>
      <c r="O5" s="9" t="s">
        <v>14</v>
      </c>
      <c r="P5" s="9" t="s">
        <v>15</v>
      </c>
      <c r="Q5" s="9" t="s">
        <v>16</v>
      </c>
      <c r="R5" s="9" t="s">
        <v>17</v>
      </c>
      <c r="S5" s="9" t="s">
        <v>18</v>
      </c>
      <c r="T5" s="9" t="s">
        <v>19</v>
      </c>
      <c r="U5" s="9" t="s">
        <v>33</v>
      </c>
      <c r="V5" s="9" t="s">
        <v>20</v>
      </c>
      <c r="W5" s="9" t="s">
        <v>21</v>
      </c>
    </row>
    <row r="6" spans="1:23" s="5" customFormat="1" ht="15" x14ac:dyDescent="0.25">
      <c r="A6" s="29" t="s">
        <v>1</v>
      </c>
      <c r="B6" s="30"/>
      <c r="C6" s="11"/>
      <c r="D6" s="11"/>
      <c r="E6" s="10"/>
      <c r="F6" s="12">
        <f>SUM(F7:F10)</f>
        <v>6421699183</v>
      </c>
      <c r="G6" s="12">
        <f t="shared" ref="G6:W6" si="0">SUM(G7:G10)</f>
        <v>2708459884</v>
      </c>
      <c r="H6" s="12">
        <f t="shared" si="0"/>
        <v>3713239299</v>
      </c>
      <c r="I6" s="12">
        <f t="shared" si="0"/>
        <v>53514159.858333334</v>
      </c>
      <c r="J6" s="12">
        <f t="shared" si="0"/>
        <v>53514159.858333334</v>
      </c>
      <c r="K6" s="12">
        <f t="shared" si="0"/>
        <v>53514159.858333334</v>
      </c>
      <c r="L6" s="12">
        <f t="shared" si="0"/>
        <v>53514159.858333334</v>
      </c>
      <c r="M6" s="12">
        <f t="shared" si="0"/>
        <v>53514159.858333334</v>
      </c>
      <c r="N6" s="12">
        <f t="shared" si="0"/>
        <v>53514159.858333334</v>
      </c>
      <c r="O6" s="12">
        <f t="shared" si="0"/>
        <v>53514159.858333334</v>
      </c>
      <c r="P6" s="12">
        <f t="shared" si="0"/>
        <v>53514159.858333334</v>
      </c>
      <c r="Q6" s="12">
        <f t="shared" si="0"/>
        <v>53514159.858333334</v>
      </c>
      <c r="R6" s="12">
        <f t="shared" si="0"/>
        <v>53514159.858333334</v>
      </c>
      <c r="S6" s="12">
        <f t="shared" si="0"/>
        <v>53514159.858333334</v>
      </c>
      <c r="T6" s="12">
        <f t="shared" si="0"/>
        <v>53514159.858333334</v>
      </c>
      <c r="U6" s="12">
        <f t="shared" si="0"/>
        <v>642169918.29999983</v>
      </c>
      <c r="V6" s="12">
        <f t="shared" si="0"/>
        <v>3350629802.2999997</v>
      </c>
      <c r="W6" s="12">
        <f t="shared" si="0"/>
        <v>3071069380.7000003</v>
      </c>
    </row>
    <row r="7" spans="1:23" x14ac:dyDescent="0.2">
      <c r="A7" s="13">
        <v>1</v>
      </c>
      <c r="B7" s="14" t="s">
        <v>26</v>
      </c>
      <c r="C7" s="14" t="s">
        <v>25</v>
      </c>
      <c r="D7" s="15">
        <v>42248</v>
      </c>
      <c r="E7" s="13">
        <v>120</v>
      </c>
      <c r="F7" s="16">
        <v>1490964637</v>
      </c>
      <c r="G7" s="16">
        <f>F7-385165892</f>
        <v>1105798745</v>
      </c>
      <c r="H7" s="16">
        <f>F7-G7</f>
        <v>385165892</v>
      </c>
      <c r="I7" s="16">
        <f>$F$7/$E$7</f>
        <v>12424705.308333334</v>
      </c>
      <c r="J7" s="16">
        <f t="shared" ref="J7:T7" si="1">$F$7/$E$7</f>
        <v>12424705.308333334</v>
      </c>
      <c r="K7" s="16">
        <f t="shared" si="1"/>
        <v>12424705.308333334</v>
      </c>
      <c r="L7" s="16">
        <f t="shared" si="1"/>
        <v>12424705.308333334</v>
      </c>
      <c r="M7" s="16">
        <f t="shared" si="1"/>
        <v>12424705.308333334</v>
      </c>
      <c r="N7" s="16">
        <f t="shared" si="1"/>
        <v>12424705.308333334</v>
      </c>
      <c r="O7" s="16">
        <f t="shared" si="1"/>
        <v>12424705.308333334</v>
      </c>
      <c r="P7" s="16">
        <f t="shared" si="1"/>
        <v>12424705.308333334</v>
      </c>
      <c r="Q7" s="16">
        <f t="shared" si="1"/>
        <v>12424705.308333334</v>
      </c>
      <c r="R7" s="16">
        <f t="shared" si="1"/>
        <v>12424705.308333334</v>
      </c>
      <c r="S7" s="16">
        <f t="shared" si="1"/>
        <v>12424705.308333334</v>
      </c>
      <c r="T7" s="16">
        <f t="shared" si="1"/>
        <v>12424705.308333334</v>
      </c>
      <c r="U7" s="16">
        <f t="shared" ref="U7:U10" si="2">SUM(I7:T7)</f>
        <v>149096463.70000002</v>
      </c>
      <c r="V7" s="16">
        <f t="shared" ref="V7:V10" si="3">G7+U7</f>
        <v>1254895208.7</v>
      </c>
      <c r="W7" s="16">
        <f t="shared" ref="W7:W10" si="4">F7-V7</f>
        <v>236069428.29999995</v>
      </c>
    </row>
    <row r="8" spans="1:23" x14ac:dyDescent="0.2">
      <c r="A8" s="13">
        <v>2</v>
      </c>
      <c r="B8" s="14" t="s">
        <v>28</v>
      </c>
      <c r="C8" s="14" t="s">
        <v>27</v>
      </c>
      <c r="D8" s="15">
        <v>43252</v>
      </c>
      <c r="E8" s="13">
        <v>120</v>
      </c>
      <c r="F8" s="16">
        <v>1523709091</v>
      </c>
      <c r="G8" s="16">
        <f>F8-812644835</f>
        <v>711064256</v>
      </c>
      <c r="H8" s="16">
        <f>F8-G8</f>
        <v>812644835</v>
      </c>
      <c r="I8" s="16">
        <f>$F$8/$E$8</f>
        <v>12697575.758333333</v>
      </c>
      <c r="J8" s="16">
        <f t="shared" ref="J8:T8" si="5">$F$8/$E$8</f>
        <v>12697575.758333333</v>
      </c>
      <c r="K8" s="16">
        <f t="shared" si="5"/>
        <v>12697575.758333333</v>
      </c>
      <c r="L8" s="16">
        <f t="shared" si="5"/>
        <v>12697575.758333333</v>
      </c>
      <c r="M8" s="16">
        <f t="shared" si="5"/>
        <v>12697575.758333333</v>
      </c>
      <c r="N8" s="16">
        <f t="shared" si="5"/>
        <v>12697575.758333333</v>
      </c>
      <c r="O8" s="16">
        <f t="shared" si="5"/>
        <v>12697575.758333333</v>
      </c>
      <c r="P8" s="16">
        <f t="shared" si="5"/>
        <v>12697575.758333333</v>
      </c>
      <c r="Q8" s="16">
        <f t="shared" si="5"/>
        <v>12697575.758333333</v>
      </c>
      <c r="R8" s="16">
        <f t="shared" si="5"/>
        <v>12697575.758333333</v>
      </c>
      <c r="S8" s="16">
        <f t="shared" si="5"/>
        <v>12697575.758333333</v>
      </c>
      <c r="T8" s="16">
        <f t="shared" si="5"/>
        <v>12697575.758333333</v>
      </c>
      <c r="U8" s="16">
        <f t="shared" si="2"/>
        <v>152370909.09999996</v>
      </c>
      <c r="V8" s="16">
        <f t="shared" si="3"/>
        <v>863435165.0999999</v>
      </c>
      <c r="W8" s="16">
        <f t="shared" si="4"/>
        <v>660273925.9000001</v>
      </c>
    </row>
    <row r="9" spans="1:23" x14ac:dyDescent="0.2">
      <c r="A9" s="13">
        <v>3</v>
      </c>
      <c r="B9" s="14" t="s">
        <v>30</v>
      </c>
      <c r="C9" s="14" t="s">
        <v>29</v>
      </c>
      <c r="D9" s="15">
        <v>43683</v>
      </c>
      <c r="E9" s="13">
        <v>120</v>
      </c>
      <c r="F9" s="16">
        <v>1644490909</v>
      </c>
      <c r="G9" s="16">
        <f>F9-1071129424</f>
        <v>573361485</v>
      </c>
      <c r="H9" s="16">
        <f>F9-G9</f>
        <v>1071129424</v>
      </c>
      <c r="I9" s="16">
        <f>$F$9/$E$9</f>
        <v>13704090.908333333</v>
      </c>
      <c r="J9" s="16">
        <f t="shared" ref="J9:T9" si="6">$F$9/$E$9</f>
        <v>13704090.908333333</v>
      </c>
      <c r="K9" s="16">
        <f t="shared" si="6"/>
        <v>13704090.908333333</v>
      </c>
      <c r="L9" s="16">
        <f t="shared" si="6"/>
        <v>13704090.908333333</v>
      </c>
      <c r="M9" s="16">
        <f t="shared" si="6"/>
        <v>13704090.908333333</v>
      </c>
      <c r="N9" s="16">
        <f t="shared" si="6"/>
        <v>13704090.908333333</v>
      </c>
      <c r="O9" s="16">
        <f t="shared" si="6"/>
        <v>13704090.908333333</v>
      </c>
      <c r="P9" s="16">
        <f t="shared" si="6"/>
        <v>13704090.908333333</v>
      </c>
      <c r="Q9" s="16">
        <f t="shared" si="6"/>
        <v>13704090.908333333</v>
      </c>
      <c r="R9" s="16">
        <f t="shared" si="6"/>
        <v>13704090.908333333</v>
      </c>
      <c r="S9" s="16">
        <f t="shared" si="6"/>
        <v>13704090.908333333</v>
      </c>
      <c r="T9" s="16">
        <f t="shared" si="6"/>
        <v>13704090.908333333</v>
      </c>
      <c r="U9" s="16">
        <f t="shared" ref="U9" si="7">SUM(I9:T9)</f>
        <v>164449090.90000001</v>
      </c>
      <c r="V9" s="16">
        <f t="shared" ref="V9" si="8">G9+U9</f>
        <v>737810575.89999998</v>
      </c>
      <c r="W9" s="16">
        <f t="shared" ref="W9" si="9">F9-V9</f>
        <v>906680333.10000002</v>
      </c>
    </row>
    <row r="10" spans="1:23" x14ac:dyDescent="0.2">
      <c r="A10" s="13">
        <v>4</v>
      </c>
      <c r="B10" s="14" t="s">
        <v>31</v>
      </c>
      <c r="C10" s="14" t="s">
        <v>32</v>
      </c>
      <c r="D10" s="15">
        <v>44531</v>
      </c>
      <c r="E10" s="13">
        <v>120</v>
      </c>
      <c r="F10" s="16">
        <v>1762534546</v>
      </c>
      <c r="G10" s="16">
        <f>F10-1444299148</f>
        <v>318235398</v>
      </c>
      <c r="H10" s="16">
        <f>F10-G10</f>
        <v>1444299148</v>
      </c>
      <c r="I10" s="16">
        <f>$F$10/$E$10</f>
        <v>14687787.883333333</v>
      </c>
      <c r="J10" s="16">
        <f t="shared" ref="J10:T10" si="10">$F$10/$E$10</f>
        <v>14687787.883333333</v>
      </c>
      <c r="K10" s="16">
        <f t="shared" si="10"/>
        <v>14687787.883333333</v>
      </c>
      <c r="L10" s="16">
        <f t="shared" si="10"/>
        <v>14687787.883333333</v>
      </c>
      <c r="M10" s="16">
        <f t="shared" si="10"/>
        <v>14687787.883333333</v>
      </c>
      <c r="N10" s="16">
        <f t="shared" si="10"/>
        <v>14687787.883333333</v>
      </c>
      <c r="O10" s="16">
        <f t="shared" si="10"/>
        <v>14687787.883333333</v>
      </c>
      <c r="P10" s="16">
        <f t="shared" si="10"/>
        <v>14687787.883333333</v>
      </c>
      <c r="Q10" s="16">
        <f t="shared" si="10"/>
        <v>14687787.883333333</v>
      </c>
      <c r="R10" s="16">
        <f t="shared" si="10"/>
        <v>14687787.883333333</v>
      </c>
      <c r="S10" s="16">
        <f t="shared" si="10"/>
        <v>14687787.883333333</v>
      </c>
      <c r="T10" s="16">
        <f t="shared" si="10"/>
        <v>14687787.883333333</v>
      </c>
      <c r="U10" s="16">
        <f t="shared" si="2"/>
        <v>176253454.59999993</v>
      </c>
      <c r="V10" s="16">
        <f t="shared" si="3"/>
        <v>494488852.5999999</v>
      </c>
      <c r="W10" s="16">
        <f t="shared" si="4"/>
        <v>1268045693.4000001</v>
      </c>
    </row>
    <row r="11" spans="1:23" s="5" customFormat="1" ht="15" x14ac:dyDescent="0.25">
      <c r="A11" s="26" t="s">
        <v>0</v>
      </c>
      <c r="B11" s="27"/>
      <c r="C11" s="17"/>
      <c r="D11" s="17"/>
      <c r="E11" s="18"/>
      <c r="F11" s="19">
        <f>F6</f>
        <v>6421699183</v>
      </c>
      <c r="G11" s="19">
        <f t="shared" ref="G11:W11" si="11">G6</f>
        <v>2708459884</v>
      </c>
      <c r="H11" s="19">
        <f t="shared" si="11"/>
        <v>3713239299</v>
      </c>
      <c r="I11" s="19">
        <f t="shared" si="11"/>
        <v>53514159.858333334</v>
      </c>
      <c r="J11" s="19">
        <f t="shared" si="11"/>
        <v>53514159.858333334</v>
      </c>
      <c r="K11" s="19">
        <f t="shared" si="11"/>
        <v>53514159.858333334</v>
      </c>
      <c r="L11" s="19">
        <f t="shared" si="11"/>
        <v>53514159.858333334</v>
      </c>
      <c r="M11" s="19">
        <f t="shared" si="11"/>
        <v>53514159.858333334</v>
      </c>
      <c r="N11" s="19">
        <f t="shared" si="11"/>
        <v>53514159.858333334</v>
      </c>
      <c r="O11" s="19">
        <f t="shared" si="11"/>
        <v>53514159.858333334</v>
      </c>
      <c r="P11" s="19">
        <f t="shared" si="11"/>
        <v>53514159.858333334</v>
      </c>
      <c r="Q11" s="19">
        <f t="shared" si="11"/>
        <v>53514159.858333334</v>
      </c>
      <c r="R11" s="19">
        <f t="shared" si="11"/>
        <v>53514159.858333334</v>
      </c>
      <c r="S11" s="19">
        <f t="shared" si="11"/>
        <v>53514159.858333334</v>
      </c>
      <c r="T11" s="19">
        <f t="shared" si="11"/>
        <v>53514159.858333334</v>
      </c>
      <c r="U11" s="19">
        <f t="shared" si="11"/>
        <v>642169918.29999983</v>
      </c>
      <c r="V11" s="19">
        <f t="shared" si="11"/>
        <v>3350629802.2999997</v>
      </c>
      <c r="W11" s="19">
        <f t="shared" si="11"/>
        <v>3071069380.7000003</v>
      </c>
    </row>
    <row r="12" spans="1:23" ht="15" x14ac:dyDescent="0.25">
      <c r="T12" s="20" t="s">
        <v>37</v>
      </c>
      <c r="U12" s="21">
        <f>U11</f>
        <v>642169918.29999983</v>
      </c>
    </row>
    <row r="13" spans="1:23" ht="15" x14ac:dyDescent="0.25">
      <c r="T13" s="20" t="s">
        <v>34</v>
      </c>
      <c r="U13" s="21">
        <f>'KT 2023'!U11</f>
        <v>428113278.86666662</v>
      </c>
      <c r="V13" s="6">
        <f>U13*60%</f>
        <v>256867967.31999996</v>
      </c>
    </row>
    <row r="14" spans="1:23" ht="15" x14ac:dyDescent="0.25">
      <c r="T14" s="20" t="s">
        <v>35</v>
      </c>
      <c r="U14" s="21">
        <f>U12-U13</f>
        <v>214056639.43333322</v>
      </c>
    </row>
    <row r="17" spans="22:22" x14ac:dyDescent="0.2">
      <c r="V17" s="22"/>
    </row>
    <row r="18" spans="22:22" x14ac:dyDescent="0.2">
      <c r="V18" s="22"/>
    </row>
  </sheetData>
  <mergeCells count="3">
    <mergeCell ref="A11:B11"/>
    <mergeCell ref="A3:W3"/>
    <mergeCell ref="A6:B6"/>
  </mergeCells>
  <pageMargins left="0.31496062992125984" right="0.31496062992125984" top="0.3543307086614173" bottom="0.74803149606299213" header="0.31496062992125984" footer="0.31496062992125984"/>
  <pageSetup paperSize="9" scale="2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workbookViewId="0">
      <selection activeCell="U7" sqref="U7"/>
    </sheetView>
  </sheetViews>
  <sheetFormatPr defaultRowHeight="14.25" x14ac:dyDescent="0.2"/>
  <cols>
    <col min="1" max="1" width="5.85546875" style="1" customWidth="1"/>
    <col min="2" max="2" width="31.28515625" style="1" customWidth="1"/>
    <col min="3" max="3" width="12" style="1" bestFit="1" customWidth="1"/>
    <col min="4" max="4" width="11.28515625" style="1" bestFit="1" customWidth="1"/>
    <col min="5" max="5" width="10.7109375" style="3" bestFit="1" customWidth="1"/>
    <col min="6" max="6" width="15.7109375" style="6" bestFit="1" customWidth="1"/>
    <col min="7" max="7" width="18" style="6" customWidth="1"/>
    <col min="8" max="8" width="15.7109375" style="6" bestFit="1" customWidth="1"/>
    <col min="9" max="9" width="14.7109375" style="6" bestFit="1" customWidth="1"/>
    <col min="10" max="13" width="14.5703125" style="6" bestFit="1" customWidth="1"/>
    <col min="14" max="14" width="14.28515625" style="6" bestFit="1" customWidth="1"/>
    <col min="15" max="20" width="14.5703125" style="6" bestFit="1" customWidth="1"/>
    <col min="21" max="21" width="18" style="6" bestFit="1" customWidth="1"/>
    <col min="22" max="22" width="18.7109375" style="6" bestFit="1" customWidth="1"/>
    <col min="23" max="23" width="17.42578125" style="6" bestFit="1" customWidth="1"/>
    <col min="24" max="24" width="11.140625" style="1" bestFit="1" customWidth="1"/>
    <col min="25" max="16384" width="9.140625" style="1"/>
  </cols>
  <sheetData>
    <row r="1" spans="1:23" ht="15.75" x14ac:dyDescent="0.25">
      <c r="A1" s="2" t="s">
        <v>24</v>
      </c>
    </row>
    <row r="3" spans="1:23" ht="20.25" x14ac:dyDescent="0.3">
      <c r="A3" s="28" t="s">
        <v>36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</row>
    <row r="4" spans="1:23" x14ac:dyDescent="0.2">
      <c r="A4" s="3"/>
      <c r="B4" s="3"/>
      <c r="C4" s="3"/>
      <c r="D4" s="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s="4" customFormat="1" ht="30" customHeight="1" x14ac:dyDescent="0.25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9" t="s">
        <v>7</v>
      </c>
      <c r="G5" s="9" t="s">
        <v>22</v>
      </c>
      <c r="H5" s="9" t="s">
        <v>23</v>
      </c>
      <c r="I5" s="9" t="s">
        <v>8</v>
      </c>
      <c r="J5" s="9" t="s">
        <v>9</v>
      </c>
      <c r="K5" s="9" t="s">
        <v>10</v>
      </c>
      <c r="L5" s="9" t="s">
        <v>11</v>
      </c>
      <c r="M5" s="9" t="s">
        <v>12</v>
      </c>
      <c r="N5" s="9" t="s">
        <v>13</v>
      </c>
      <c r="O5" s="9" t="s">
        <v>14</v>
      </c>
      <c r="P5" s="9" t="s">
        <v>15</v>
      </c>
      <c r="Q5" s="9" t="s">
        <v>16</v>
      </c>
      <c r="R5" s="9" t="s">
        <v>17</v>
      </c>
      <c r="S5" s="9" t="s">
        <v>18</v>
      </c>
      <c r="T5" s="9" t="s">
        <v>19</v>
      </c>
      <c r="U5" s="9" t="s">
        <v>33</v>
      </c>
      <c r="V5" s="9" t="s">
        <v>20</v>
      </c>
      <c r="W5" s="9" t="s">
        <v>21</v>
      </c>
    </row>
    <row r="6" spans="1:23" s="5" customFormat="1" ht="15" x14ac:dyDescent="0.25">
      <c r="A6" s="29" t="s">
        <v>1</v>
      </c>
      <c r="B6" s="30"/>
      <c r="C6" s="11"/>
      <c r="D6" s="11"/>
      <c r="E6" s="10"/>
      <c r="F6" s="12">
        <f>SUM(F7:F10)</f>
        <v>6421699183</v>
      </c>
      <c r="G6" s="12">
        <f t="shared" ref="G6:W6" si="0">SUM(G7:G10)</f>
        <v>2708459884</v>
      </c>
      <c r="H6" s="12">
        <f t="shared" si="0"/>
        <v>3713239299</v>
      </c>
      <c r="I6" s="12">
        <f t="shared" si="0"/>
        <v>35676106.572222225</v>
      </c>
      <c r="J6" s="12">
        <f t="shared" si="0"/>
        <v>35676106.572222225</v>
      </c>
      <c r="K6" s="12">
        <f t="shared" si="0"/>
        <v>35676106.572222225</v>
      </c>
      <c r="L6" s="12">
        <f t="shared" si="0"/>
        <v>35676106.572222225</v>
      </c>
      <c r="M6" s="12">
        <f t="shared" si="0"/>
        <v>35676106.572222225</v>
      </c>
      <c r="N6" s="12">
        <f t="shared" si="0"/>
        <v>35676106.572222225</v>
      </c>
      <c r="O6" s="12">
        <f t="shared" si="0"/>
        <v>35676106.572222225</v>
      </c>
      <c r="P6" s="12">
        <f t="shared" si="0"/>
        <v>35676106.572222225</v>
      </c>
      <c r="Q6" s="12">
        <f t="shared" si="0"/>
        <v>35676106.572222225</v>
      </c>
      <c r="R6" s="12">
        <f t="shared" si="0"/>
        <v>35676106.572222225</v>
      </c>
      <c r="S6" s="12">
        <f t="shared" si="0"/>
        <v>35676106.572222225</v>
      </c>
      <c r="T6" s="12">
        <f t="shared" si="0"/>
        <v>35676106.572222225</v>
      </c>
      <c r="U6" s="12">
        <f t="shared" si="0"/>
        <v>428113278.86666662</v>
      </c>
      <c r="V6" s="12">
        <f t="shared" si="0"/>
        <v>3136573162.8666668</v>
      </c>
      <c r="W6" s="12">
        <f t="shared" si="0"/>
        <v>3285126020.1333332</v>
      </c>
    </row>
    <row r="7" spans="1:23" x14ac:dyDescent="0.2">
      <c r="A7" s="13">
        <v>1</v>
      </c>
      <c r="B7" s="14" t="s">
        <v>26</v>
      </c>
      <c r="C7" s="14" t="s">
        <v>25</v>
      </c>
      <c r="D7" s="15">
        <v>42248</v>
      </c>
      <c r="E7" s="13">
        <v>180</v>
      </c>
      <c r="F7" s="16">
        <v>1490964637</v>
      </c>
      <c r="G7" s="16">
        <f>F7-385165892</f>
        <v>1105798745</v>
      </c>
      <c r="H7" s="16">
        <f>F7-G7</f>
        <v>385165892</v>
      </c>
      <c r="I7" s="16">
        <f>$F$7/$E$7</f>
        <v>8283136.8722222224</v>
      </c>
      <c r="J7" s="16">
        <f t="shared" ref="J7:T7" si="1">$F$7/$E$7</f>
        <v>8283136.8722222224</v>
      </c>
      <c r="K7" s="16">
        <f t="shared" si="1"/>
        <v>8283136.8722222224</v>
      </c>
      <c r="L7" s="16">
        <f t="shared" si="1"/>
        <v>8283136.8722222224</v>
      </c>
      <c r="M7" s="16">
        <f t="shared" si="1"/>
        <v>8283136.8722222224</v>
      </c>
      <c r="N7" s="16">
        <f t="shared" si="1"/>
        <v>8283136.8722222224</v>
      </c>
      <c r="O7" s="16">
        <f t="shared" si="1"/>
        <v>8283136.8722222224</v>
      </c>
      <c r="P7" s="16">
        <f t="shared" si="1"/>
        <v>8283136.8722222224</v>
      </c>
      <c r="Q7" s="16">
        <f t="shared" si="1"/>
        <v>8283136.8722222224</v>
      </c>
      <c r="R7" s="16">
        <f t="shared" si="1"/>
        <v>8283136.8722222224</v>
      </c>
      <c r="S7" s="16">
        <f t="shared" si="1"/>
        <v>8283136.8722222224</v>
      </c>
      <c r="T7" s="16">
        <f t="shared" si="1"/>
        <v>8283136.8722222224</v>
      </c>
      <c r="U7" s="16">
        <f t="shared" ref="U7:U10" si="2">SUM(I7:T7)</f>
        <v>99397642.466666639</v>
      </c>
      <c r="V7" s="16">
        <f t="shared" ref="V7:V10" si="3">G7+U7</f>
        <v>1205196387.4666667</v>
      </c>
      <c r="W7" s="16">
        <f t="shared" ref="W7:W10" si="4">F7-V7</f>
        <v>285768249.5333333</v>
      </c>
    </row>
    <row r="8" spans="1:23" x14ac:dyDescent="0.2">
      <c r="A8" s="13">
        <v>2</v>
      </c>
      <c r="B8" s="14" t="s">
        <v>28</v>
      </c>
      <c r="C8" s="14" t="s">
        <v>27</v>
      </c>
      <c r="D8" s="15">
        <v>43252</v>
      </c>
      <c r="E8" s="13">
        <v>180</v>
      </c>
      <c r="F8" s="16">
        <v>1523709091</v>
      </c>
      <c r="G8" s="16">
        <f>F8-812644835</f>
        <v>711064256</v>
      </c>
      <c r="H8" s="16">
        <f>F8-G8</f>
        <v>812644835</v>
      </c>
      <c r="I8" s="16">
        <f>$F$8/$E$8</f>
        <v>8465050.5055555552</v>
      </c>
      <c r="J8" s="16">
        <f t="shared" ref="J8:T8" si="5">$F$8/$E$8</f>
        <v>8465050.5055555552</v>
      </c>
      <c r="K8" s="16">
        <f t="shared" si="5"/>
        <v>8465050.5055555552</v>
      </c>
      <c r="L8" s="16">
        <f t="shared" si="5"/>
        <v>8465050.5055555552</v>
      </c>
      <c r="M8" s="16">
        <f t="shared" si="5"/>
        <v>8465050.5055555552</v>
      </c>
      <c r="N8" s="16">
        <f t="shared" si="5"/>
        <v>8465050.5055555552</v>
      </c>
      <c r="O8" s="16">
        <f t="shared" si="5"/>
        <v>8465050.5055555552</v>
      </c>
      <c r="P8" s="16">
        <f t="shared" si="5"/>
        <v>8465050.5055555552</v>
      </c>
      <c r="Q8" s="16">
        <f t="shared" si="5"/>
        <v>8465050.5055555552</v>
      </c>
      <c r="R8" s="16">
        <f t="shared" si="5"/>
        <v>8465050.5055555552</v>
      </c>
      <c r="S8" s="16">
        <f t="shared" si="5"/>
        <v>8465050.5055555552</v>
      </c>
      <c r="T8" s="16">
        <f t="shared" si="5"/>
        <v>8465050.5055555552</v>
      </c>
      <c r="U8" s="16">
        <f t="shared" si="2"/>
        <v>101580606.06666666</v>
      </c>
      <c r="V8" s="16">
        <f t="shared" si="3"/>
        <v>812644862.0666666</v>
      </c>
      <c r="W8" s="16">
        <f t="shared" si="4"/>
        <v>711064228.9333334</v>
      </c>
    </row>
    <row r="9" spans="1:23" x14ac:dyDescent="0.2">
      <c r="A9" s="13">
        <v>3</v>
      </c>
      <c r="B9" s="14" t="s">
        <v>30</v>
      </c>
      <c r="C9" s="14" t="s">
        <v>29</v>
      </c>
      <c r="D9" s="15">
        <v>43683</v>
      </c>
      <c r="E9" s="13">
        <v>180</v>
      </c>
      <c r="F9" s="16">
        <v>1644490909</v>
      </c>
      <c r="G9" s="16">
        <f>F9-1071129424</f>
        <v>573361485</v>
      </c>
      <c r="H9" s="16">
        <f>F9-G9</f>
        <v>1071129424</v>
      </c>
      <c r="I9" s="16">
        <f>$F$9/$E$9</f>
        <v>9136060.6055555549</v>
      </c>
      <c r="J9" s="16">
        <f t="shared" ref="J9:T9" si="6">$F$9/$E$9</f>
        <v>9136060.6055555549</v>
      </c>
      <c r="K9" s="16">
        <f t="shared" si="6"/>
        <v>9136060.6055555549</v>
      </c>
      <c r="L9" s="16">
        <f t="shared" si="6"/>
        <v>9136060.6055555549</v>
      </c>
      <c r="M9" s="16">
        <f t="shared" si="6"/>
        <v>9136060.6055555549</v>
      </c>
      <c r="N9" s="16">
        <f t="shared" si="6"/>
        <v>9136060.6055555549</v>
      </c>
      <c r="O9" s="16">
        <f t="shared" si="6"/>
        <v>9136060.6055555549</v>
      </c>
      <c r="P9" s="16">
        <f t="shared" si="6"/>
        <v>9136060.6055555549</v>
      </c>
      <c r="Q9" s="16">
        <f t="shared" si="6"/>
        <v>9136060.6055555549</v>
      </c>
      <c r="R9" s="16">
        <f t="shared" si="6"/>
        <v>9136060.6055555549</v>
      </c>
      <c r="S9" s="16">
        <f t="shared" si="6"/>
        <v>9136060.6055555549</v>
      </c>
      <c r="T9" s="16">
        <f t="shared" si="6"/>
        <v>9136060.6055555549</v>
      </c>
      <c r="U9" s="16">
        <f t="shared" si="2"/>
        <v>109632727.26666664</v>
      </c>
      <c r="V9" s="16">
        <f t="shared" si="3"/>
        <v>682994212.26666665</v>
      </c>
      <c r="W9" s="16">
        <f t="shared" si="4"/>
        <v>961496696.73333335</v>
      </c>
    </row>
    <row r="10" spans="1:23" x14ac:dyDescent="0.2">
      <c r="A10" s="13">
        <v>4</v>
      </c>
      <c r="B10" s="14" t="s">
        <v>31</v>
      </c>
      <c r="C10" s="14" t="s">
        <v>32</v>
      </c>
      <c r="D10" s="15">
        <v>44531</v>
      </c>
      <c r="E10" s="13">
        <v>180</v>
      </c>
      <c r="F10" s="16">
        <v>1762534546</v>
      </c>
      <c r="G10" s="16">
        <f>F10-1444299148</f>
        <v>318235398</v>
      </c>
      <c r="H10" s="16">
        <f>F10-G10</f>
        <v>1444299148</v>
      </c>
      <c r="I10" s="16">
        <f>$F$10/$E$10</f>
        <v>9791858.5888888892</v>
      </c>
      <c r="J10" s="16">
        <f t="shared" ref="J10:T10" si="7">$F$10/$E$10</f>
        <v>9791858.5888888892</v>
      </c>
      <c r="K10" s="16">
        <f t="shared" si="7"/>
        <v>9791858.5888888892</v>
      </c>
      <c r="L10" s="16">
        <f t="shared" si="7"/>
        <v>9791858.5888888892</v>
      </c>
      <c r="M10" s="16">
        <f t="shared" si="7"/>
        <v>9791858.5888888892</v>
      </c>
      <c r="N10" s="16">
        <f t="shared" si="7"/>
        <v>9791858.5888888892</v>
      </c>
      <c r="O10" s="16">
        <f t="shared" si="7"/>
        <v>9791858.5888888892</v>
      </c>
      <c r="P10" s="16">
        <f t="shared" si="7"/>
        <v>9791858.5888888892</v>
      </c>
      <c r="Q10" s="16">
        <f t="shared" si="7"/>
        <v>9791858.5888888892</v>
      </c>
      <c r="R10" s="16">
        <f t="shared" si="7"/>
        <v>9791858.5888888892</v>
      </c>
      <c r="S10" s="16">
        <f t="shared" si="7"/>
        <v>9791858.5888888892</v>
      </c>
      <c r="T10" s="16">
        <f t="shared" si="7"/>
        <v>9791858.5888888892</v>
      </c>
      <c r="U10" s="16">
        <f t="shared" si="2"/>
        <v>117502303.06666665</v>
      </c>
      <c r="V10" s="16">
        <f t="shared" si="3"/>
        <v>435737701.06666666</v>
      </c>
      <c r="W10" s="16">
        <f t="shared" si="4"/>
        <v>1326796844.9333334</v>
      </c>
    </row>
    <row r="11" spans="1:23" s="5" customFormat="1" ht="15" x14ac:dyDescent="0.25">
      <c r="A11" s="26" t="s">
        <v>0</v>
      </c>
      <c r="B11" s="27"/>
      <c r="C11" s="17"/>
      <c r="D11" s="17"/>
      <c r="E11" s="18"/>
      <c r="F11" s="19">
        <f>F6</f>
        <v>6421699183</v>
      </c>
      <c r="G11" s="19">
        <f t="shared" ref="G11:W11" si="8">G6</f>
        <v>2708459884</v>
      </c>
      <c r="H11" s="19">
        <f t="shared" si="8"/>
        <v>3713239299</v>
      </c>
      <c r="I11" s="19">
        <f t="shared" si="8"/>
        <v>35676106.572222225</v>
      </c>
      <c r="J11" s="19">
        <f t="shared" si="8"/>
        <v>35676106.572222225</v>
      </c>
      <c r="K11" s="19">
        <f t="shared" si="8"/>
        <v>35676106.572222225</v>
      </c>
      <c r="L11" s="19">
        <f t="shared" si="8"/>
        <v>35676106.572222225</v>
      </c>
      <c r="M11" s="19">
        <f t="shared" si="8"/>
        <v>35676106.572222225</v>
      </c>
      <c r="N11" s="19">
        <f t="shared" si="8"/>
        <v>35676106.572222225</v>
      </c>
      <c r="O11" s="19">
        <f t="shared" si="8"/>
        <v>35676106.572222225</v>
      </c>
      <c r="P11" s="19">
        <f t="shared" si="8"/>
        <v>35676106.572222225</v>
      </c>
      <c r="Q11" s="19">
        <f t="shared" si="8"/>
        <v>35676106.572222225</v>
      </c>
      <c r="R11" s="19">
        <f t="shared" si="8"/>
        <v>35676106.572222225</v>
      </c>
      <c r="S11" s="19">
        <f t="shared" si="8"/>
        <v>35676106.572222225</v>
      </c>
      <c r="T11" s="19">
        <f t="shared" si="8"/>
        <v>35676106.572222225</v>
      </c>
      <c r="U11" s="19">
        <f t="shared" si="8"/>
        <v>428113278.86666662</v>
      </c>
      <c r="V11" s="19">
        <f t="shared" si="8"/>
        <v>3136573162.8666668</v>
      </c>
      <c r="W11" s="19">
        <f t="shared" si="8"/>
        <v>3285126020.1333332</v>
      </c>
    </row>
    <row r="12" spans="1:23" ht="15" x14ac:dyDescent="0.25">
      <c r="T12" s="23"/>
      <c r="U12" s="24"/>
      <c r="V12" s="25"/>
    </row>
    <row r="13" spans="1:23" ht="15" x14ac:dyDescent="0.25">
      <c r="T13" s="23"/>
      <c r="U13" s="24"/>
      <c r="V13" s="25"/>
    </row>
    <row r="14" spans="1:23" ht="15" x14ac:dyDescent="0.25">
      <c r="T14" s="23"/>
      <c r="U14" s="24"/>
      <c r="V14" s="25"/>
    </row>
    <row r="17" spans="22:22" x14ac:dyDescent="0.2">
      <c r="V17" s="22"/>
    </row>
    <row r="18" spans="22:22" x14ac:dyDescent="0.2">
      <c r="V18" s="22"/>
    </row>
  </sheetData>
  <mergeCells count="3">
    <mergeCell ref="A6:B6"/>
    <mergeCell ref="A3:W3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THUE 2023</vt:lpstr>
      <vt:lpstr>KT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AutoBVT</cp:lastModifiedBy>
  <cp:lastPrinted>2024-03-27T08:10:20Z</cp:lastPrinted>
  <dcterms:created xsi:type="dcterms:W3CDTF">2020-06-17T07:31:06Z</dcterms:created>
  <dcterms:modified xsi:type="dcterms:W3CDTF">2024-03-27T09:05:43Z</dcterms:modified>
</cp:coreProperties>
</file>