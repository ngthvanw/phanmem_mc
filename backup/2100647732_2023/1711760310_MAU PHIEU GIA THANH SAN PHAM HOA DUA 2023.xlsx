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370" yWindow="-120" windowWidth="20730" windowHeight="11760" activeTab="1"/>
  </bookViews>
  <sheets>
    <sheet name="THONG TIN" sheetId="2" r:id="rId1"/>
    <sheet name="BÁO CÁO" sheetId="3" r:id="rId2"/>
    <sheet name="THẺ GT Q1" sheetId="1" r:id="rId3"/>
    <sheet name="THẺ GT Q2" sheetId="4" r:id="rId4"/>
    <sheet name="THẺ GT Q3" sheetId="5" r:id="rId5"/>
    <sheet name="THẺ GT Q4" sheetId="6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6" l="1"/>
  <c r="C19" i="5"/>
  <c r="C19" i="4"/>
  <c r="C19" i="1"/>
  <c r="C26" i="6" l="1"/>
  <c r="C26" i="5"/>
  <c r="C26" i="4"/>
  <c r="C26" i="1"/>
  <c r="G24" i="3" l="1"/>
  <c r="C27" i="6" l="1"/>
  <c r="C27" i="5"/>
  <c r="C27" i="4"/>
  <c r="C27" i="1"/>
  <c r="E17" i="6" l="1"/>
  <c r="E18" i="6"/>
  <c r="E19" i="6"/>
  <c r="E20" i="6"/>
  <c r="E21" i="6"/>
  <c r="E22" i="6"/>
  <c r="E23" i="6"/>
  <c r="E24" i="6"/>
  <c r="E25" i="6"/>
  <c r="E26" i="6"/>
  <c r="E27" i="6"/>
  <c r="E16" i="6"/>
  <c r="E17" i="5"/>
  <c r="E18" i="5"/>
  <c r="E19" i="5"/>
  <c r="E20" i="5"/>
  <c r="E21" i="5"/>
  <c r="E22" i="5"/>
  <c r="E23" i="5"/>
  <c r="E24" i="5"/>
  <c r="E25" i="5"/>
  <c r="E26" i="5"/>
  <c r="E27" i="5"/>
  <c r="E16" i="5"/>
  <c r="E17" i="4"/>
  <c r="E18" i="4"/>
  <c r="E19" i="4"/>
  <c r="E20" i="4"/>
  <c r="E21" i="4"/>
  <c r="E22" i="4"/>
  <c r="E23" i="4"/>
  <c r="E24" i="4"/>
  <c r="E25" i="4"/>
  <c r="E26" i="4"/>
  <c r="E27" i="4"/>
  <c r="E16" i="4"/>
  <c r="E17" i="1"/>
  <c r="E18" i="1"/>
  <c r="E19" i="1"/>
  <c r="E20" i="1"/>
  <c r="E21" i="1"/>
  <c r="E22" i="1"/>
  <c r="E23" i="1"/>
  <c r="E24" i="1"/>
  <c r="E25" i="1"/>
  <c r="E26" i="1"/>
  <c r="E27" i="1"/>
  <c r="E16" i="1"/>
  <c r="E28" i="6" l="1"/>
  <c r="E28" i="5"/>
  <c r="E28" i="4"/>
  <c r="E28" i="1"/>
  <c r="G28" i="6" l="1"/>
  <c r="L8" i="3"/>
  <c r="L7" i="3"/>
  <c r="K8" i="3"/>
  <c r="K7" i="3"/>
  <c r="J8" i="3"/>
  <c r="J7" i="3"/>
  <c r="A2" i="6" l="1"/>
  <c r="A1" i="6"/>
  <c r="A2" i="5"/>
  <c r="A1" i="5"/>
  <c r="A2" i="4"/>
  <c r="A1" i="4"/>
  <c r="A2" i="1" l="1"/>
  <c r="A1" i="1"/>
  <c r="C23" i="3"/>
  <c r="E10" i="6" s="1"/>
  <c r="F28" i="6" s="1"/>
  <c r="G23" i="3" s="1"/>
  <c r="C19" i="3"/>
  <c r="E10" i="5" s="1"/>
  <c r="F28" i="5" s="1"/>
  <c r="G19" i="3" s="1"/>
  <c r="C15" i="3"/>
  <c r="E10" i="4" s="1"/>
  <c r="F28" i="4" s="1"/>
  <c r="G15" i="3" s="1"/>
  <c r="C11" i="3"/>
  <c r="E10" i="1" s="1"/>
  <c r="C2" i="3"/>
  <c r="C1" i="3"/>
  <c r="G25" i="3" l="1"/>
  <c r="G26" i="3" s="1"/>
  <c r="H22" i="3"/>
  <c r="H21" i="3"/>
  <c r="H20" i="3"/>
  <c r="H18" i="3"/>
  <c r="H17" i="3"/>
  <c r="H16" i="3"/>
  <c r="H14" i="3"/>
  <c r="H13" i="3"/>
  <c r="H12" i="3"/>
  <c r="F28" i="1"/>
  <c r="G11" i="3" s="1"/>
  <c r="C24" i="3"/>
  <c r="C26" i="3" s="1"/>
  <c r="H8" i="3" l="1"/>
  <c r="H10" i="3"/>
  <c r="H9" i="3"/>
  <c r="H23" i="3" l="1"/>
</calcChain>
</file>

<file path=xl/sharedStrings.xml><?xml version="1.0" encoding="utf-8"?>
<sst xmlns="http://schemas.openxmlformats.org/spreadsheetml/2006/main" count="170" uniqueCount="75">
  <si>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</si>
  <si>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</si>
  <si>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</si>
  <si>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</si>
  <si>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</si>
  <si>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</si>
  <si>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</si>
  <si>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</si>
  <si>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</si>
  <si>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</si>
  <si>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</si>
  <si>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</si>
  <si>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</si>
  <si>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</si>
  <si>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</si>
  <si>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</si>
  <si>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</si>
  <si>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</si>
  <si>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</si>
  <si>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</si>
  <si>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</si>
  <si>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</si>
  <si>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 :</t>
  </si>
  <si>
    <t>Mã số thuế :</t>
  </si>
  <si>
    <t>Trụ sở chính: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</si>
  <si>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</si>
  <si>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</si>
  <si>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</si>
  <si>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</si>
  <si>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</si>
  <si>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</si>
  <si>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</si>
  <si>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</si>
  <si>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</si>
  <si>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</si>
  <si>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</si>
  <si>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</si>
  <si>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</si>
  <si>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Quý I</t>
  </si>
  <si>
    <t>Quý II</t>
  </si>
  <si>
    <t>Quý III</t>
  </si>
  <si>
    <t>Quý IV</t>
  </si>
  <si>
    <t>Hướng dẫn</t>
  </si>
  <si>
    <t xml:space="preserve">Năm </t>
  </si>
  <si>
    <t>133/2016/TT-BTC ngày 14/06/2016</t>
  </si>
  <si>
    <t xml:space="preserve">Phương pháp tính giá thành : Giá thành thực tế </t>
  </si>
  <si>
    <t xml:space="preserve">Số lượng sản phẩm , dịch vụ hoàn thành trong kỳ : </t>
  </si>
  <si>
    <t>Công ty TNHH Trà Vinh Farm</t>
  </si>
  <si>
    <t xml:space="preserve">Tên sản phẩm , dịch vụ : Mật hoa dừa </t>
  </si>
  <si>
    <t>2 1 0 0 6 4 7 7 3 2</t>
  </si>
  <si>
    <t>Ấp Cây Hẹ, xã Phú Cần, huyện Tiểu Cần , tỉnh Trà Vinh</t>
  </si>
  <si>
    <t>BẢNG BÁO CÁO SẢN LƯỢNG THU HOẠCH MẬT HOA DỪA</t>
  </si>
  <si>
    <t>Diện tích</t>
  </si>
  <si>
    <t>….. Ha</t>
  </si>
  <si>
    <t>Vườn dừa 1</t>
  </si>
  <si>
    <t>Vườn dừa 2</t>
  </si>
  <si>
    <t xml:space="preserve">    Phân bón</t>
  </si>
  <si>
    <t xml:space="preserve">    Khấu hao</t>
  </si>
  <si>
    <t xml:space="preserve">    Thuê vườn</t>
  </si>
  <si>
    <t>0,5 kg mật</t>
  </si>
  <si>
    <t>0,18 kg muối</t>
  </si>
  <si>
    <t>60ml</t>
  </si>
  <si>
    <t>200ml</t>
  </si>
  <si>
    <t>nước tương</t>
  </si>
  <si>
    <t>1lit</t>
  </si>
  <si>
    <t>BHXH</t>
  </si>
  <si>
    <t>Quý 1 năm 2022</t>
  </si>
  <si>
    <t>Quý 2 năm 2022</t>
  </si>
  <si>
    <t>Quý 3 năm 2022</t>
  </si>
  <si>
    <t>Quý 4 năm 2022</t>
  </si>
  <si>
    <t>100L</t>
  </si>
  <si>
    <t>50kg mật</t>
  </si>
  <si>
    <t>18kg muối</t>
  </si>
  <si>
    <t>giá thành</t>
  </si>
  <si>
    <t>Thu mật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</si>
</sst>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0.0000000"/>
    <numFmt numFmtId="167" formatCode="_-* #,##0\ _₫_-;\-* #,##0\ _₫_-;_-* &quot;-&quot;??\ _₫_-;_-@_-"/>
  </numFmts>
  <fonts count="12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sz val="8"/>
      <name val="Times New Roman"/>
      <family val="2"/>
      <charset val="163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165" fontId="2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3" borderId="1" xfId="0" applyFill="1" applyBorder="1" applyAlignment="1">
      <alignment horizontal="center" vertical="center"/>
    </xf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3" fontId="9" fillId="2" borderId="1" xfId="0" applyNumberFormat="1" applyFont="1" applyFill="1" applyBorder="1"/>
    <xf numFmtId="0" fontId="10" fillId="0" borderId="0" xfId="0" applyFont="1"/>
    <xf numFmtId="0" fontId="10" fillId="0" borderId="0" xfId="0" applyFont="1" applyFill="1" applyBorder="1"/>
    <xf numFmtId="0" fontId="9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2" fillId="0" borderId="0" xfId="1" applyFont="1"/>
    <xf numFmtId="164" fontId="2" fillId="0" borderId="0" xfId="0" applyNumberFormat="1" applyFont="1"/>
    <xf numFmtId="43" fontId="2" fillId="0" borderId="1" xfId="1" applyNumberFormat="1" applyFont="1" applyBorder="1" applyAlignment="1">
      <alignment vertical="center"/>
    </xf>
    <xf numFmtId="0" fontId="9" fillId="0" borderId="0" xfId="0" applyFont="1" applyAlignment="1">
      <alignment horizontal="center"/>
    </xf>
    <xf numFmtId="166" fontId="0" fillId="0" borderId="0" xfId="0" applyNumberFormat="1"/>
    <xf numFmtId="165" fontId="11" fillId="0" borderId="8" xfId="1" applyNumberFormat="1" applyFont="1" applyBorder="1"/>
    <xf numFmtId="165" fontId="11" fillId="0" borderId="5" xfId="1" applyNumberFormat="1" applyFont="1" applyBorder="1"/>
    <xf numFmtId="0" fontId="2" fillId="0" borderId="10" xfId="0" applyFont="1" applyBorder="1" applyAlignment="1">
      <alignment horizontal="center"/>
    </xf>
    <xf numFmtId="3" fontId="6" fillId="0" borderId="0" xfId="0" applyNumberFormat="1" applyFont="1"/>
    <xf numFmtId="165" fontId="11" fillId="0" borderId="10" xfId="1" applyNumberFormat="1" applyFont="1" applyBorder="1"/>
    <xf numFmtId="165" fontId="11" fillId="0" borderId="0" xfId="1" applyNumberFormat="1" applyFont="1" applyBorder="1"/>
    <xf numFmtId="165" fontId="11" fillId="0" borderId="3" xfId="1" applyNumberFormat="1" applyFont="1" applyBorder="1"/>
    <xf numFmtId="3" fontId="0" fillId="0" borderId="0" xfId="0" applyNumberFormat="1"/>
    <xf numFmtId="0" fontId="0" fillId="3" borderId="0" xfId="0" applyFill="1" applyBorder="1" applyAlignment="1">
      <alignment horizontal="center" vertical="center"/>
    </xf>
    <xf numFmtId="3" fontId="0" fillId="0" borderId="0" xfId="0" applyNumberFormat="1" applyBorder="1"/>
    <xf numFmtId="3" fontId="9" fillId="2" borderId="0" xfId="0" applyNumberFormat="1" applyFont="1" applyFill="1" applyBorder="1"/>
    <xf numFmtId="165" fontId="2" fillId="0" borderId="0" xfId="0" applyNumberFormat="1" applyFont="1"/>
    <xf numFmtId="167" fontId="0" fillId="0" borderId="0" xfId="1" applyNumberFormat="1" applyFont="1"/>
    <xf numFmtId="3" fontId="10" fillId="0" borderId="0" xfId="0" applyNumberFormat="1" applyFont="1"/>
    <xf numFmtId="0" fontId="9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9" fillId="2" borderId="0" xfId="1" applyFont="1" applyFill="1" applyBorder="1"/>
    <xf numFmtId="4" fontId="9" fillId="2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C5" sqref="C5"/>
    </sheetView>
  </sheetViews>
  <sheetFormatPr defaultRowHeight="15.75" x14ac:dyDescent="0.25"/>
  <sheetData>
    <row r="3" spans="1:3" x14ac:dyDescent="0.25">
      <c r="A3" t="s">
        <v>21</v>
      </c>
      <c r="C3" t="s">
        <v>47</v>
      </c>
    </row>
    <row r="4" spans="1:3" x14ac:dyDescent="0.25">
      <c r="A4" t="s">
        <v>22</v>
      </c>
      <c r="C4" t="s">
        <v>50</v>
      </c>
    </row>
    <row r="5" spans="1:3" x14ac:dyDescent="0.25">
      <c r="A5" t="s">
        <v>23</v>
      </c>
      <c r="C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topLeftCell="A11" workbookViewId="0">
      <selection activeCell="E14" sqref="E14"/>
    </sheetView>
  </sheetViews>
  <sheetFormatPr defaultRowHeight="15.75" x14ac:dyDescent="0.25"/>
  <cols>
    <col min="1" max="1" width="12" customWidth="1"/>
    <col min="2" max="2" width="2.625" customWidth="1"/>
    <col min="3" max="8" width="15.625" customWidth="1"/>
    <col min="11" max="11" width="9.375" bestFit="1" customWidth="1"/>
    <col min="12" max="12" width="9.875" bestFit="1" customWidth="1"/>
  </cols>
  <sheetData>
    <row r="1" spans="1:12" ht="21.95" customHeight="1" x14ac:dyDescent="0.25">
      <c r="A1" t="s">
        <v>21</v>
      </c>
      <c r="C1" t="str">
        <f>'THONG TIN'!C3</f>
        <v>Công ty TNHH Trà Vinh Farm</v>
      </c>
    </row>
    <row r="2" spans="1:12" ht="21.95" customHeight="1" x14ac:dyDescent="0.25">
      <c r="A2" t="s">
        <v>24</v>
      </c>
      <c r="C2" t="str">
        <f>'THONG TIN'!C4</f>
        <v>Ấp Cây Hẹ, xã Phú Cần, huyện Tiểu Cần , tỉnh Trà Vinh</v>
      </c>
    </row>
    <row r="3" spans="1:12" ht="21.95" customHeight="1" x14ac:dyDescent="0.25">
      <c r="A3" s="72" t="s">
        <v>51</v>
      </c>
      <c r="B3" s="72"/>
      <c r="C3" s="72"/>
      <c r="D3" s="72"/>
      <c r="E3" s="72"/>
      <c r="F3" s="72"/>
      <c r="G3" s="54"/>
      <c r="H3" s="70"/>
    </row>
    <row r="4" spans="1:12" ht="21.95" customHeight="1" x14ac:dyDescent="0.25"/>
    <row r="5" spans="1:12" ht="21.95" customHeight="1" x14ac:dyDescent="0.25">
      <c r="B5" t="s">
        <v>52</v>
      </c>
      <c r="D5" s="32" t="s">
        <v>53</v>
      </c>
      <c r="E5" s="27" t="s">
        <v>43</v>
      </c>
      <c r="F5" s="48">
        <v>2022</v>
      </c>
      <c r="G5" s="48"/>
      <c r="H5" s="48"/>
      <c r="J5" t="s">
        <v>70</v>
      </c>
      <c r="K5" t="s">
        <v>71</v>
      </c>
      <c r="L5" t="s">
        <v>72</v>
      </c>
    </row>
    <row r="6" spans="1:12" ht="21.95" customHeight="1" x14ac:dyDescent="0.25">
      <c r="I6" t="s">
        <v>63</v>
      </c>
      <c r="J6" t="s">
        <v>64</v>
      </c>
      <c r="K6" t="s">
        <v>59</v>
      </c>
      <c r="L6" t="s">
        <v>60</v>
      </c>
    </row>
    <row r="7" spans="1:12" ht="21.95" customHeight="1" x14ac:dyDescent="0.25">
      <c r="A7" s="71" t="s">
        <v>25</v>
      </c>
      <c r="B7" s="71"/>
      <c r="C7" s="37" t="s">
        <v>54</v>
      </c>
      <c r="D7" s="49" t="s">
        <v>55</v>
      </c>
      <c r="E7" s="37"/>
      <c r="F7" s="37"/>
      <c r="G7" s="64" t="s">
        <v>73</v>
      </c>
      <c r="H7" s="64"/>
      <c r="I7" t="s">
        <v>61</v>
      </c>
      <c r="J7">
        <f>60/1000</f>
        <v>0.06</v>
      </c>
      <c r="K7" s="55">
        <f>0.5*J7/1</f>
        <v>0.03</v>
      </c>
      <c r="L7">
        <f>0.18*J7/1</f>
        <v>1.0799999999999999E-2</v>
      </c>
    </row>
    <row r="8" spans="1:12" ht="21.95" customHeight="1" x14ac:dyDescent="0.25">
      <c r="A8" s="28" t="s">
        <v>26</v>
      </c>
      <c r="B8" s="29"/>
      <c r="C8" s="38">
        <v>4072</v>
      </c>
      <c r="D8" s="38"/>
      <c r="E8" s="38"/>
      <c r="F8" s="38"/>
      <c r="G8" s="65"/>
      <c r="H8" s="65">
        <f>+C8*G11</f>
        <v>25589049.525455959</v>
      </c>
      <c r="I8" t="s">
        <v>62</v>
      </c>
      <c r="J8">
        <f>200/1000</f>
        <v>0.2</v>
      </c>
      <c r="K8">
        <f>0.5*J8/1</f>
        <v>0.1</v>
      </c>
      <c r="L8">
        <f>0.18*J8/1</f>
        <v>3.5999999999999997E-2</v>
      </c>
    </row>
    <row r="9" spans="1:12" ht="21.95" customHeight="1" x14ac:dyDescent="0.25">
      <c r="A9" s="30" t="s">
        <v>27</v>
      </c>
      <c r="B9" s="31"/>
      <c r="C9" s="39">
        <v>3583</v>
      </c>
      <c r="D9" s="39"/>
      <c r="E9" s="39"/>
      <c r="F9" s="39"/>
      <c r="G9" s="65"/>
      <c r="H9" s="65">
        <f>+C9*G11</f>
        <v>22516101.289221194</v>
      </c>
    </row>
    <row r="10" spans="1:12" ht="21.95" customHeight="1" x14ac:dyDescent="0.25">
      <c r="A10" s="33" t="s">
        <v>28</v>
      </c>
      <c r="B10" s="34"/>
      <c r="C10" s="40">
        <v>3914</v>
      </c>
      <c r="D10" s="40"/>
      <c r="E10" s="40"/>
      <c r="F10" s="40"/>
      <c r="G10" s="65"/>
      <c r="H10" s="65">
        <f>+C10*G11</f>
        <v>24596154.185322843</v>
      </c>
    </row>
    <row r="11" spans="1:12" ht="21.95" customHeight="1" x14ac:dyDescent="0.25">
      <c r="A11" s="43" t="s">
        <v>38</v>
      </c>
      <c r="B11" s="44"/>
      <c r="C11" s="45">
        <f>SUM(C8:C10)</f>
        <v>11569</v>
      </c>
      <c r="D11" s="45"/>
      <c r="E11" s="45"/>
      <c r="F11" s="45"/>
      <c r="G11" s="81">
        <f>+'THẺ GT Q1'!F28</f>
        <v>6284.1477223614829</v>
      </c>
      <c r="H11" s="66"/>
    </row>
    <row r="12" spans="1:12" ht="21.95" customHeight="1" x14ac:dyDescent="0.25">
      <c r="A12" s="35" t="s">
        <v>29</v>
      </c>
      <c r="B12" s="36"/>
      <c r="C12" s="41">
        <v>4979</v>
      </c>
      <c r="D12" s="41"/>
      <c r="E12" s="41"/>
      <c r="F12" s="41"/>
      <c r="G12" s="65"/>
      <c r="H12" s="65">
        <f>+C12*G15</f>
        <v>38454479.432409011</v>
      </c>
    </row>
    <row r="13" spans="1:12" ht="21.95" customHeight="1" x14ac:dyDescent="0.25">
      <c r="A13" s="30" t="s">
        <v>30</v>
      </c>
      <c r="B13" s="31"/>
      <c r="C13" s="39">
        <v>5011</v>
      </c>
      <c r="D13" s="39"/>
      <c r="E13" s="39"/>
      <c r="F13" s="39"/>
      <c r="G13" s="65"/>
      <c r="H13" s="65">
        <f>+C13*G15</f>
        <v>38701626.116851084</v>
      </c>
    </row>
    <row r="14" spans="1:12" ht="21.95" customHeight="1" x14ac:dyDescent="0.25">
      <c r="A14" s="33" t="s">
        <v>31</v>
      </c>
      <c r="B14" s="34"/>
      <c r="C14" s="40">
        <v>5012</v>
      </c>
      <c r="D14" s="40"/>
      <c r="E14" s="40"/>
      <c r="F14" s="40"/>
      <c r="G14" s="65"/>
      <c r="H14" s="65">
        <f>+C14*G15</f>
        <v>38709349.450739898</v>
      </c>
    </row>
    <row r="15" spans="1:12" ht="21.95" customHeight="1" x14ac:dyDescent="0.25">
      <c r="A15" s="43" t="s">
        <v>39</v>
      </c>
      <c r="B15" s="44"/>
      <c r="C15" s="45">
        <f>SUM(C12:C14)</f>
        <v>15002</v>
      </c>
      <c r="D15" s="45"/>
      <c r="E15" s="45"/>
      <c r="F15" s="45"/>
      <c r="G15" s="81">
        <f>+'THẺ GT Q2'!F28</f>
        <v>7723.3338888148246</v>
      </c>
      <c r="H15" s="66"/>
    </row>
    <row r="16" spans="1:12" ht="21.95" customHeight="1" x14ac:dyDescent="0.25">
      <c r="A16" s="35" t="s">
        <v>32</v>
      </c>
      <c r="B16" s="36"/>
      <c r="C16" s="41">
        <v>5065</v>
      </c>
      <c r="D16" s="41"/>
      <c r="E16" s="41"/>
      <c r="F16" s="41"/>
      <c r="G16" s="65"/>
      <c r="H16" s="65">
        <f>+C16*G19</f>
        <v>31873888.513504907</v>
      </c>
    </row>
    <row r="17" spans="1:8" ht="21.95" customHeight="1" x14ac:dyDescent="0.25">
      <c r="A17" s="30" t="s">
        <v>33</v>
      </c>
      <c r="B17" s="31"/>
      <c r="C17" s="39">
        <v>5079</v>
      </c>
      <c r="D17" s="39"/>
      <c r="E17" s="39"/>
      <c r="F17" s="39"/>
      <c r="G17" s="65"/>
      <c r="H17" s="65">
        <f>+C17*G19</f>
        <v>31961990.080965728</v>
      </c>
    </row>
    <row r="18" spans="1:8" ht="21.95" customHeight="1" x14ac:dyDescent="0.25">
      <c r="A18" s="33" t="s">
        <v>34</v>
      </c>
      <c r="B18" s="34"/>
      <c r="C18" s="40">
        <v>5554</v>
      </c>
      <c r="D18" s="40"/>
      <c r="E18" s="40"/>
      <c r="F18" s="40"/>
      <c r="G18" s="65"/>
      <c r="H18" s="65">
        <f>+C18*G19</f>
        <v>34951150.405529365</v>
      </c>
    </row>
    <row r="19" spans="1:8" ht="21.95" customHeight="1" x14ac:dyDescent="0.25">
      <c r="A19" s="43" t="s">
        <v>40</v>
      </c>
      <c r="B19" s="44"/>
      <c r="C19" s="45">
        <f>SUM(C16:C18)</f>
        <v>15698</v>
      </c>
      <c r="D19" s="45"/>
      <c r="E19" s="45"/>
      <c r="F19" s="45"/>
      <c r="G19" s="82">
        <f>+'THẺ GT Q3'!F28</f>
        <v>6292.9691043445027</v>
      </c>
      <c r="H19" s="66"/>
    </row>
    <row r="20" spans="1:8" ht="21.95" customHeight="1" x14ac:dyDescent="0.25">
      <c r="A20" s="35" t="s">
        <v>35</v>
      </c>
      <c r="B20" s="36"/>
      <c r="C20" s="41">
        <v>5012</v>
      </c>
      <c r="D20" s="41"/>
      <c r="E20" s="41"/>
      <c r="F20" s="41"/>
      <c r="G20" s="65"/>
      <c r="H20" s="65">
        <f>+C20*G23</f>
        <v>33719728.024104364</v>
      </c>
    </row>
    <row r="21" spans="1:8" ht="21.95" customHeight="1" x14ac:dyDescent="0.25">
      <c r="A21" s="30" t="s">
        <v>36</v>
      </c>
      <c r="B21" s="31"/>
      <c r="C21" s="39">
        <v>5064</v>
      </c>
      <c r="D21" s="39"/>
      <c r="E21" s="39"/>
      <c r="F21" s="39"/>
      <c r="G21" s="65"/>
      <c r="H21" s="65">
        <f>+C21*G23</f>
        <v>34069573.566253886</v>
      </c>
    </row>
    <row r="22" spans="1:8" ht="21.95" customHeight="1" x14ac:dyDescent="0.25">
      <c r="A22" s="33" t="s">
        <v>37</v>
      </c>
      <c r="B22" s="34"/>
      <c r="C22" s="40">
        <v>5025</v>
      </c>
      <c r="D22" s="40"/>
      <c r="E22" s="40"/>
      <c r="F22" s="40"/>
      <c r="G22" s="65"/>
      <c r="H22" s="65">
        <f>+C22*G23</f>
        <v>33807189.409641743</v>
      </c>
    </row>
    <row r="23" spans="1:8" ht="21.95" customHeight="1" x14ac:dyDescent="0.25">
      <c r="A23" s="43" t="s">
        <v>41</v>
      </c>
      <c r="B23" s="44"/>
      <c r="C23" s="45">
        <f>SUM(C20:C22)</f>
        <v>15101</v>
      </c>
      <c r="D23" s="45"/>
      <c r="E23" s="45"/>
      <c r="F23" s="45"/>
      <c r="G23" s="82">
        <f>+'THẺ GT Q4'!F28</f>
        <v>6727.7988874908942</v>
      </c>
      <c r="H23" s="66">
        <f>SUM(H8:H22)</f>
        <v>388950280</v>
      </c>
    </row>
    <row r="24" spans="1:8" ht="21.95" customHeight="1" x14ac:dyDescent="0.25">
      <c r="C24" s="63">
        <f>+C11+C15+C19+C23</f>
        <v>57370</v>
      </c>
      <c r="G24">
        <f>7103</f>
        <v>7103</v>
      </c>
    </row>
    <row r="25" spans="1:8" ht="21.95" customHeight="1" x14ac:dyDescent="0.25">
      <c r="A25" s="42" t="s">
        <v>42</v>
      </c>
      <c r="C25" s="46">
        <v>48170</v>
      </c>
      <c r="G25" s="63">
        <f>G23-G24</f>
        <v>-375.20111250910577</v>
      </c>
      <c r="H25" s="63"/>
    </row>
    <row r="26" spans="1:8" ht="21.95" customHeight="1" x14ac:dyDescent="0.25">
      <c r="C26" s="69">
        <f>+C24-C25</f>
        <v>9200</v>
      </c>
      <c r="G26" s="68">
        <f>G25*5000</f>
        <v>-1876005.5625455289</v>
      </c>
      <c r="H26" s="68"/>
    </row>
    <row r="27" spans="1:8" ht="21.95" customHeight="1" x14ac:dyDescent="0.25">
      <c r="C27" s="46"/>
    </row>
    <row r="28" spans="1:8" ht="21.95" customHeight="1" x14ac:dyDescent="0.25">
      <c r="C28" s="47"/>
    </row>
  </sheetData>
  <mergeCells count="2">
    <mergeCell ref="A7:B7"/>
    <mergeCell ref="A3:F3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16" workbookViewId="0">
      <selection activeCell="C25" sqref="C25"/>
    </sheetView>
  </sheetViews>
  <sheetFormatPr defaultRowHeight="15.75" x14ac:dyDescent="0.25"/>
  <cols>
    <col min="1" max="4" width="13.75" style="1" customWidth="1"/>
    <col min="5" max="6" width="15.5" style="1" customWidth="1"/>
    <col min="7" max="7" width="16.5" style="1" bestFit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Trà Vinh Farm</v>
      </c>
      <c r="E1" s="78" t="s">
        <v>1</v>
      </c>
      <c r="F1" s="78"/>
    </row>
    <row r="2" spans="1:6" ht="14.25" customHeight="1" x14ac:dyDescent="0.25">
      <c r="A2" s="1" t="str">
        <f>'THONG TIN'!C4</f>
        <v>Ấp Cây Hẹ, xã Phú Cần, huyện Tiểu Cần , tỉnh Trà Vinh</v>
      </c>
      <c r="E2" s="79" t="s">
        <v>2</v>
      </c>
      <c r="F2" s="79"/>
    </row>
    <row r="3" spans="1:6" ht="15.75" customHeight="1" x14ac:dyDescent="0.25">
      <c r="E3" s="79" t="s">
        <v>44</v>
      </c>
      <c r="F3" s="79"/>
    </row>
    <row r="4" spans="1:6" x14ac:dyDescent="0.25">
      <c r="E4" s="79" t="s">
        <v>3</v>
      </c>
      <c r="F4" s="79"/>
    </row>
    <row r="5" spans="1:6" x14ac:dyDescent="0.25">
      <c r="E5" s="2"/>
      <c r="F5" s="2"/>
    </row>
    <row r="6" spans="1:6" ht="18" x14ac:dyDescent="0.25">
      <c r="A6" s="80" t="s">
        <v>4</v>
      </c>
      <c r="B6" s="80"/>
      <c r="C6" s="80"/>
      <c r="D6" s="80"/>
      <c r="E6" s="80"/>
      <c r="F6" s="80"/>
    </row>
    <row r="7" spans="1:6" x14ac:dyDescent="0.25">
      <c r="A7" s="77" t="s">
        <v>66</v>
      </c>
      <c r="B7" s="77"/>
      <c r="C7" s="77"/>
      <c r="D7" s="77"/>
      <c r="E7" s="77"/>
      <c r="F7" s="77"/>
    </row>
    <row r="9" spans="1:6" x14ac:dyDescent="0.25">
      <c r="B9" s="3" t="s">
        <v>48</v>
      </c>
      <c r="C9" s="4"/>
      <c r="D9" s="4"/>
      <c r="E9" s="4"/>
      <c r="F9" s="4"/>
    </row>
    <row r="10" spans="1:6" x14ac:dyDescent="0.25">
      <c r="B10" s="3" t="s">
        <v>46</v>
      </c>
      <c r="C10" s="4"/>
      <c r="D10" s="4"/>
      <c r="E10" s="59">
        <f>+'BÁO CÁO'!C11</f>
        <v>11569</v>
      </c>
      <c r="F10" s="4"/>
    </row>
    <row r="11" spans="1:6" x14ac:dyDescent="0.25">
      <c r="B11" s="3" t="s">
        <v>45</v>
      </c>
      <c r="C11" s="4"/>
      <c r="D11" s="4"/>
      <c r="E11" s="4"/>
      <c r="F11" s="4"/>
    </row>
    <row r="13" spans="1:6" ht="30.75" customHeight="1" x14ac:dyDescent="0.25">
      <c r="A13" s="73" t="s">
        <v>5</v>
      </c>
      <c r="B13" s="73" t="s">
        <v>6</v>
      </c>
      <c r="C13" s="73" t="s">
        <v>7</v>
      </c>
      <c r="D13" s="73" t="s">
        <v>8</v>
      </c>
      <c r="E13" s="75" t="s">
        <v>9</v>
      </c>
      <c r="F13" s="76"/>
    </row>
    <row r="14" spans="1:6" ht="21.75" customHeight="1" x14ac:dyDescent="0.25">
      <c r="A14" s="74"/>
      <c r="B14" s="74"/>
      <c r="C14" s="74"/>
      <c r="D14" s="74"/>
      <c r="E14" s="5" t="s">
        <v>10</v>
      </c>
      <c r="F14" s="5" t="s">
        <v>11</v>
      </c>
    </row>
    <row r="15" spans="1:6" ht="21" customHeight="1" x14ac:dyDescent="0.25">
      <c r="A15" s="6" t="s">
        <v>12</v>
      </c>
      <c r="B15" s="19"/>
      <c r="C15" s="7"/>
      <c r="D15" s="7"/>
      <c r="E15" s="7"/>
      <c r="F15" s="9"/>
    </row>
    <row r="16" spans="1:6" ht="21" customHeight="1" x14ac:dyDescent="0.25">
      <c r="A16" s="18" t="s">
        <v>56</v>
      </c>
      <c r="B16" s="19"/>
      <c r="C16" s="56">
        <v>16450000</v>
      </c>
      <c r="D16" s="19"/>
      <c r="E16" s="19">
        <f>+B16+C16-D16</f>
        <v>16450000</v>
      </c>
      <c r="F16" s="19"/>
    </row>
    <row r="17" spans="1:7" ht="11.25" customHeight="1" x14ac:dyDescent="0.25">
      <c r="A17" s="18"/>
      <c r="B17" s="19"/>
      <c r="C17" s="19"/>
      <c r="D17" s="19"/>
      <c r="E17" s="19">
        <f t="shared" ref="E17:E27" si="0">+B17+C17-D17</f>
        <v>0</v>
      </c>
      <c r="F17" s="19"/>
    </row>
    <row r="18" spans="1:7" ht="21" customHeight="1" x14ac:dyDescent="0.25">
      <c r="A18" s="8" t="s">
        <v>13</v>
      </c>
      <c r="B18" s="9"/>
      <c r="C18" s="9"/>
      <c r="D18" s="9"/>
      <c r="E18" s="19">
        <f t="shared" si="0"/>
        <v>0</v>
      </c>
      <c r="F18" s="9"/>
    </row>
    <row r="19" spans="1:7" ht="21" customHeight="1" x14ac:dyDescent="0.25">
      <c r="A19" s="8" t="s">
        <v>74</v>
      </c>
      <c r="B19" s="9"/>
      <c r="C19" s="57">
        <f>15002979+12636200+16022527+(1103550*3)</f>
        <v>46972356</v>
      </c>
      <c r="D19" s="9"/>
      <c r="E19" s="19">
        <f t="shared" si="0"/>
        <v>46972356</v>
      </c>
      <c r="F19" s="9"/>
    </row>
    <row r="20" spans="1:7" ht="10.5" customHeight="1" x14ac:dyDescent="0.25">
      <c r="A20" s="8"/>
      <c r="B20" s="9"/>
      <c r="C20" s="9"/>
      <c r="D20" s="9"/>
      <c r="E20" s="19">
        <f t="shared" si="0"/>
        <v>0</v>
      </c>
      <c r="F20" s="9"/>
    </row>
    <row r="21" spans="1:7" ht="21" customHeight="1" x14ac:dyDescent="0.25">
      <c r="A21" s="8" t="s">
        <v>14</v>
      </c>
      <c r="B21" s="9"/>
      <c r="C21" s="9"/>
      <c r="D21" s="9"/>
      <c r="E21" s="19">
        <f t="shared" si="0"/>
        <v>0</v>
      </c>
      <c r="F21" s="10"/>
    </row>
    <row r="22" spans="1:7" ht="12.75" customHeight="1" x14ac:dyDescent="0.25">
      <c r="A22" s="20"/>
      <c r="B22" s="21"/>
      <c r="C22" s="21"/>
      <c r="D22" s="21"/>
      <c r="E22" s="19">
        <f t="shared" si="0"/>
        <v>0</v>
      </c>
      <c r="F22" s="22"/>
    </row>
    <row r="23" spans="1:7" ht="12.75" customHeight="1" x14ac:dyDescent="0.25">
      <c r="A23" s="20"/>
      <c r="B23" s="21"/>
      <c r="C23" s="21"/>
      <c r="D23" s="21"/>
      <c r="E23" s="19">
        <f t="shared" si="0"/>
        <v>0</v>
      </c>
      <c r="F23" s="22"/>
      <c r="G23" s="51"/>
    </row>
    <row r="24" spans="1:7" ht="21" customHeight="1" x14ac:dyDescent="0.25">
      <c r="A24" s="8" t="s">
        <v>0</v>
      </c>
      <c r="B24" s="9"/>
      <c r="C24" s="9"/>
      <c r="D24" s="9"/>
      <c r="E24" s="19">
        <f t="shared" si="0"/>
        <v>0</v>
      </c>
      <c r="F24" s="9"/>
      <c r="G24" s="51"/>
    </row>
    <row r="25" spans="1:7" ht="21" customHeight="1" x14ac:dyDescent="0.25">
      <c r="A25" s="25" t="s">
        <v>58</v>
      </c>
      <c r="B25" s="26"/>
      <c r="C25" s="60">
        <v>0</v>
      </c>
      <c r="D25" s="26"/>
      <c r="E25" s="19">
        <f t="shared" si="0"/>
        <v>0</v>
      </c>
      <c r="F25" s="26"/>
      <c r="G25" s="51"/>
    </row>
    <row r="26" spans="1:7" ht="21" customHeight="1" x14ac:dyDescent="0.25">
      <c r="A26" s="58" t="s">
        <v>65</v>
      </c>
      <c r="B26" s="26"/>
      <c r="C26" s="60">
        <f>2259650*3</f>
        <v>6778950</v>
      </c>
      <c r="D26" s="26"/>
      <c r="E26" s="19">
        <f t="shared" si="0"/>
        <v>6778950</v>
      </c>
      <c r="F26" s="26"/>
      <c r="G26" s="51"/>
    </row>
    <row r="27" spans="1:7" ht="21" customHeight="1" x14ac:dyDescent="0.25">
      <c r="A27" s="23" t="s">
        <v>57</v>
      </c>
      <c r="B27" s="24"/>
      <c r="C27" s="62">
        <f>833333*3</f>
        <v>2499999</v>
      </c>
      <c r="D27" s="24"/>
      <c r="E27" s="19">
        <f t="shared" si="0"/>
        <v>2499999</v>
      </c>
      <c r="F27" s="24"/>
      <c r="G27" s="52"/>
    </row>
    <row r="28" spans="1:7" ht="21" customHeight="1" x14ac:dyDescent="0.25">
      <c r="A28" s="5" t="s">
        <v>15</v>
      </c>
      <c r="B28" s="11"/>
      <c r="C28" s="11"/>
      <c r="D28" s="11"/>
      <c r="E28" s="12">
        <f>SUM(E16:E27)</f>
        <v>72701305</v>
      </c>
      <c r="F28" s="53">
        <f>+E28/E10</f>
        <v>6284.1477223614829</v>
      </c>
    </row>
    <row r="29" spans="1:7" ht="21" customHeight="1" x14ac:dyDescent="0.25">
      <c r="A29" s="13"/>
      <c r="B29" s="14"/>
      <c r="C29" s="15"/>
      <c r="D29" s="15"/>
      <c r="E29" s="15"/>
      <c r="F29" s="15"/>
      <c r="G29" s="67"/>
    </row>
    <row r="30" spans="1:7" ht="21" customHeight="1" x14ac:dyDescent="0.25"/>
    <row r="31" spans="1:7" ht="21" customHeight="1" x14ac:dyDescent="0.25">
      <c r="A31" s="16" t="s">
        <v>16</v>
      </c>
      <c r="B31" s="16"/>
      <c r="C31" s="16" t="s">
        <v>17</v>
      </c>
      <c r="D31" s="16"/>
      <c r="E31" s="16" t="s">
        <v>18</v>
      </c>
      <c r="F31" s="16"/>
    </row>
    <row r="32" spans="1:7" ht="21" customHeight="1" x14ac:dyDescent="0.25">
      <c r="A32" s="17" t="s">
        <v>19</v>
      </c>
      <c r="B32" s="17"/>
      <c r="C32" s="17" t="s">
        <v>19</v>
      </c>
      <c r="D32" s="17"/>
      <c r="E32" s="17" t="s">
        <v>20</v>
      </c>
      <c r="F32" s="17"/>
    </row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  <row r="45" ht="21" customHeight="1" x14ac:dyDescent="0.25"/>
    <row r="46" ht="21" customHeight="1" x14ac:dyDescent="0.25"/>
    <row r="47" ht="21" customHeight="1" x14ac:dyDescent="0.25"/>
  </sheetData>
  <mergeCells count="11">
    <mergeCell ref="A7:F7"/>
    <mergeCell ref="E1:F1"/>
    <mergeCell ref="E2:F2"/>
    <mergeCell ref="E3:F3"/>
    <mergeCell ref="E4:F4"/>
    <mergeCell ref="A6:F6"/>
    <mergeCell ref="A13:A14"/>
    <mergeCell ref="B13:B14"/>
    <mergeCell ref="C13:C14"/>
    <mergeCell ref="D13:D14"/>
    <mergeCell ref="E13:F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6" workbookViewId="0">
      <selection activeCell="C26" sqref="C26"/>
    </sheetView>
  </sheetViews>
  <sheetFormatPr defaultRowHeight="15.75" x14ac:dyDescent="0.25"/>
  <cols>
    <col min="1" max="4" width="13.75" style="1" customWidth="1"/>
    <col min="5" max="6" width="15.5" style="1" customWidth="1"/>
    <col min="7" max="7" width="16.5" style="1" bestFit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Trà Vinh Farm</v>
      </c>
      <c r="E1" s="78" t="s">
        <v>1</v>
      </c>
      <c r="F1" s="78"/>
    </row>
    <row r="2" spans="1:6" x14ac:dyDescent="0.25">
      <c r="A2" s="1" t="str">
        <f>'THONG TIN'!C4</f>
        <v>Ấp Cây Hẹ, xã Phú Cần, huyện Tiểu Cần , tỉnh Trà Vinh</v>
      </c>
      <c r="E2" s="79" t="s">
        <v>2</v>
      </c>
      <c r="F2" s="79"/>
    </row>
    <row r="3" spans="1:6" x14ac:dyDescent="0.25">
      <c r="E3" s="79" t="s">
        <v>44</v>
      </c>
      <c r="F3" s="79"/>
    </row>
    <row r="4" spans="1:6" x14ac:dyDescent="0.25">
      <c r="E4" s="79" t="s">
        <v>3</v>
      </c>
      <c r="F4" s="79"/>
    </row>
    <row r="5" spans="1:6" x14ac:dyDescent="0.25">
      <c r="E5" s="50"/>
      <c r="F5" s="50"/>
    </row>
    <row r="6" spans="1:6" ht="18" x14ac:dyDescent="0.25">
      <c r="A6" s="80" t="s">
        <v>4</v>
      </c>
      <c r="B6" s="80"/>
      <c r="C6" s="80"/>
      <c r="D6" s="80"/>
      <c r="E6" s="80"/>
      <c r="F6" s="80"/>
    </row>
    <row r="7" spans="1:6" x14ac:dyDescent="0.25">
      <c r="A7" s="77" t="s">
        <v>67</v>
      </c>
      <c r="B7" s="77"/>
      <c r="C7" s="77"/>
      <c r="D7" s="77"/>
      <c r="E7" s="77"/>
      <c r="F7" s="77"/>
    </row>
    <row r="9" spans="1:6" x14ac:dyDescent="0.25">
      <c r="B9" s="3" t="s">
        <v>48</v>
      </c>
      <c r="C9" s="4"/>
      <c r="D9" s="4"/>
      <c r="E9" s="4"/>
      <c r="F9" s="4"/>
    </row>
    <row r="10" spans="1:6" x14ac:dyDescent="0.25">
      <c r="B10" s="3" t="s">
        <v>46</v>
      </c>
      <c r="C10" s="4"/>
      <c r="D10" s="4"/>
      <c r="E10" s="59">
        <f>+'BÁO CÁO'!C15</f>
        <v>15002</v>
      </c>
      <c r="F10" s="4"/>
    </row>
    <row r="11" spans="1:6" x14ac:dyDescent="0.25">
      <c r="B11" s="3" t="s">
        <v>45</v>
      </c>
      <c r="C11" s="4"/>
      <c r="D11" s="4"/>
      <c r="E11" s="4"/>
      <c r="F11" s="4"/>
    </row>
    <row r="13" spans="1:6" x14ac:dyDescent="0.25">
      <c r="A13" s="73" t="s">
        <v>5</v>
      </c>
      <c r="B13" s="73" t="s">
        <v>6</v>
      </c>
      <c r="C13" s="73" t="s">
        <v>7</v>
      </c>
      <c r="D13" s="73" t="s">
        <v>8</v>
      </c>
      <c r="E13" s="75" t="s">
        <v>9</v>
      </c>
      <c r="F13" s="76"/>
    </row>
    <row r="14" spans="1:6" x14ac:dyDescent="0.25">
      <c r="A14" s="74"/>
      <c r="B14" s="74"/>
      <c r="C14" s="74"/>
      <c r="D14" s="74"/>
      <c r="E14" s="5" t="s">
        <v>10</v>
      </c>
      <c r="F14" s="5" t="s">
        <v>11</v>
      </c>
    </row>
    <row r="15" spans="1:6" x14ac:dyDescent="0.25">
      <c r="A15" s="6" t="s">
        <v>12</v>
      </c>
      <c r="B15" s="19"/>
      <c r="C15" s="7"/>
      <c r="D15" s="7"/>
      <c r="E15" s="7"/>
      <c r="F15" s="9"/>
    </row>
    <row r="16" spans="1:6" x14ac:dyDescent="0.25">
      <c r="A16" s="18" t="s">
        <v>56</v>
      </c>
      <c r="B16" s="19"/>
      <c r="C16" s="56">
        <v>37968000</v>
      </c>
      <c r="D16" s="19"/>
      <c r="E16" s="19">
        <f>+B16+C16-D16</f>
        <v>37968000</v>
      </c>
      <c r="F16" s="19"/>
    </row>
    <row r="17" spans="1:7" x14ac:dyDescent="0.25">
      <c r="A17" s="18"/>
      <c r="B17" s="19"/>
      <c r="C17" s="19"/>
      <c r="D17" s="19"/>
      <c r="E17" s="19">
        <f t="shared" ref="E17:E27" si="0">+B17+C17-D17</f>
        <v>0</v>
      </c>
      <c r="F17" s="19"/>
    </row>
    <row r="18" spans="1:7" x14ac:dyDescent="0.25">
      <c r="A18" s="8" t="s">
        <v>13</v>
      </c>
      <c r="B18" s="9"/>
      <c r="C18" s="9"/>
      <c r="D18" s="9"/>
      <c r="E18" s="19">
        <f t="shared" si="0"/>
        <v>0</v>
      </c>
      <c r="F18" s="9"/>
    </row>
    <row r="19" spans="1:7" x14ac:dyDescent="0.25">
      <c r="A19" s="8" t="s">
        <v>74</v>
      </c>
      <c r="B19" s="9"/>
      <c r="C19" s="57">
        <f>19249892+22607549+21223215+1103550+1468950+1468950</f>
        <v>67122106</v>
      </c>
      <c r="D19" s="9"/>
      <c r="E19" s="19">
        <f t="shared" si="0"/>
        <v>67122106</v>
      </c>
      <c r="F19" s="9"/>
    </row>
    <row r="20" spans="1:7" x14ac:dyDescent="0.25">
      <c r="A20" s="8"/>
      <c r="B20" s="9"/>
      <c r="C20" s="9"/>
      <c r="D20" s="9"/>
      <c r="E20" s="19">
        <f t="shared" si="0"/>
        <v>0</v>
      </c>
      <c r="F20" s="9"/>
    </row>
    <row r="21" spans="1:7" x14ac:dyDescent="0.25">
      <c r="A21" s="8" t="s">
        <v>14</v>
      </c>
      <c r="B21" s="9"/>
      <c r="C21" s="9"/>
      <c r="D21" s="9"/>
      <c r="E21" s="19">
        <f t="shared" si="0"/>
        <v>0</v>
      </c>
      <c r="F21" s="10"/>
    </row>
    <row r="22" spans="1:7" x14ac:dyDescent="0.25">
      <c r="A22" s="20"/>
      <c r="B22" s="21"/>
      <c r="C22" s="21"/>
      <c r="D22" s="21"/>
      <c r="E22" s="19">
        <f t="shared" si="0"/>
        <v>0</v>
      </c>
      <c r="F22" s="22"/>
    </row>
    <row r="23" spans="1:7" x14ac:dyDescent="0.25">
      <c r="A23" s="20"/>
      <c r="B23" s="21"/>
      <c r="C23" s="21"/>
      <c r="D23" s="21"/>
      <c r="E23" s="19">
        <f t="shared" si="0"/>
        <v>0</v>
      </c>
      <c r="F23" s="22"/>
      <c r="G23" s="51"/>
    </row>
    <row r="24" spans="1:7" x14ac:dyDescent="0.25">
      <c r="A24" s="8" t="s">
        <v>0</v>
      </c>
      <c r="B24" s="9"/>
      <c r="C24" s="9"/>
      <c r="D24" s="9"/>
      <c r="E24" s="19">
        <f t="shared" si="0"/>
        <v>0</v>
      </c>
      <c r="F24" s="9"/>
      <c r="G24" s="51"/>
    </row>
    <row r="25" spans="1:7" x14ac:dyDescent="0.25">
      <c r="A25" s="25" t="s">
        <v>58</v>
      </c>
      <c r="B25" s="26"/>
      <c r="C25" s="26">
        <v>0</v>
      </c>
      <c r="D25" s="26"/>
      <c r="E25" s="19">
        <f t="shared" si="0"/>
        <v>0</v>
      </c>
      <c r="F25" s="26"/>
      <c r="G25" s="51"/>
    </row>
    <row r="26" spans="1:7" x14ac:dyDescent="0.25">
      <c r="A26" s="58" t="s">
        <v>65</v>
      </c>
      <c r="B26" s="26"/>
      <c r="C26" s="60">
        <f>2259650+3007850*2</f>
        <v>8275350</v>
      </c>
      <c r="D26" s="26"/>
      <c r="E26" s="19">
        <f t="shared" si="0"/>
        <v>8275350</v>
      </c>
      <c r="F26" s="26"/>
      <c r="G26" s="51"/>
    </row>
    <row r="27" spans="1:7" x14ac:dyDescent="0.25">
      <c r="A27" s="23" t="s">
        <v>57</v>
      </c>
      <c r="B27" s="24"/>
      <c r="C27" s="24">
        <f>833333*3</f>
        <v>2499999</v>
      </c>
      <c r="D27" s="24"/>
      <c r="E27" s="19">
        <f t="shared" si="0"/>
        <v>2499999</v>
      </c>
      <c r="F27" s="24"/>
      <c r="G27" s="52"/>
    </row>
    <row r="28" spans="1:7" x14ac:dyDescent="0.25">
      <c r="A28" s="5" t="s">
        <v>15</v>
      </c>
      <c r="B28" s="11"/>
      <c r="C28" s="11"/>
      <c r="D28" s="11"/>
      <c r="E28" s="12">
        <f>SUM(E16:E27)</f>
        <v>115865455</v>
      </c>
      <c r="F28" s="53">
        <f>+E28/E10</f>
        <v>7723.3338888148246</v>
      </c>
    </row>
    <row r="29" spans="1:7" x14ac:dyDescent="0.25">
      <c r="A29" s="13"/>
      <c r="B29" s="14"/>
      <c r="C29" s="15"/>
      <c r="D29" s="15"/>
      <c r="E29" s="15"/>
      <c r="F29" s="61"/>
    </row>
    <row r="31" spans="1:7" x14ac:dyDescent="0.25">
      <c r="A31" s="16" t="s">
        <v>16</v>
      </c>
      <c r="B31" s="16"/>
      <c r="C31" s="16" t="s">
        <v>17</v>
      </c>
      <c r="D31" s="16"/>
      <c r="E31" s="16" t="s">
        <v>18</v>
      </c>
      <c r="F31" s="16"/>
    </row>
    <row r="32" spans="1:7" x14ac:dyDescent="0.25">
      <c r="A32" s="17" t="s">
        <v>19</v>
      </c>
      <c r="B32" s="17"/>
      <c r="C32" s="17" t="s">
        <v>19</v>
      </c>
      <c r="D32" s="17"/>
      <c r="E32" s="17" t="s">
        <v>20</v>
      </c>
      <c r="F32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3" workbookViewId="0">
      <selection activeCell="C26" sqref="C26"/>
    </sheetView>
  </sheetViews>
  <sheetFormatPr defaultRowHeight="15.75" x14ac:dyDescent="0.25"/>
  <cols>
    <col min="1" max="4" width="13.75" style="1" customWidth="1"/>
    <col min="5" max="6" width="15.5" style="1" customWidth="1"/>
    <col min="7" max="7" width="16.5" style="1" bestFit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Trà Vinh Farm</v>
      </c>
      <c r="E1" s="78" t="s">
        <v>1</v>
      </c>
      <c r="F1" s="78"/>
    </row>
    <row r="2" spans="1:6" x14ac:dyDescent="0.25">
      <c r="A2" s="1" t="str">
        <f>'THONG TIN'!C4</f>
        <v>Ấp Cây Hẹ, xã Phú Cần, huyện Tiểu Cần , tỉnh Trà Vinh</v>
      </c>
      <c r="E2" s="79" t="s">
        <v>2</v>
      </c>
      <c r="F2" s="79"/>
    </row>
    <row r="3" spans="1:6" x14ac:dyDescent="0.25">
      <c r="E3" s="79" t="s">
        <v>44</v>
      </c>
      <c r="F3" s="79"/>
    </row>
    <row r="4" spans="1:6" x14ac:dyDescent="0.25">
      <c r="E4" s="79" t="s">
        <v>3</v>
      </c>
      <c r="F4" s="79"/>
    </row>
    <row r="5" spans="1:6" x14ac:dyDescent="0.25">
      <c r="E5" s="50"/>
      <c r="F5" s="50"/>
    </row>
    <row r="6" spans="1:6" ht="18" x14ac:dyDescent="0.25">
      <c r="A6" s="80" t="s">
        <v>4</v>
      </c>
      <c r="B6" s="80"/>
      <c r="C6" s="80"/>
      <c r="D6" s="80"/>
      <c r="E6" s="80"/>
      <c r="F6" s="80"/>
    </row>
    <row r="7" spans="1:6" x14ac:dyDescent="0.25">
      <c r="A7" s="77" t="s">
        <v>68</v>
      </c>
      <c r="B7" s="77"/>
      <c r="C7" s="77"/>
      <c r="D7" s="77"/>
      <c r="E7" s="77"/>
      <c r="F7" s="77"/>
    </row>
    <row r="9" spans="1:6" x14ac:dyDescent="0.25">
      <c r="B9" s="3" t="s">
        <v>48</v>
      </c>
      <c r="C9" s="4"/>
      <c r="D9" s="4"/>
      <c r="E9" s="4"/>
      <c r="F9" s="4"/>
    </row>
    <row r="10" spans="1:6" x14ac:dyDescent="0.25">
      <c r="B10" s="3" t="s">
        <v>46</v>
      </c>
      <c r="C10" s="4"/>
      <c r="D10" s="4"/>
      <c r="E10" s="59">
        <f>+'BÁO CÁO'!C19</f>
        <v>15698</v>
      </c>
      <c r="F10" s="4"/>
    </row>
    <row r="11" spans="1:6" x14ac:dyDescent="0.25">
      <c r="B11" s="3" t="s">
        <v>45</v>
      </c>
      <c r="C11" s="4"/>
      <c r="D11" s="4"/>
      <c r="E11" s="4"/>
      <c r="F11" s="4"/>
    </row>
    <row r="13" spans="1:6" x14ac:dyDescent="0.25">
      <c r="A13" s="73" t="s">
        <v>5</v>
      </c>
      <c r="B13" s="73" t="s">
        <v>6</v>
      </c>
      <c r="C13" s="73" t="s">
        <v>7</v>
      </c>
      <c r="D13" s="73" t="s">
        <v>8</v>
      </c>
      <c r="E13" s="75" t="s">
        <v>9</v>
      </c>
      <c r="F13" s="76"/>
    </row>
    <row r="14" spans="1:6" x14ac:dyDescent="0.25">
      <c r="A14" s="74"/>
      <c r="B14" s="74"/>
      <c r="C14" s="74"/>
      <c r="D14" s="74"/>
      <c r="E14" s="5" t="s">
        <v>10</v>
      </c>
      <c r="F14" s="5" t="s">
        <v>11</v>
      </c>
    </row>
    <row r="15" spans="1:6" x14ac:dyDescent="0.25">
      <c r="A15" s="6" t="s">
        <v>12</v>
      </c>
      <c r="B15" s="19"/>
      <c r="C15" s="7"/>
      <c r="D15" s="7"/>
      <c r="E15" s="7"/>
      <c r="F15" s="9"/>
    </row>
    <row r="16" spans="1:6" x14ac:dyDescent="0.25">
      <c r="A16" s="18" t="s">
        <v>56</v>
      </c>
      <c r="B16" s="19"/>
      <c r="C16" s="56">
        <v>22000000</v>
      </c>
      <c r="D16" s="19"/>
      <c r="E16" s="19">
        <f>+B16+C16-D16</f>
        <v>22000000</v>
      </c>
      <c r="F16" s="19"/>
    </row>
    <row r="17" spans="1:7" x14ac:dyDescent="0.25">
      <c r="A17" s="18"/>
      <c r="B17" s="19"/>
      <c r="C17" s="19"/>
      <c r="D17" s="19"/>
      <c r="E17" s="19">
        <f t="shared" ref="E17:E27" si="0">+B17+C17-D17</f>
        <v>0</v>
      </c>
      <c r="F17" s="19"/>
    </row>
    <row r="18" spans="1:7" x14ac:dyDescent="0.25">
      <c r="A18" s="8" t="s">
        <v>13</v>
      </c>
      <c r="B18" s="9"/>
      <c r="C18" s="9"/>
      <c r="D18" s="9"/>
      <c r="E18" s="19">
        <f t="shared" si="0"/>
        <v>0</v>
      </c>
      <c r="F18" s="9"/>
    </row>
    <row r="19" spans="1:7" x14ac:dyDescent="0.25">
      <c r="A19" s="8" t="s">
        <v>74</v>
      </c>
      <c r="B19" s="9"/>
      <c r="C19" s="57">
        <f>19285895+20146377+21424358+(1468950*3)</f>
        <v>65263480</v>
      </c>
      <c r="D19" s="9"/>
      <c r="E19" s="19">
        <f t="shared" si="0"/>
        <v>65263480</v>
      </c>
      <c r="F19" s="9"/>
    </row>
    <row r="20" spans="1:7" x14ac:dyDescent="0.25">
      <c r="A20" s="8"/>
      <c r="B20" s="9"/>
      <c r="C20" s="9"/>
      <c r="D20" s="9"/>
      <c r="E20" s="19">
        <f t="shared" si="0"/>
        <v>0</v>
      </c>
      <c r="F20" s="9"/>
    </row>
    <row r="21" spans="1:7" x14ac:dyDescent="0.25">
      <c r="A21" s="8" t="s">
        <v>14</v>
      </c>
      <c r="B21" s="9"/>
      <c r="C21" s="9"/>
      <c r="D21" s="9"/>
      <c r="E21" s="19">
        <f t="shared" si="0"/>
        <v>0</v>
      </c>
      <c r="F21" s="10"/>
    </row>
    <row r="22" spans="1:7" x14ac:dyDescent="0.25">
      <c r="A22" s="20"/>
      <c r="B22" s="21"/>
      <c r="C22" s="21"/>
      <c r="D22" s="21"/>
      <c r="E22" s="19">
        <f t="shared" si="0"/>
        <v>0</v>
      </c>
      <c r="F22" s="22"/>
    </row>
    <row r="23" spans="1:7" x14ac:dyDescent="0.25">
      <c r="A23" s="20"/>
      <c r="B23" s="21"/>
      <c r="C23" s="21"/>
      <c r="D23" s="21"/>
      <c r="E23" s="19">
        <f t="shared" si="0"/>
        <v>0</v>
      </c>
      <c r="F23" s="22"/>
      <c r="G23" s="51"/>
    </row>
    <row r="24" spans="1:7" x14ac:dyDescent="0.25">
      <c r="A24" s="8" t="s">
        <v>0</v>
      </c>
      <c r="B24" s="9"/>
      <c r="C24" s="9"/>
      <c r="D24" s="9"/>
      <c r="E24" s="19">
        <f t="shared" si="0"/>
        <v>0</v>
      </c>
      <c r="F24" s="9"/>
      <c r="G24" s="51"/>
    </row>
    <row r="25" spans="1:7" x14ac:dyDescent="0.25">
      <c r="A25" s="25" t="s">
        <v>58</v>
      </c>
      <c r="B25" s="26"/>
      <c r="C25" s="26">
        <v>0</v>
      </c>
      <c r="D25" s="26"/>
      <c r="E25" s="19">
        <f t="shared" si="0"/>
        <v>0</v>
      </c>
      <c r="F25" s="26"/>
      <c r="G25" s="51"/>
    </row>
    <row r="26" spans="1:7" x14ac:dyDescent="0.25">
      <c r="A26" s="25" t="s">
        <v>65</v>
      </c>
      <c r="B26" s="26"/>
      <c r="C26" s="60">
        <f>3007850*3</f>
        <v>9023550</v>
      </c>
      <c r="D26" s="26"/>
      <c r="E26" s="19">
        <f t="shared" si="0"/>
        <v>9023550</v>
      </c>
      <c r="F26" s="26"/>
      <c r="G26" s="51"/>
    </row>
    <row r="27" spans="1:7" x14ac:dyDescent="0.25">
      <c r="A27" s="23" t="s">
        <v>57</v>
      </c>
      <c r="B27" s="24"/>
      <c r="C27" s="24">
        <f>833333*3</f>
        <v>2499999</v>
      </c>
      <c r="D27" s="24"/>
      <c r="E27" s="19">
        <f t="shared" si="0"/>
        <v>2499999</v>
      </c>
      <c r="F27" s="24"/>
      <c r="G27" s="52"/>
    </row>
    <row r="28" spans="1:7" x14ac:dyDescent="0.25">
      <c r="A28" s="5" t="s">
        <v>15</v>
      </c>
      <c r="B28" s="11"/>
      <c r="C28" s="11"/>
      <c r="D28" s="11"/>
      <c r="E28" s="12">
        <f>SUM(E16:E27)</f>
        <v>98787029</v>
      </c>
      <c r="F28" s="53">
        <f>+E28/E10</f>
        <v>6292.9691043445027</v>
      </c>
    </row>
    <row r="29" spans="1:7" x14ac:dyDescent="0.25">
      <c r="A29" s="13"/>
      <c r="B29" s="14"/>
      <c r="C29" s="15"/>
      <c r="D29" s="15"/>
      <c r="E29" s="15"/>
      <c r="F29" s="15"/>
    </row>
    <row r="31" spans="1:7" x14ac:dyDescent="0.25">
      <c r="A31" s="16" t="s">
        <v>16</v>
      </c>
      <c r="B31" s="16"/>
      <c r="C31" s="16" t="s">
        <v>17</v>
      </c>
      <c r="D31" s="16"/>
      <c r="E31" s="16" t="s">
        <v>18</v>
      </c>
      <c r="F31" s="16"/>
    </row>
    <row r="32" spans="1:7" x14ac:dyDescent="0.25">
      <c r="A32" s="17" t="s">
        <v>19</v>
      </c>
      <c r="B32" s="17"/>
      <c r="C32" s="17" t="s">
        <v>19</v>
      </c>
      <c r="D32" s="17"/>
      <c r="E32" s="17" t="s">
        <v>20</v>
      </c>
      <c r="F32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3" workbookViewId="0">
      <selection activeCell="G22" sqref="G22"/>
    </sheetView>
  </sheetViews>
  <sheetFormatPr defaultRowHeight="15.75" x14ac:dyDescent="0.25"/>
  <cols>
    <col min="1" max="4" width="13.75" style="1" customWidth="1"/>
    <col min="5" max="6" width="15.5" style="1" customWidth="1"/>
    <col min="7" max="7" width="16.5" style="1" bestFit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Trà Vinh Farm</v>
      </c>
      <c r="E1" s="78" t="s">
        <v>1</v>
      </c>
      <c r="F1" s="78"/>
    </row>
    <row r="2" spans="1:6" x14ac:dyDescent="0.25">
      <c r="A2" s="1" t="str">
        <f>'THONG TIN'!C4</f>
        <v>Ấp Cây Hẹ, xã Phú Cần, huyện Tiểu Cần , tỉnh Trà Vinh</v>
      </c>
      <c r="E2" s="79" t="s">
        <v>2</v>
      </c>
      <c r="F2" s="79"/>
    </row>
    <row r="3" spans="1:6" x14ac:dyDescent="0.25">
      <c r="E3" s="79" t="s">
        <v>44</v>
      </c>
      <c r="F3" s="79"/>
    </row>
    <row r="4" spans="1:6" x14ac:dyDescent="0.25">
      <c r="E4" s="79" t="s">
        <v>3</v>
      </c>
      <c r="F4" s="79"/>
    </row>
    <row r="5" spans="1:6" x14ac:dyDescent="0.25">
      <c r="E5" s="50"/>
      <c r="F5" s="50"/>
    </row>
    <row r="6" spans="1:6" ht="18" x14ac:dyDescent="0.25">
      <c r="A6" s="80" t="s">
        <v>4</v>
      </c>
      <c r="B6" s="80"/>
      <c r="C6" s="80"/>
      <c r="D6" s="80"/>
      <c r="E6" s="80"/>
      <c r="F6" s="80"/>
    </row>
    <row r="7" spans="1:6" x14ac:dyDescent="0.25">
      <c r="A7" s="77" t="s">
        <v>69</v>
      </c>
      <c r="B7" s="77"/>
      <c r="C7" s="77"/>
      <c r="D7" s="77"/>
      <c r="E7" s="77"/>
      <c r="F7" s="77"/>
    </row>
    <row r="9" spans="1:6" x14ac:dyDescent="0.25">
      <c r="B9" s="3" t="s">
        <v>48</v>
      </c>
      <c r="C9" s="4"/>
      <c r="D9" s="4"/>
      <c r="E9" s="4"/>
      <c r="F9" s="4"/>
    </row>
    <row r="10" spans="1:6" x14ac:dyDescent="0.25">
      <c r="B10" s="3" t="s">
        <v>46</v>
      </c>
      <c r="C10" s="4"/>
      <c r="D10" s="4"/>
      <c r="E10" s="59">
        <f>+'BÁO CÁO'!C23</f>
        <v>15101</v>
      </c>
      <c r="F10" s="4"/>
    </row>
    <row r="11" spans="1:6" x14ac:dyDescent="0.25">
      <c r="B11" s="3" t="s">
        <v>45</v>
      </c>
      <c r="C11" s="4"/>
      <c r="D11" s="4"/>
      <c r="E11" s="4"/>
      <c r="F11" s="4"/>
    </row>
    <row r="13" spans="1:6" x14ac:dyDescent="0.25">
      <c r="A13" s="73" t="s">
        <v>5</v>
      </c>
      <c r="B13" s="73" t="s">
        <v>6</v>
      </c>
      <c r="C13" s="73" t="s">
        <v>7</v>
      </c>
      <c r="D13" s="73" t="s">
        <v>8</v>
      </c>
      <c r="E13" s="75" t="s">
        <v>9</v>
      </c>
      <c r="F13" s="76"/>
    </row>
    <row r="14" spans="1:6" x14ac:dyDescent="0.25">
      <c r="A14" s="74"/>
      <c r="B14" s="74"/>
      <c r="C14" s="74"/>
      <c r="D14" s="74"/>
      <c r="E14" s="5" t="s">
        <v>10</v>
      </c>
      <c r="F14" s="5" t="s">
        <v>11</v>
      </c>
    </row>
    <row r="15" spans="1:6" x14ac:dyDescent="0.25">
      <c r="A15" s="6" t="s">
        <v>12</v>
      </c>
      <c r="B15" s="19"/>
      <c r="C15" s="7"/>
      <c r="D15" s="7"/>
      <c r="E15" s="7"/>
      <c r="F15" s="9"/>
    </row>
    <row r="16" spans="1:6" x14ac:dyDescent="0.25">
      <c r="A16" s="18" t="s">
        <v>56</v>
      </c>
      <c r="B16" s="19"/>
      <c r="C16" s="56">
        <v>0</v>
      </c>
      <c r="D16" s="19"/>
      <c r="E16" s="19">
        <f>+B16+C16-D16</f>
        <v>0</v>
      </c>
      <c r="F16" s="19"/>
    </row>
    <row r="17" spans="1:7" x14ac:dyDescent="0.25">
      <c r="A17" s="18"/>
      <c r="B17" s="19"/>
      <c r="C17" s="19"/>
      <c r="D17" s="19"/>
      <c r="E17" s="19">
        <f t="shared" ref="E17:E27" si="0">+B17+C17-D17</f>
        <v>0</v>
      </c>
      <c r="F17" s="19"/>
    </row>
    <row r="18" spans="1:7" x14ac:dyDescent="0.25">
      <c r="A18" s="8" t="s">
        <v>13</v>
      </c>
      <c r="B18" s="9"/>
      <c r="C18" s="9"/>
      <c r="D18" s="9"/>
      <c r="E18" s="19">
        <f t="shared" si="0"/>
        <v>0</v>
      </c>
      <c r="F18" s="9"/>
    </row>
    <row r="19" spans="1:7" x14ac:dyDescent="0.25">
      <c r="A19" s="8" t="s">
        <v>74</v>
      </c>
      <c r="B19" s="9"/>
      <c r="C19" s="57">
        <f>21114973+22433454+8000000+12871126+21246539+(1468950*3)</f>
        <v>90072942</v>
      </c>
      <c r="D19" s="9"/>
      <c r="E19" s="19">
        <f t="shared" si="0"/>
        <v>90072942</v>
      </c>
      <c r="F19" s="9"/>
    </row>
    <row r="20" spans="1:7" x14ac:dyDescent="0.25">
      <c r="A20" s="8"/>
      <c r="B20" s="9"/>
      <c r="C20" s="9"/>
      <c r="D20" s="9"/>
      <c r="E20" s="19">
        <f t="shared" si="0"/>
        <v>0</v>
      </c>
      <c r="F20" s="9"/>
    </row>
    <row r="21" spans="1:7" x14ac:dyDescent="0.25">
      <c r="A21" s="8" t="s">
        <v>14</v>
      </c>
      <c r="B21" s="9"/>
      <c r="C21" s="9"/>
      <c r="D21" s="9"/>
      <c r="E21" s="19">
        <f t="shared" si="0"/>
        <v>0</v>
      </c>
      <c r="F21" s="10"/>
    </row>
    <row r="22" spans="1:7" x14ac:dyDescent="0.25">
      <c r="A22" s="20"/>
      <c r="B22" s="21"/>
      <c r="C22" s="21"/>
      <c r="D22" s="21"/>
      <c r="E22" s="19">
        <f t="shared" si="0"/>
        <v>0</v>
      </c>
      <c r="F22" s="22"/>
    </row>
    <row r="23" spans="1:7" x14ac:dyDescent="0.25">
      <c r="A23" s="20"/>
      <c r="B23" s="21"/>
      <c r="C23" s="21"/>
      <c r="D23" s="21"/>
      <c r="E23" s="19">
        <f t="shared" si="0"/>
        <v>0</v>
      </c>
      <c r="F23" s="22"/>
      <c r="G23" s="51"/>
    </row>
    <row r="24" spans="1:7" x14ac:dyDescent="0.25">
      <c r="A24" s="8" t="s">
        <v>0</v>
      </c>
      <c r="B24" s="9"/>
      <c r="C24" s="9"/>
      <c r="D24" s="9"/>
      <c r="E24" s="19">
        <f t="shared" si="0"/>
        <v>0</v>
      </c>
      <c r="F24" s="9"/>
      <c r="G24" s="51"/>
    </row>
    <row r="25" spans="1:7" x14ac:dyDescent="0.25">
      <c r="A25" s="25" t="s">
        <v>58</v>
      </c>
      <c r="B25" s="26"/>
      <c r="C25" s="26">
        <v>0</v>
      </c>
      <c r="D25" s="26"/>
      <c r="E25" s="19">
        <f t="shared" si="0"/>
        <v>0</v>
      </c>
      <c r="F25" s="26"/>
      <c r="G25" s="51"/>
    </row>
    <row r="26" spans="1:7" x14ac:dyDescent="0.25">
      <c r="A26" s="25" t="s">
        <v>65</v>
      </c>
      <c r="B26" s="26"/>
      <c r="C26" s="60">
        <f>3007850*3</f>
        <v>9023550</v>
      </c>
      <c r="D26" s="26"/>
      <c r="E26" s="19">
        <f t="shared" si="0"/>
        <v>9023550</v>
      </c>
      <c r="F26" s="26"/>
      <c r="G26" s="51"/>
    </row>
    <row r="27" spans="1:7" x14ac:dyDescent="0.25">
      <c r="A27" s="23" t="s">
        <v>57</v>
      </c>
      <c r="B27" s="24"/>
      <c r="C27" s="24">
        <f>833333*3</f>
        <v>2499999</v>
      </c>
      <c r="D27" s="24"/>
      <c r="E27" s="19">
        <f t="shared" si="0"/>
        <v>2499999</v>
      </c>
      <c r="F27" s="24"/>
      <c r="G27" s="52"/>
    </row>
    <row r="28" spans="1:7" x14ac:dyDescent="0.25">
      <c r="A28" s="5" t="s">
        <v>15</v>
      </c>
      <c r="B28" s="11"/>
      <c r="C28" s="11"/>
      <c r="D28" s="11"/>
      <c r="E28" s="12">
        <f>SUM(E16:E27)</f>
        <v>101596491</v>
      </c>
      <c r="F28" s="53">
        <f>+E28/E10</f>
        <v>6727.7988874908942</v>
      </c>
      <c r="G28" s="67">
        <f>+'THẺ GT Q1'!E28+'THẺ GT Q2'!E28+'THẺ GT Q3'!E28+'THẺ GT Q4'!E28</f>
        <v>388950280</v>
      </c>
    </row>
    <row r="29" spans="1:7" x14ac:dyDescent="0.25">
      <c r="A29" s="13"/>
      <c r="B29" s="14"/>
      <c r="C29" s="15"/>
      <c r="D29" s="15"/>
      <c r="E29" s="15"/>
      <c r="F29" s="15"/>
    </row>
    <row r="31" spans="1:7" x14ac:dyDescent="0.25">
      <c r="A31" s="16" t="s">
        <v>16</v>
      </c>
      <c r="B31" s="16"/>
      <c r="C31" s="16" t="s">
        <v>17</v>
      </c>
      <c r="D31" s="16"/>
      <c r="E31" s="16" t="s">
        <v>18</v>
      </c>
      <c r="F31" s="16"/>
    </row>
    <row r="32" spans="1:7" x14ac:dyDescent="0.25">
      <c r="A32" s="17" t="s">
        <v>19</v>
      </c>
      <c r="B32" s="17"/>
      <c r="C32" s="17" t="s">
        <v>19</v>
      </c>
      <c r="D32" s="17"/>
      <c r="E32" s="17" t="s">
        <v>20</v>
      </c>
      <c r="F32" s="17"/>
    </row>
  </sheetData>
  <mergeCells count="11">
    <mergeCell ref="A13:A14"/>
    <mergeCell ref="B13:B14"/>
    <mergeCell ref="C13:C14"/>
    <mergeCell ref="D13:D14"/>
    <mergeCell ref="E13:F13"/>
    <mergeCell ref="A7:F7"/>
    <mergeCell ref="E1:F1"/>
    <mergeCell ref="E2:F2"/>
    <mergeCell ref="E3:F3"/>
    <mergeCell ref="E4:F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THONG TIN</vt:lpstr>
      <vt:lpstr>BÁO CÁO</vt:lpstr>
      <vt:lpstr>THẺ GT Q1</vt:lpstr>
      <vt:lpstr>THẺ GT Q2</vt:lpstr>
      <vt:lpstr>THẺ GT Q3</vt:lpstr>
      <vt:lpstr>THẺ GT Q4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CHIENTHUAT</cp:lastModifiedBy>
  <dcterms:created xsi:type="dcterms:W3CDTF">2016-04-11T03:39:34Z</dcterms:created>
  <dcterms:modified xsi:type="dcterms:W3CDTF">2024-03-29T10:01:48Z</dcterms:modified>
</cp:coreProperties>
</file>