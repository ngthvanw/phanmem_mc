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N MINH\2025\"/>
    </mc:Choice>
  </mc:AlternateContent>
  <bookViews>
    <workbookView xWindow="20370" yWindow="-120" windowWidth="20730" windowHeight="11760"/>
  </bookViews>
  <sheets>
    <sheet name="SLHH  2025" sheetId="8" r:id="rId1"/>
    <sheet name="Sheet1" sheetId="7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8" l="1"/>
  <c r="C8" i="8" l="1"/>
  <c r="C9" i="8"/>
  <c r="C10" i="8"/>
  <c r="D13" i="8"/>
  <c r="J13" i="8" s="1"/>
  <c r="F23" i="8"/>
  <c r="F24" i="8" s="1"/>
  <c r="E23" i="8"/>
  <c r="K23" i="8" s="1"/>
  <c r="D23" i="8"/>
  <c r="K22" i="8"/>
  <c r="J22" i="8"/>
  <c r="H22" i="8"/>
  <c r="C22" i="8"/>
  <c r="K21" i="8"/>
  <c r="J21" i="8"/>
  <c r="H21" i="8"/>
  <c r="C21" i="8"/>
  <c r="K20" i="8"/>
  <c r="J20" i="8"/>
  <c r="H20" i="8"/>
  <c r="C20" i="8"/>
  <c r="F19" i="8"/>
  <c r="E19" i="8"/>
  <c r="K19" i="8" s="1"/>
  <c r="D19" i="8"/>
  <c r="J19" i="8" s="1"/>
  <c r="K18" i="8"/>
  <c r="J18" i="8"/>
  <c r="H18" i="8"/>
  <c r="C18" i="8"/>
  <c r="K17" i="8"/>
  <c r="J17" i="8"/>
  <c r="H17" i="8"/>
  <c r="C17" i="8"/>
  <c r="K16" i="8"/>
  <c r="J16" i="8"/>
  <c r="H16" i="8"/>
  <c r="C16" i="8"/>
  <c r="F15" i="8"/>
  <c r="E15" i="8"/>
  <c r="K15" i="8" s="1"/>
  <c r="K14" i="8"/>
  <c r="J14" i="8"/>
  <c r="H14" i="8"/>
  <c r="C14" i="8"/>
  <c r="K13" i="8"/>
  <c r="K12" i="8"/>
  <c r="J12" i="8"/>
  <c r="H12" i="8"/>
  <c r="C12" i="8"/>
  <c r="F11" i="8"/>
  <c r="E11" i="8"/>
  <c r="D11" i="8"/>
  <c r="K10" i="8"/>
  <c r="J10" i="8"/>
  <c r="H10" i="8"/>
  <c r="K9" i="8"/>
  <c r="J9" i="8"/>
  <c r="H9" i="8"/>
  <c r="K8" i="8"/>
  <c r="J8" i="8"/>
  <c r="H8" i="8"/>
  <c r="C13" i="8" l="1"/>
  <c r="E24" i="8"/>
  <c r="C11" i="8"/>
  <c r="C23" i="8"/>
  <c r="J23" i="8" s="1"/>
  <c r="M15" i="8"/>
  <c r="N15" i="8" s="1"/>
  <c r="O15" i="8" s="1"/>
  <c r="C19" i="8"/>
  <c r="H13" i="8"/>
  <c r="H24" i="8" s="1"/>
  <c r="H27" i="8" s="1"/>
  <c r="D15" i="8"/>
  <c r="J15" i="8" s="1"/>
  <c r="M14" i="8"/>
  <c r="N14" i="8" s="1"/>
  <c r="O14" i="8" s="1"/>
  <c r="C15" i="8"/>
  <c r="J11" i="8"/>
  <c r="K11" i="8"/>
  <c r="K24" i="8" s="1"/>
  <c r="J24" i="8" l="1"/>
  <c r="C24" i="8"/>
  <c r="D24" i="8"/>
  <c r="O16" i="8"/>
</calcChain>
</file>

<file path=xl/sharedStrings.xml><?xml version="1.0" encoding="utf-8"?>
<sst xmlns="http://schemas.openxmlformats.org/spreadsheetml/2006/main" count="36" uniqueCount="36">
  <si>
    <t>Trụ sở chính:</t>
  </si>
  <si>
    <t>BẢNG BÁO CÁO SẢN LƯỢNG SẢN XUẤT VÀ TIÊU THỤ ĐIỆN SOLAR</t>
  </si>
  <si>
    <t xml:space="preserve">Công suất dự án : </t>
  </si>
  <si>
    <t>20 Kw</t>
  </si>
  <si>
    <t>Thời gian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</si>
  <si>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</si>
  <si>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</si>
  <si>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</si>
  <si>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</si>
  <si>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</si>
  <si>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</si>
  <si>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</si>
  <si>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</si>
  <si>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</si>
  <si>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</si>
  <si>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</si>
  <si>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</si>
  <si>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Sản lượng phát</t>
  </si>
  <si>
    <t>Sản lượng bán</t>
  </si>
  <si>
    <t>Sản lượng tiêu dùng</t>
  </si>
  <si>
    <t>Sản lượng phát bỏ</t>
  </si>
  <si>
    <t>Quý I</t>
  </si>
  <si>
    <t>Quý II</t>
  </si>
  <si>
    <t>Quý III</t>
  </si>
  <si>
    <t>Quý IV</t>
  </si>
  <si>
    <t>Hướng dẫn</t>
  </si>
  <si>
    <t>Sản lượng phát ghi số liệu từ phần mềm quản lý Solar</t>
  </si>
  <si>
    <t xml:space="preserve">Sản lượng phát bỏ ghi nhận điện lực không mua và những ngày cúp điện </t>
  </si>
  <si>
    <t xml:space="preserve">Sản lượng tiêu dùng là chênh lệch còn lại </t>
  </si>
  <si>
    <t xml:space="preserve">Năm </t>
  </si>
  <si>
    <t>Sản lượng bán ghi số liệu từ cơ quan điện lực chốt sổ + SL nội suy đến cuối cuối tháng</t>
  </si>
  <si>
    <t>Tên doanh nghiệp:</t>
  </si>
  <si>
    <t>Cộng ty TNHH TM Sun Minh</t>
  </si>
  <si>
    <t>Ấp An Trại, Xã An Phú Tâ, Huyện Cầu Kè, Tỉnh Trà Vinh</t>
  </si>
  <si>
    <t>tong</t>
  </si>
  <si>
    <t>Cộng năm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</si>
</sst>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</numFmts>
  <fonts count="6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0"/>
      <name val="Times New Roman"/>
      <family val="2"/>
      <charset val="163"/>
    </font>
    <font>
      <b/>
      <sz val="12"/>
      <color theme="0"/>
      <name val="Times New Roman"/>
      <family val="2"/>
      <charset val="163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right"/>
    </xf>
    <xf numFmtId="0" fontId="0" fillId="0" borderId="4" xfId="0" applyBorder="1" applyAlignment="1">
      <alignment horizontal="center"/>
    </xf>
    <xf numFmtId="0" fontId="0" fillId="0" borderId="4" xfId="0" applyBorder="1"/>
    <xf numFmtId="0" fontId="2" fillId="0" borderId="0" xfId="0" applyFont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3" fontId="0" fillId="0" borderId="4" xfId="0" applyNumberFormat="1" applyBorder="1"/>
    <xf numFmtId="3" fontId="0" fillId="0" borderId="6" xfId="0" applyNumberFormat="1" applyBorder="1"/>
    <xf numFmtId="3" fontId="0" fillId="0" borderId="5" xfId="0" applyNumberFormat="1" applyBorder="1"/>
    <xf numFmtId="0" fontId="0" fillId="0" borderId="0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3" fontId="2" fillId="2" borderId="1" xfId="0" applyNumberFormat="1" applyFont="1" applyFill="1" applyBorder="1"/>
    <xf numFmtId="0" fontId="3" fillId="0" borderId="0" xfId="0" applyFont="1"/>
    <xf numFmtId="0" fontId="3" fillId="0" borderId="0" xfId="0" applyFont="1" applyFill="1" applyBorder="1"/>
    <xf numFmtId="0" fontId="2" fillId="0" borderId="0" xfId="0" applyFont="1" applyAlignment="1">
      <alignment horizontal="left"/>
    </xf>
    <xf numFmtId="3" fontId="2" fillId="2" borderId="1" xfId="0" applyNumberFormat="1" applyFont="1" applyFill="1" applyBorder="1" applyAlignment="1"/>
    <xf numFmtId="3" fontId="0" fillId="0" borderId="5" xfId="0" applyNumberFormat="1" applyBorder="1" applyAlignment="1"/>
    <xf numFmtId="0" fontId="0" fillId="0" borderId="2" xfId="0" applyBorder="1" applyAlignment="1">
      <alignment horizontal="center"/>
    </xf>
    <xf numFmtId="0" fontId="0" fillId="0" borderId="2" xfId="0" applyBorder="1"/>
    <xf numFmtId="3" fontId="0" fillId="0" borderId="2" xfId="0" applyNumberFormat="1" applyBorder="1"/>
    <xf numFmtId="0" fontId="0" fillId="0" borderId="9" xfId="0" applyBorder="1" applyAlignment="1">
      <alignment horizontal="center"/>
    </xf>
    <xf numFmtId="0" fontId="0" fillId="0" borderId="9" xfId="0" applyBorder="1"/>
    <xf numFmtId="3" fontId="0" fillId="0" borderId="9" xfId="0" applyNumberFormat="1" applyBorder="1"/>
    <xf numFmtId="3" fontId="0" fillId="2" borderId="3" xfId="0" applyNumberFormat="1" applyFill="1" applyBorder="1" applyAlignment="1"/>
    <xf numFmtId="3" fontId="0" fillId="2" borderId="1" xfId="0" applyNumberFormat="1" applyFill="1" applyBorder="1" applyAlignment="1"/>
    <xf numFmtId="166" fontId="0" fillId="0" borderId="0" xfId="1" applyNumberFormat="1" applyFont="1"/>
    <xf numFmtId="3" fontId="0" fillId="0" borderId="2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0" fillId="0" borderId="5" xfId="0" applyNumberForma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7" xfId="0" applyBorder="1"/>
    <xf numFmtId="3" fontId="2" fillId="0" borderId="1" xfId="0" applyNumberFormat="1" applyFont="1" applyBorder="1"/>
    <xf numFmtId="0" fontId="4" fillId="4" borderId="0" xfId="0" applyFont="1" applyFill="1"/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4" fillId="4" borderId="8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right" vertical="center"/>
    </xf>
    <xf numFmtId="166" fontId="4" fillId="4" borderId="0" xfId="1" applyNumberFormat="1" applyFont="1" applyFill="1" applyBorder="1" applyAlignment="1">
      <alignment horizontal="right" vertical="center"/>
    </xf>
    <xf numFmtId="166" fontId="4" fillId="4" borderId="0" xfId="0" applyNumberFormat="1" applyFont="1" applyFill="1"/>
    <xf numFmtId="165" fontId="4" fillId="4" borderId="0" xfId="1" applyNumberFormat="1" applyFont="1" applyFill="1"/>
    <xf numFmtId="3" fontId="5" fillId="4" borderId="0" xfId="0" applyNumberFormat="1" applyFont="1" applyFill="1" applyBorder="1"/>
    <xf numFmtId="166" fontId="4" fillId="4" borderId="0" xfId="1" applyNumberFormat="1" applyFont="1" applyFill="1"/>
    <xf numFmtId="0" fontId="0" fillId="3" borderId="1" xfId="0" applyFill="1" applyBorder="1" applyAlignment="1">
      <alignment horizontal="center" vertical="center"/>
    </xf>
    <xf numFmtId="0" fontId="4" fillId="0" borderId="0" xfId="0" applyFont="1"/>
    <xf numFmtId="3" fontId="4" fillId="4" borderId="0" xfId="0" applyNumberFormat="1" applyFont="1" applyFill="1" applyBorder="1"/>
    <xf numFmtId="0" fontId="2" fillId="0" borderId="1" xfId="0" applyFont="1" applyFill="1" applyBorder="1" applyAlignment="1"/>
    <xf numFmtId="0" fontId="0" fillId="0" borderId="10" xfId="0" applyBorder="1" applyAlignment="1"/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tabSelected="1" topLeftCell="A4" workbookViewId="0">
      <selection activeCell="I21" sqref="I21"/>
    </sheetView>
  </sheetViews>
  <sheetFormatPr defaultRowHeight="15.75" x14ac:dyDescent="0.25"/>
  <cols>
    <col min="3" max="3" width="14.375" customWidth="1"/>
    <col min="4" max="4" width="17.875" customWidth="1"/>
    <col min="5" max="5" width="14.5" customWidth="1"/>
    <col min="6" max="6" width="18.5" customWidth="1"/>
    <col min="7" max="8" width="18.5" style="38" customWidth="1"/>
    <col min="9" max="9" width="10.625" style="38" customWidth="1"/>
    <col min="10" max="10" width="15.875" style="38" customWidth="1"/>
    <col min="11" max="11" width="21.625" style="38" customWidth="1"/>
    <col min="12" max="12" width="9" style="38"/>
    <col min="13" max="13" width="16.125" style="38" customWidth="1"/>
    <col min="14" max="14" width="12.5" style="38" bestFit="1" customWidth="1"/>
    <col min="15" max="15" width="18.125" style="38" bestFit="1" customWidth="1"/>
    <col min="16" max="16" width="9" style="49"/>
  </cols>
  <sheetData>
    <row r="1" spans="1:15" x14ac:dyDescent="0.25">
      <c r="A1" t="s">
        <v>31</v>
      </c>
      <c r="C1" t="s">
        <v>32</v>
      </c>
    </row>
    <row r="2" spans="1:15" x14ac:dyDescent="0.25">
      <c r="A2" t="s">
        <v>0</v>
      </c>
      <c r="C2" t="s">
        <v>33</v>
      </c>
    </row>
    <row r="3" spans="1:15" x14ac:dyDescent="0.25">
      <c r="A3" s="53" t="s">
        <v>1</v>
      </c>
      <c r="B3" s="53"/>
      <c r="C3" s="53"/>
      <c r="D3" s="53"/>
      <c r="E3" s="53"/>
      <c r="F3" s="53"/>
      <c r="G3" s="39"/>
      <c r="H3" s="39"/>
      <c r="I3" s="39"/>
      <c r="J3" s="39"/>
      <c r="K3" s="39"/>
      <c r="L3" s="39"/>
    </row>
    <row r="5" spans="1:15" x14ac:dyDescent="0.25">
      <c r="B5" t="s">
        <v>2</v>
      </c>
      <c r="D5" s="4" t="s">
        <v>3</v>
      </c>
      <c r="E5" s="1" t="s">
        <v>29</v>
      </c>
      <c r="F5" s="18">
        <v>2025</v>
      </c>
      <c r="G5" s="40"/>
      <c r="H5" s="40">
        <v>5571</v>
      </c>
      <c r="I5" s="40"/>
      <c r="J5" s="40"/>
      <c r="K5" s="40"/>
      <c r="L5" s="40"/>
    </row>
    <row r="7" spans="1:15" x14ac:dyDescent="0.25">
      <c r="A7" s="54" t="s">
        <v>4</v>
      </c>
      <c r="B7" s="54"/>
      <c r="C7" s="48" t="s">
        <v>17</v>
      </c>
      <c r="D7" s="48" t="s">
        <v>18</v>
      </c>
      <c r="E7" s="48" t="s">
        <v>20</v>
      </c>
      <c r="F7" s="48" t="s">
        <v>19</v>
      </c>
      <c r="G7" s="41"/>
      <c r="H7" s="41"/>
      <c r="I7" s="41"/>
      <c r="J7" s="41"/>
      <c r="K7" s="41"/>
      <c r="L7" s="41"/>
    </row>
    <row r="8" spans="1:15" x14ac:dyDescent="0.25">
      <c r="A8" s="21" t="s">
        <v>5</v>
      </c>
      <c r="B8" s="22"/>
      <c r="C8" s="30">
        <f>D8+E8</f>
        <v>74647</v>
      </c>
      <c r="D8" s="23">
        <v>73196</v>
      </c>
      <c r="E8" s="20">
        <v>1451</v>
      </c>
      <c r="F8" s="23">
        <v>100</v>
      </c>
      <c r="G8" s="50">
        <v>74611</v>
      </c>
      <c r="H8" s="50">
        <f>G8-D8</f>
        <v>1415</v>
      </c>
      <c r="I8" s="42">
        <v>2039</v>
      </c>
      <c r="J8" s="43">
        <f t="shared" ref="J8:J22" si="0">D8*I8</f>
        <v>149246644</v>
      </c>
      <c r="K8" s="43">
        <f>E8*I8</f>
        <v>2958589</v>
      </c>
      <c r="L8" s="43"/>
    </row>
    <row r="9" spans="1:15" x14ac:dyDescent="0.25">
      <c r="A9" s="2" t="s">
        <v>6</v>
      </c>
      <c r="B9" s="3"/>
      <c r="C9" s="31">
        <f>D9+E9</f>
        <v>85111</v>
      </c>
      <c r="D9" s="9">
        <v>83561</v>
      </c>
      <c r="E9" s="20">
        <v>1550</v>
      </c>
      <c r="F9" s="9">
        <v>260</v>
      </c>
      <c r="G9" s="50">
        <v>88830</v>
      </c>
      <c r="H9" s="50">
        <f t="shared" ref="H9:H22" si="1">G9-D9</f>
        <v>5269</v>
      </c>
      <c r="I9" s="42">
        <v>2039</v>
      </c>
      <c r="J9" s="43">
        <f t="shared" si="0"/>
        <v>170380879</v>
      </c>
      <c r="K9" s="43">
        <f t="shared" ref="K9:K23" si="2">E9*I9</f>
        <v>3160450</v>
      </c>
      <c r="L9" s="43"/>
    </row>
    <row r="10" spans="1:15" x14ac:dyDescent="0.25">
      <c r="A10" s="24" t="s">
        <v>7</v>
      </c>
      <c r="B10" s="25"/>
      <c r="C10" s="32">
        <f>D10+E10</f>
        <v>101063</v>
      </c>
      <c r="D10" s="26">
        <v>99966</v>
      </c>
      <c r="E10" s="20">
        <v>1097</v>
      </c>
      <c r="F10" s="26">
        <v>153</v>
      </c>
      <c r="G10" s="50">
        <v>97380</v>
      </c>
      <c r="H10" s="50">
        <f t="shared" si="1"/>
        <v>-2586</v>
      </c>
      <c r="I10" s="42">
        <v>2039</v>
      </c>
      <c r="J10" s="43">
        <f t="shared" si="0"/>
        <v>203830674</v>
      </c>
      <c r="K10" s="43">
        <f t="shared" si="2"/>
        <v>2236783</v>
      </c>
      <c r="L10" s="43"/>
    </row>
    <row r="11" spans="1:15" x14ac:dyDescent="0.25">
      <c r="A11" s="13" t="s">
        <v>21</v>
      </c>
      <c r="B11" s="14"/>
      <c r="C11" s="33">
        <f>SUM(C8:C10)</f>
        <v>260821</v>
      </c>
      <c r="D11" s="15">
        <f>SUM(D8:D10)</f>
        <v>256723</v>
      </c>
      <c r="E11" s="28">
        <f>SUM(E8:E10)</f>
        <v>4098</v>
      </c>
      <c r="F11" s="15">
        <f>SUM(F8:F10)</f>
        <v>513</v>
      </c>
      <c r="G11" s="46"/>
      <c r="H11" s="46"/>
      <c r="I11" s="42"/>
      <c r="J11" s="43">
        <f t="shared" si="0"/>
        <v>0</v>
      </c>
      <c r="K11" s="43">
        <f t="shared" si="2"/>
        <v>0</v>
      </c>
      <c r="L11" s="43"/>
    </row>
    <row r="12" spans="1:15" x14ac:dyDescent="0.25">
      <c r="A12" s="7" t="s">
        <v>8</v>
      </c>
      <c r="B12" s="8"/>
      <c r="C12" s="34">
        <f>D12+E12</f>
        <v>98408</v>
      </c>
      <c r="D12" s="11">
        <v>96279</v>
      </c>
      <c r="E12" s="20">
        <v>2129</v>
      </c>
      <c r="F12" s="11">
        <v>109</v>
      </c>
      <c r="G12" s="50">
        <v>101850</v>
      </c>
      <c r="H12" s="50">
        <f t="shared" si="1"/>
        <v>5571</v>
      </c>
      <c r="I12" s="42">
        <v>2039</v>
      </c>
      <c r="J12" s="43">
        <f t="shared" si="0"/>
        <v>196312881</v>
      </c>
      <c r="K12" s="43">
        <f t="shared" si="2"/>
        <v>4341031</v>
      </c>
      <c r="L12" s="43"/>
    </row>
    <row r="13" spans="1:15" x14ac:dyDescent="0.25">
      <c r="A13" s="2" t="s">
        <v>9</v>
      </c>
      <c r="B13" s="3"/>
      <c r="C13" s="34">
        <f t="shared" ref="C13:C14" si="3">D13+E13</f>
        <v>90554</v>
      </c>
      <c r="D13" s="9">
        <f>89116-4</f>
        <v>89112</v>
      </c>
      <c r="E13" s="20">
        <v>1442</v>
      </c>
      <c r="F13" s="9">
        <v>117</v>
      </c>
      <c r="G13" s="50">
        <v>86670</v>
      </c>
      <c r="H13" s="50">
        <f t="shared" si="1"/>
        <v>-2442</v>
      </c>
      <c r="I13" s="42">
        <v>2039</v>
      </c>
      <c r="J13" s="43">
        <f t="shared" si="0"/>
        <v>181699368</v>
      </c>
      <c r="K13" s="43">
        <f t="shared" si="2"/>
        <v>2940238</v>
      </c>
      <c r="L13" s="43"/>
    </row>
    <row r="14" spans="1:15" x14ac:dyDescent="0.25">
      <c r="A14" s="5" t="s">
        <v>10</v>
      </c>
      <c r="B14" s="6"/>
      <c r="C14" s="34">
        <f t="shared" si="3"/>
        <v>72088</v>
      </c>
      <c r="D14" s="10">
        <v>70906</v>
      </c>
      <c r="E14" s="20">
        <v>1182</v>
      </c>
      <c r="F14" s="10">
        <v>102</v>
      </c>
      <c r="G14" s="50">
        <v>75530</v>
      </c>
      <c r="H14" s="50">
        <f t="shared" si="1"/>
        <v>4624</v>
      </c>
      <c r="I14" s="42">
        <v>2039</v>
      </c>
      <c r="J14" s="43">
        <f t="shared" si="0"/>
        <v>144577334</v>
      </c>
      <c r="K14" s="43">
        <f t="shared" si="2"/>
        <v>2410098</v>
      </c>
      <c r="L14" s="43"/>
      <c r="M14" s="44">
        <f>J8+J9+J10+J12+J13</f>
        <v>901470446</v>
      </c>
      <c r="N14" s="45">
        <f>M14*8%</f>
        <v>72117635.680000007</v>
      </c>
      <c r="O14" s="45">
        <f>M14+N14</f>
        <v>973588081.68000007</v>
      </c>
    </row>
    <row r="15" spans="1:15" x14ac:dyDescent="0.25">
      <c r="A15" s="13" t="s">
        <v>22</v>
      </c>
      <c r="B15" s="14"/>
      <c r="C15" s="33">
        <f>SUM(C12:C14)</f>
        <v>261050</v>
      </c>
      <c r="D15" s="15">
        <f>SUM(D12:D14)</f>
        <v>256297</v>
      </c>
      <c r="E15" s="27">
        <f>SUM(E12:E14)</f>
        <v>4753</v>
      </c>
      <c r="F15" s="15">
        <f>SUM(F12:F14)</f>
        <v>328</v>
      </c>
      <c r="G15" s="46"/>
      <c r="H15" s="46"/>
      <c r="I15" s="42"/>
      <c r="J15" s="43">
        <f t="shared" si="0"/>
        <v>0</v>
      </c>
      <c r="K15" s="43">
        <f t="shared" si="2"/>
        <v>0</v>
      </c>
      <c r="L15" s="43"/>
      <c r="M15" s="44">
        <f>J14+J16+J17+J18+J20+J21+J22</f>
        <v>1105215482</v>
      </c>
      <c r="N15" s="45">
        <f>M15*8%</f>
        <v>88417238.560000002</v>
      </c>
      <c r="O15" s="45">
        <f>M15+N15</f>
        <v>1193632720.5599999</v>
      </c>
    </row>
    <row r="16" spans="1:15" x14ac:dyDescent="0.25">
      <c r="A16" s="7" t="s">
        <v>11</v>
      </c>
      <c r="B16" s="8"/>
      <c r="C16" s="34">
        <f>+D16+E16</f>
        <v>86392</v>
      </c>
      <c r="D16" s="11">
        <v>85341</v>
      </c>
      <c r="E16" s="20">
        <v>1051</v>
      </c>
      <c r="F16" s="11">
        <v>115</v>
      </c>
      <c r="G16" s="50">
        <v>82690</v>
      </c>
      <c r="H16" s="50">
        <f t="shared" si="1"/>
        <v>-2651</v>
      </c>
      <c r="I16" s="42">
        <v>2039</v>
      </c>
      <c r="J16" s="43">
        <f t="shared" si="0"/>
        <v>174010299</v>
      </c>
      <c r="K16" s="43">
        <f t="shared" si="2"/>
        <v>2142989</v>
      </c>
      <c r="L16" s="43"/>
      <c r="N16" s="38" t="s">
        <v>34</v>
      </c>
      <c r="O16" s="45">
        <f>SUM(O14:O15)</f>
        <v>2167220802.2399998</v>
      </c>
    </row>
    <row r="17" spans="1:15" x14ac:dyDescent="0.25">
      <c r="A17" s="2" t="s">
        <v>12</v>
      </c>
      <c r="B17" s="3"/>
      <c r="C17" s="31">
        <f t="shared" ref="C17:C18" si="4">+D17+E17</f>
        <v>87032</v>
      </c>
      <c r="D17" s="9">
        <v>85999</v>
      </c>
      <c r="E17" s="20">
        <v>1033</v>
      </c>
      <c r="F17" s="9">
        <v>118</v>
      </c>
      <c r="G17" s="50">
        <v>89850</v>
      </c>
      <c r="H17" s="50">
        <f t="shared" si="1"/>
        <v>3851</v>
      </c>
      <c r="I17" s="42">
        <v>2039</v>
      </c>
      <c r="J17" s="43">
        <f t="shared" si="0"/>
        <v>175351961</v>
      </c>
      <c r="K17" s="43">
        <f t="shared" si="2"/>
        <v>2106287</v>
      </c>
      <c r="L17" s="43"/>
    </row>
    <row r="18" spans="1:15" x14ac:dyDescent="0.25">
      <c r="A18" s="35" t="s">
        <v>13</v>
      </c>
      <c r="B18" s="36"/>
      <c r="C18" s="34">
        <f t="shared" si="4"/>
        <v>79476</v>
      </c>
      <c r="D18" s="11">
        <v>78718</v>
      </c>
      <c r="E18" s="20">
        <v>758</v>
      </c>
      <c r="F18" s="10">
        <v>137</v>
      </c>
      <c r="G18" s="50">
        <v>77360</v>
      </c>
      <c r="H18" s="50">
        <f t="shared" si="1"/>
        <v>-1358</v>
      </c>
      <c r="I18" s="42">
        <v>2039</v>
      </c>
      <c r="J18" s="43">
        <f t="shared" si="0"/>
        <v>160506002</v>
      </c>
      <c r="K18" s="43">
        <f t="shared" si="2"/>
        <v>1545562</v>
      </c>
      <c r="L18" s="43"/>
      <c r="O18" s="47"/>
    </row>
    <row r="19" spans="1:15" x14ac:dyDescent="0.25">
      <c r="A19" s="13" t="s">
        <v>23</v>
      </c>
      <c r="B19" s="14"/>
      <c r="C19" s="33">
        <f>SUM(C16:C18)</f>
        <v>252900</v>
      </c>
      <c r="D19" s="15">
        <f>SUM(D16:D18)</f>
        <v>250058</v>
      </c>
      <c r="E19" s="27">
        <f>SUM(E16:E18)</f>
        <v>2842</v>
      </c>
      <c r="F19" s="15">
        <f>SUM(F16:F18)</f>
        <v>370</v>
      </c>
      <c r="G19" s="46"/>
      <c r="H19" s="46"/>
      <c r="I19" s="42"/>
      <c r="J19" s="43">
        <f t="shared" si="0"/>
        <v>0</v>
      </c>
      <c r="K19" s="43">
        <f t="shared" si="2"/>
        <v>0</v>
      </c>
      <c r="L19" s="43"/>
      <c r="O19" s="47"/>
    </row>
    <row r="20" spans="1:15" x14ac:dyDescent="0.25">
      <c r="A20" s="7" t="s">
        <v>14</v>
      </c>
      <c r="B20" s="8"/>
      <c r="C20" s="34">
        <f>D20+E20</f>
        <v>77840</v>
      </c>
      <c r="D20" s="9">
        <v>76855</v>
      </c>
      <c r="E20" s="20">
        <v>985</v>
      </c>
      <c r="F20" s="11">
        <v>122</v>
      </c>
      <c r="G20" s="50">
        <v>77840</v>
      </c>
      <c r="H20" s="50">
        <f t="shared" si="1"/>
        <v>985</v>
      </c>
      <c r="I20" s="42">
        <v>2039</v>
      </c>
      <c r="J20" s="43">
        <f t="shared" si="0"/>
        <v>156707345</v>
      </c>
      <c r="K20" s="43">
        <f t="shared" si="2"/>
        <v>2008415</v>
      </c>
      <c r="L20" s="43"/>
      <c r="O20" s="47"/>
    </row>
    <row r="21" spans="1:15" x14ac:dyDescent="0.25">
      <c r="A21" s="2" t="s">
        <v>15</v>
      </c>
      <c r="B21" s="3"/>
      <c r="C21" s="34">
        <f t="shared" ref="C21:C22" si="5">+D21+E21</f>
        <v>69910</v>
      </c>
      <c r="D21" s="9">
        <v>68811</v>
      </c>
      <c r="E21" s="20">
        <v>1099</v>
      </c>
      <c r="F21" s="9">
        <v>115</v>
      </c>
      <c r="G21" s="50">
        <v>69910</v>
      </c>
      <c r="H21" s="50">
        <f t="shared" si="1"/>
        <v>1099</v>
      </c>
      <c r="I21" s="42">
        <v>2039</v>
      </c>
      <c r="J21" s="43">
        <f t="shared" si="0"/>
        <v>140305629</v>
      </c>
      <c r="K21" s="43">
        <f t="shared" si="2"/>
        <v>2240861</v>
      </c>
      <c r="L21" s="43"/>
    </row>
    <row r="22" spans="1:15" x14ac:dyDescent="0.25">
      <c r="A22" s="5" t="s">
        <v>16</v>
      </c>
      <c r="B22" s="6"/>
      <c r="C22" s="34">
        <f t="shared" si="5"/>
        <v>76780</v>
      </c>
      <c r="D22" s="10">
        <v>75408</v>
      </c>
      <c r="E22" s="20">
        <v>1372</v>
      </c>
      <c r="F22" s="10">
        <v>118</v>
      </c>
      <c r="G22" s="50">
        <v>76780</v>
      </c>
      <c r="H22" s="50">
        <f t="shared" si="1"/>
        <v>1372</v>
      </c>
      <c r="I22" s="42">
        <v>2039</v>
      </c>
      <c r="J22" s="43">
        <f t="shared" si="0"/>
        <v>153756912</v>
      </c>
      <c r="K22" s="43">
        <f t="shared" si="2"/>
        <v>2797508</v>
      </c>
      <c r="L22" s="43"/>
    </row>
    <row r="23" spans="1:15" x14ac:dyDescent="0.25">
      <c r="A23" s="13" t="s">
        <v>24</v>
      </c>
      <c r="B23" s="14"/>
      <c r="C23" s="33">
        <f>SUM(C20:C22)</f>
        <v>224530</v>
      </c>
      <c r="D23" s="15">
        <f>SUM(D20:D22)</f>
        <v>221074</v>
      </c>
      <c r="E23" s="19">
        <f>SUM(E20:E22)</f>
        <v>3456</v>
      </c>
      <c r="F23" s="15">
        <f>SUM(F20:F22)</f>
        <v>355</v>
      </c>
      <c r="G23" s="46"/>
      <c r="H23" s="46"/>
      <c r="I23" s="46"/>
      <c r="J23" s="43">
        <f t="shared" ref="J23" si="6">C23*I23</f>
        <v>0</v>
      </c>
      <c r="K23" s="43">
        <f t="shared" si="2"/>
        <v>0</v>
      </c>
      <c r="L23" s="43"/>
    </row>
    <row r="24" spans="1:15" x14ac:dyDescent="0.25">
      <c r="A24" s="51" t="s">
        <v>35</v>
      </c>
      <c r="B24" s="52"/>
      <c r="C24" s="37">
        <f>C11+C15+C19+C23</f>
        <v>999301</v>
      </c>
      <c r="D24" s="37">
        <f>D11+D15+D19+D23</f>
        <v>984152</v>
      </c>
      <c r="E24" s="37">
        <f>E11+E15+E19+E23</f>
        <v>15149</v>
      </c>
      <c r="F24" s="37">
        <f>F11+F15+F19+F23</f>
        <v>1566</v>
      </c>
      <c r="G24" s="50">
        <f>SUM(G8:G23)</f>
        <v>999301</v>
      </c>
      <c r="H24" s="50">
        <f>SUM(H8:H23)</f>
        <v>15149</v>
      </c>
      <c r="I24" s="47"/>
      <c r="J24" s="44">
        <f>SUM(J8:J23)</f>
        <v>2006685928</v>
      </c>
      <c r="K24" s="44">
        <f>SUM(K8:K23)</f>
        <v>30888811</v>
      </c>
      <c r="L24" s="44"/>
    </row>
    <row r="25" spans="1:15" x14ac:dyDescent="0.25">
      <c r="A25" s="12" t="s">
        <v>25</v>
      </c>
      <c r="C25" s="16" t="s">
        <v>26</v>
      </c>
    </row>
    <row r="26" spans="1:15" x14ac:dyDescent="0.25">
      <c r="C26" s="16" t="s">
        <v>30</v>
      </c>
      <c r="I26" s="38">
        <v>5571</v>
      </c>
    </row>
    <row r="27" spans="1:15" x14ac:dyDescent="0.25">
      <c r="C27" s="16" t="s">
        <v>27</v>
      </c>
      <c r="H27" s="47">
        <f>H24*I20</f>
        <v>30888811</v>
      </c>
    </row>
    <row r="28" spans="1:15" x14ac:dyDescent="0.25">
      <c r="C28" s="17" t="s">
        <v>28</v>
      </c>
    </row>
    <row r="31" spans="1:15" x14ac:dyDescent="0.25">
      <c r="D31" s="29"/>
    </row>
    <row r="32" spans="1:15" x14ac:dyDescent="0.25">
      <c r="D32" s="29"/>
    </row>
    <row r="33" spans="4:4" x14ac:dyDescent="0.25">
      <c r="D33" s="29"/>
    </row>
    <row r="34" spans="4:4" x14ac:dyDescent="0.25">
      <c r="D34" s="29"/>
    </row>
    <row r="35" spans="4:4" x14ac:dyDescent="0.25">
      <c r="D35" s="29"/>
    </row>
  </sheetData>
  <mergeCells count="2">
    <mergeCell ref="A3:F3"/>
    <mergeCell ref="A7:B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SLHH  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CHIENTHUAT</cp:lastModifiedBy>
  <dcterms:created xsi:type="dcterms:W3CDTF">2016-04-11T03:39:34Z</dcterms:created>
  <dcterms:modified xsi:type="dcterms:W3CDTF">2026-03-09T07:53:04Z</dcterms:modified>
</cp:coreProperties>
</file>