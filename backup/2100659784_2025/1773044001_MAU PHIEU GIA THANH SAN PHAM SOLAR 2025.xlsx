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N MINH\2025\"/>
    </mc:Choice>
  </mc:AlternateContent>
  <bookViews>
    <workbookView xWindow="20370" yWindow="-120" windowWidth="20730" windowHeight="11760" activeTab="4"/>
  </bookViews>
  <sheets>
    <sheet name="bao cao 2025" sheetId="3" r:id="rId1"/>
    <sheet name="GT Q1" sheetId="1" r:id="rId2"/>
    <sheet name="GT Q2" sheetId="5" r:id="rId3"/>
    <sheet name="GT Q3" sheetId="6" r:id="rId4"/>
    <sheet name="GT Q4" sheetId="7" r:id="rId5"/>
  </sheets>
  <calcPr calcId="162913"/>
</workbook>
</file>

<file path=xl/calcChain.xml><?xml version="1.0" encoding="utf-8"?>
<calcChain xmlns="http://schemas.openxmlformats.org/spreadsheetml/2006/main">
  <c r="C24" i="7" l="1"/>
  <c r="C24" i="6"/>
  <c r="C24" i="5"/>
  <c r="C24" i="1"/>
  <c r="C22" i="3"/>
  <c r="C21" i="3"/>
  <c r="C20" i="3"/>
  <c r="C18" i="3"/>
  <c r="C17" i="3"/>
  <c r="C16" i="3"/>
  <c r="C13" i="3"/>
  <c r="C14" i="3"/>
  <c r="C12" i="3"/>
  <c r="C9" i="3"/>
  <c r="C10" i="3"/>
  <c r="C8" i="3"/>
  <c r="C11" i="3" l="1"/>
  <c r="D23" i="3"/>
  <c r="E23" i="3"/>
  <c r="F23" i="3"/>
  <c r="D19" i="3"/>
  <c r="E19" i="3"/>
  <c r="F19" i="3"/>
  <c r="D15" i="3"/>
  <c r="E15" i="3"/>
  <c r="F15" i="3"/>
  <c r="D11" i="3"/>
  <c r="E11" i="3"/>
  <c r="F11" i="3"/>
  <c r="C23" i="3" l="1"/>
  <c r="C15" i="3"/>
  <c r="C19" i="3"/>
  <c r="F24" i="3"/>
  <c r="E24" i="3"/>
  <c r="D24" i="3"/>
  <c r="C24" i="3" l="1"/>
  <c r="G19" i="7"/>
  <c r="G24" i="7"/>
  <c r="E24" i="7"/>
  <c r="E24" i="6"/>
  <c r="E24" i="5"/>
  <c r="E24" i="1"/>
  <c r="E10" i="7" l="1"/>
  <c r="F24" i="7" s="1"/>
  <c r="G23" i="3" s="1"/>
  <c r="E10" i="6"/>
  <c r="F24" i="6" s="1"/>
  <c r="G19" i="3" s="1"/>
  <c r="E10" i="5"/>
  <c r="F24" i="5" s="1"/>
  <c r="G15" i="3" s="1"/>
  <c r="E10" i="1" l="1"/>
  <c r="F24" i="1" s="1"/>
  <c r="G11" i="3" s="1"/>
</calcChain>
</file>

<file path=xl/sharedStrings.xml><?xml version="1.0" encoding="utf-8"?>
<sst xmlns="http://schemas.openxmlformats.org/spreadsheetml/2006/main" count="161" uniqueCount="66">
  <si>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</si>
  <si>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</si>
  <si>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</si>
  <si>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</si>
  <si>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</si>
  <si>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Tháng 12/2015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</si>
  <si>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</si>
  <si>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</si>
  <si>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</si>
  <si>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</si>
  <si>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</si>
  <si>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</si>
  <si>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</si>
  <si>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</si>
  <si>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</si>
  <si>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</si>
  <si>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</si>
  <si>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</si>
  <si>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</si>
  <si>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</si>
  <si>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</si>
  <si>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</si>
  <si>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</si>
  <si>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</si>
  <si>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</si>
  <si>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</si>
  <si>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</si>
  <si>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</si>
  <si>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</si>
  <si>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</si>
  <si>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</si>
  <si>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</si>
  <si>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</si>
  <si>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</si>
  <si>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</si>
  <si>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</si>
  <si>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</si>
  <si>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</si>
  <si>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</si>
  <si>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</si>
  <si>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</si>
  <si>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</si>
  <si>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</si>
  <si>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</si>
  <si>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</si>
  <si>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</si>
  <si>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</si>
  <si>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</si>
  <si>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</si>
  <si>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</si>
  <si>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</si>
  <si>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</si>
  <si>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</si>
  <si>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</si>
  <si>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</si>
  <si>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</si>
  <si>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Tên doanh nghiệp:</t>
  </si>
  <si>
    <t>Cộng ty TNHH TM Sun Minh</t>
  </si>
  <si>
    <t>Ấp An Trại, Xã An Phú Tâ, Huyện Cầu Kè, Tỉnh Trà Vinh</t>
  </si>
  <si>
    <t>Tên DN:</t>
  </si>
  <si>
    <t>Công ty TNHH TM Sun Minh</t>
  </si>
  <si>
    <t>Ấp An Trại, Xã An Phú Tâ, Huyện Cầu Kè, Trà Vinh</t>
  </si>
  <si>
    <t>TỔNG</t>
  </si>
  <si>
    <t>Giá thành</t>
  </si>
  <si>
    <t>Năm 2025</t>
  </si>
  <si>
    <t>chi phí KH trại gà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</si>
</sst>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0" fillId="0" borderId="0" xfId="0" applyFont="1"/>
    <xf numFmtId="0" fontId="10" fillId="0" borderId="0" xfId="0" applyFont="1" applyFill="1" applyBorder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3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0" fontId="9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3" fontId="0" fillId="0" borderId="2" xfId="0" applyNumberFormat="1" applyBorder="1"/>
    <xf numFmtId="3" fontId="0" fillId="0" borderId="11" xfId="0" applyNumberFormat="1" applyBorder="1"/>
    <xf numFmtId="3" fontId="0" fillId="0" borderId="8" xfId="0" applyNumberFormat="1" applyBorder="1" applyAlignment="1"/>
    <xf numFmtId="3" fontId="0" fillId="0" borderId="2" xfId="0" applyNumberFormat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3" fontId="9" fillId="0" borderId="1" xfId="0" applyNumberFormat="1" applyFont="1" applyBorder="1"/>
    <xf numFmtId="0" fontId="0" fillId="0" borderId="1" xfId="0" applyBorder="1"/>
    <xf numFmtId="3" fontId="9" fillId="2" borderId="10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8"/>
  <sheetViews>
    <sheetView topLeftCell="A12" workbookViewId="0">
      <selection activeCell="L24" sqref="K24:L24"/>
    </sheetView>
  </sheetViews>
  <sheetFormatPr defaultRowHeight="15.75" x14ac:dyDescent="0.25"/>
  <cols>
    <col min="1" max="1" width="15.375" customWidth="1"/>
    <col min="2" max="2" width="4.5" customWidth="1"/>
    <col min="3" max="5" width="15.625" customWidth="1"/>
    <col min="6" max="6" width="17.875" customWidth="1"/>
    <col min="7" max="7" width="10.125" customWidth="1"/>
  </cols>
  <sheetData>
    <row r="1" spans="1:7" ht="21.95" customHeight="1" x14ac:dyDescent="0.25">
      <c r="A1" t="s">
        <v>56</v>
      </c>
      <c r="C1" t="s">
        <v>57</v>
      </c>
    </row>
    <row r="2" spans="1:7" ht="21.95" customHeight="1" x14ac:dyDescent="0.25">
      <c r="A2" t="s">
        <v>22</v>
      </c>
      <c r="C2" t="s">
        <v>58</v>
      </c>
    </row>
    <row r="3" spans="1:7" ht="21.95" customHeight="1" x14ac:dyDescent="0.25">
      <c r="A3" s="67" t="s">
        <v>23</v>
      </c>
      <c r="B3" s="67"/>
      <c r="C3" s="67"/>
      <c r="D3" s="67"/>
      <c r="E3" s="67"/>
    </row>
    <row r="4" spans="1:7" ht="21.95" customHeight="1" x14ac:dyDescent="0.25"/>
    <row r="5" spans="1:7" ht="21.95" customHeight="1" x14ac:dyDescent="0.25">
      <c r="B5" t="s">
        <v>24</v>
      </c>
      <c r="D5" s="30" t="s">
        <v>25</v>
      </c>
      <c r="E5" s="27" t="s">
        <v>64</v>
      </c>
    </row>
    <row r="6" spans="1:7" ht="21.95" customHeight="1" x14ac:dyDescent="0.25"/>
    <row r="7" spans="1:7" ht="21.95" customHeight="1" x14ac:dyDescent="0.25">
      <c r="A7" s="66" t="s">
        <v>26</v>
      </c>
      <c r="B7" s="66"/>
      <c r="C7" s="35" t="s">
        <v>39</v>
      </c>
      <c r="D7" s="35" t="s">
        <v>40</v>
      </c>
      <c r="E7" s="35" t="s">
        <v>42</v>
      </c>
      <c r="F7" s="54" t="s">
        <v>41</v>
      </c>
      <c r="G7" s="41" t="s">
        <v>63</v>
      </c>
    </row>
    <row r="8" spans="1:7" ht="21.95" customHeight="1" x14ac:dyDescent="0.25">
      <c r="A8" s="42" t="s">
        <v>27</v>
      </c>
      <c r="B8" s="43"/>
      <c r="C8" s="61">
        <f>+D8+E8+F8</f>
        <v>74747</v>
      </c>
      <c r="D8" s="58">
        <v>73196</v>
      </c>
      <c r="E8" s="60">
        <v>1451</v>
      </c>
      <c r="F8" s="58">
        <v>100</v>
      </c>
      <c r="G8" s="41"/>
    </row>
    <row r="9" spans="1:7" ht="21.95" customHeight="1" x14ac:dyDescent="0.25">
      <c r="A9" s="28" t="s">
        <v>28</v>
      </c>
      <c r="B9" s="29"/>
      <c r="C9" s="61">
        <f t="shared" ref="C9:C10" si="0">+D9+E9+F9</f>
        <v>85371</v>
      </c>
      <c r="D9" s="55">
        <v>83561</v>
      </c>
      <c r="E9" s="60">
        <v>1550</v>
      </c>
      <c r="F9" s="55">
        <v>260</v>
      </c>
    </row>
    <row r="10" spans="1:7" ht="21.95" customHeight="1" x14ac:dyDescent="0.25">
      <c r="A10" s="44" t="s">
        <v>29</v>
      </c>
      <c r="B10" s="45"/>
      <c r="C10" s="61">
        <f t="shared" si="0"/>
        <v>101216</v>
      </c>
      <c r="D10" s="59">
        <v>99966</v>
      </c>
      <c r="E10" s="60">
        <v>1097</v>
      </c>
      <c r="F10" s="59">
        <v>153</v>
      </c>
    </row>
    <row r="11" spans="1:7" ht="21.95" customHeight="1" x14ac:dyDescent="0.25">
      <c r="A11" s="37" t="s">
        <v>43</v>
      </c>
      <c r="B11" s="38"/>
      <c r="C11" s="62">
        <f>SUM(C8:C10)</f>
        <v>261334</v>
      </c>
      <c r="D11" s="62">
        <f t="shared" ref="D11:F11" si="1">SUM(D8:D10)</f>
        <v>256723</v>
      </c>
      <c r="E11" s="62">
        <f t="shared" si="1"/>
        <v>4098</v>
      </c>
      <c r="F11" s="62">
        <f t="shared" si="1"/>
        <v>513</v>
      </c>
      <c r="G11" s="65">
        <f>+'GT Q1'!F24</f>
        <v>751.78630794309197</v>
      </c>
    </row>
    <row r="12" spans="1:7" ht="21.95" customHeight="1" x14ac:dyDescent="0.25">
      <c r="A12" s="33" t="s">
        <v>30</v>
      </c>
      <c r="B12" s="34"/>
      <c r="C12" s="61">
        <f>+D12+E12+F12</f>
        <v>98517</v>
      </c>
      <c r="D12" s="57">
        <v>96279</v>
      </c>
      <c r="E12" s="60">
        <v>2129</v>
      </c>
      <c r="F12" s="57">
        <v>109</v>
      </c>
    </row>
    <row r="13" spans="1:7" ht="21.95" customHeight="1" x14ac:dyDescent="0.25">
      <c r="A13" s="28" t="s">
        <v>31</v>
      </c>
      <c r="B13" s="29"/>
      <c r="C13" s="61">
        <f t="shared" ref="C13:C14" si="2">+D13+E13+F13</f>
        <v>90671</v>
      </c>
      <c r="D13" s="55">
        <v>89112</v>
      </c>
      <c r="E13" s="60">
        <v>1442</v>
      </c>
      <c r="F13" s="55">
        <v>117</v>
      </c>
    </row>
    <row r="14" spans="1:7" ht="21.95" customHeight="1" x14ac:dyDescent="0.25">
      <c r="A14" s="31" t="s">
        <v>32</v>
      </c>
      <c r="B14" s="32"/>
      <c r="C14" s="61">
        <f t="shared" si="2"/>
        <v>72190</v>
      </c>
      <c r="D14" s="56">
        <v>70906</v>
      </c>
      <c r="E14" s="60">
        <v>1182</v>
      </c>
      <c r="F14" s="56">
        <v>102</v>
      </c>
    </row>
    <row r="15" spans="1:7" ht="21.95" customHeight="1" x14ac:dyDescent="0.25">
      <c r="A15" s="37" t="s">
        <v>44</v>
      </c>
      <c r="B15" s="38"/>
      <c r="C15" s="62">
        <f>SUM(C12:C14)</f>
        <v>261378</v>
      </c>
      <c r="D15" s="62">
        <f t="shared" ref="D15:F15" si="3">SUM(D12:D14)</f>
        <v>256297</v>
      </c>
      <c r="E15" s="62">
        <f t="shared" si="3"/>
        <v>4753</v>
      </c>
      <c r="F15" s="62">
        <f t="shared" si="3"/>
        <v>328</v>
      </c>
      <c r="G15" s="65">
        <f>+'GT Q2'!F24</f>
        <v>724.15595038603101</v>
      </c>
    </row>
    <row r="16" spans="1:7" ht="21.95" customHeight="1" x14ac:dyDescent="0.25">
      <c r="A16" s="33" t="s">
        <v>33</v>
      </c>
      <c r="B16" s="34"/>
      <c r="C16" s="61">
        <f>+D16+E16+F16</f>
        <v>86507</v>
      </c>
      <c r="D16" s="57">
        <v>85341</v>
      </c>
      <c r="E16" s="60">
        <v>1051</v>
      </c>
      <c r="F16" s="57">
        <v>115</v>
      </c>
    </row>
    <row r="17" spans="1:7" ht="21.95" customHeight="1" x14ac:dyDescent="0.25">
      <c r="A17" s="28" t="s">
        <v>34</v>
      </c>
      <c r="B17" s="29"/>
      <c r="C17" s="61">
        <f t="shared" ref="C17:C18" si="4">+D17+E17+F17</f>
        <v>87150</v>
      </c>
      <c r="D17" s="55">
        <v>85999</v>
      </c>
      <c r="E17" s="60">
        <v>1033</v>
      </c>
      <c r="F17" s="55">
        <v>118</v>
      </c>
    </row>
    <row r="18" spans="1:7" ht="21.95" customHeight="1" x14ac:dyDescent="0.25">
      <c r="A18" s="47" t="s">
        <v>35</v>
      </c>
      <c r="B18" s="48"/>
      <c r="C18" s="61">
        <f t="shared" si="4"/>
        <v>79613</v>
      </c>
      <c r="D18" s="57">
        <v>78718</v>
      </c>
      <c r="E18" s="60">
        <v>758</v>
      </c>
      <c r="F18" s="56">
        <v>137</v>
      </c>
    </row>
    <row r="19" spans="1:7" ht="21.95" customHeight="1" x14ac:dyDescent="0.25">
      <c r="A19" s="37" t="s">
        <v>45</v>
      </c>
      <c r="B19" s="38"/>
      <c r="C19" s="62">
        <f>SUM(C16:C18)</f>
        <v>253270</v>
      </c>
      <c r="D19" s="62">
        <f t="shared" ref="D19:F19" si="5">SUM(D16:D18)</f>
        <v>250058</v>
      </c>
      <c r="E19" s="62">
        <f t="shared" si="5"/>
        <v>2842</v>
      </c>
      <c r="F19" s="62">
        <f t="shared" si="5"/>
        <v>370</v>
      </c>
      <c r="G19" s="65">
        <f>+'GT Q3'!F24</f>
        <v>679.82166857503853</v>
      </c>
    </row>
    <row r="20" spans="1:7" ht="21.95" customHeight="1" x14ac:dyDescent="0.25">
      <c r="A20" s="33" t="s">
        <v>36</v>
      </c>
      <c r="B20" s="34"/>
      <c r="C20" s="61">
        <f>+D20+E20+F20</f>
        <v>77962</v>
      </c>
      <c r="D20" s="55">
        <v>76855</v>
      </c>
      <c r="E20" s="60">
        <v>985</v>
      </c>
      <c r="F20" s="57">
        <v>122</v>
      </c>
    </row>
    <row r="21" spans="1:7" ht="21.95" customHeight="1" x14ac:dyDescent="0.25">
      <c r="A21" s="28" t="s">
        <v>37</v>
      </c>
      <c r="B21" s="29"/>
      <c r="C21" s="61">
        <f t="shared" ref="C21:C22" si="6">+D21+E21+F21</f>
        <v>70025</v>
      </c>
      <c r="D21" s="55">
        <v>68811</v>
      </c>
      <c r="E21" s="60">
        <v>1099</v>
      </c>
      <c r="F21" s="55">
        <v>115</v>
      </c>
    </row>
    <row r="22" spans="1:7" ht="21.95" customHeight="1" x14ac:dyDescent="0.25">
      <c r="A22" s="31" t="s">
        <v>38</v>
      </c>
      <c r="B22" s="32"/>
      <c r="C22" s="61">
        <f t="shared" si="6"/>
        <v>76898</v>
      </c>
      <c r="D22" s="56">
        <v>75408</v>
      </c>
      <c r="E22" s="60">
        <v>1372</v>
      </c>
      <c r="F22" s="56">
        <v>118</v>
      </c>
    </row>
    <row r="23" spans="1:7" ht="21.95" customHeight="1" x14ac:dyDescent="0.25">
      <c r="A23" s="37" t="s">
        <v>46</v>
      </c>
      <c r="B23" s="38"/>
      <c r="C23" s="62">
        <f>SUM(C20:C22)</f>
        <v>224885</v>
      </c>
      <c r="D23" s="62">
        <f t="shared" ref="D23:F23" si="7">SUM(D20:D22)</f>
        <v>221074</v>
      </c>
      <c r="E23" s="62">
        <f t="shared" si="7"/>
        <v>3456</v>
      </c>
      <c r="F23" s="62">
        <f t="shared" si="7"/>
        <v>355</v>
      </c>
      <c r="G23" s="65">
        <f>+'GT Q4'!F24</f>
        <v>781.91875847655467</v>
      </c>
    </row>
    <row r="24" spans="1:7" ht="21.95" customHeight="1" x14ac:dyDescent="0.25">
      <c r="A24" s="53" t="s">
        <v>62</v>
      </c>
      <c r="B24" s="64"/>
      <c r="C24" s="63">
        <f>+C11+C15+C19+C23</f>
        <v>1000867</v>
      </c>
      <c r="D24" s="63">
        <f t="shared" ref="D24:F24" si="8">+D11+D15+D19+D23</f>
        <v>984152</v>
      </c>
      <c r="E24" s="63">
        <f t="shared" si="8"/>
        <v>15149</v>
      </c>
      <c r="F24" s="63">
        <f t="shared" si="8"/>
        <v>1566</v>
      </c>
      <c r="G24" s="46"/>
    </row>
    <row r="25" spans="1:7" ht="21.95" customHeight="1" x14ac:dyDescent="0.25">
      <c r="A25" s="36" t="s">
        <v>47</v>
      </c>
      <c r="C25" s="39" t="s">
        <v>48</v>
      </c>
    </row>
    <row r="26" spans="1:7" ht="21.95" customHeight="1" x14ac:dyDescent="0.25">
      <c r="C26" s="39" t="s">
        <v>55</v>
      </c>
    </row>
    <row r="27" spans="1:7" ht="21.95" customHeight="1" x14ac:dyDescent="0.25">
      <c r="C27" s="39" t="s">
        <v>49</v>
      </c>
    </row>
    <row r="28" spans="1:7" ht="21.95" customHeight="1" x14ac:dyDescent="0.25">
      <c r="C28" s="40" t="s">
        <v>50</v>
      </c>
    </row>
  </sheetData>
  <mergeCells count="2">
    <mergeCell ref="A7:B7"/>
    <mergeCell ref="A3:E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3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t="s">
        <v>59</v>
      </c>
      <c r="B1" t="s">
        <v>60</v>
      </c>
      <c r="D1"/>
      <c r="E1" s="73" t="s">
        <v>1</v>
      </c>
      <c r="F1" s="73"/>
    </row>
    <row r="2" spans="1:6" ht="14.25" customHeight="1" x14ac:dyDescent="0.25">
      <c r="A2" t="s">
        <v>22</v>
      </c>
      <c r="B2" t="s">
        <v>61</v>
      </c>
      <c r="D2"/>
      <c r="E2" s="74" t="s">
        <v>2</v>
      </c>
      <c r="F2" s="74"/>
    </row>
    <row r="3" spans="1:6" ht="15.75" customHeight="1" x14ac:dyDescent="0.25">
      <c r="E3" s="74" t="s">
        <v>51</v>
      </c>
      <c r="F3" s="74"/>
    </row>
    <row r="4" spans="1:6" x14ac:dyDescent="0.25">
      <c r="E4" s="74" t="s">
        <v>3</v>
      </c>
      <c r="F4" s="74"/>
    </row>
    <row r="5" spans="1:6" x14ac:dyDescent="0.25">
      <c r="E5" s="2"/>
      <c r="F5" s="2"/>
    </row>
    <row r="6" spans="1:6" ht="18" x14ac:dyDescent="0.25">
      <c r="A6" s="75" t="s">
        <v>4</v>
      </c>
      <c r="B6" s="75"/>
      <c r="C6" s="75"/>
      <c r="D6" s="75"/>
      <c r="E6" s="75"/>
      <c r="F6" s="75"/>
    </row>
    <row r="7" spans="1:6" x14ac:dyDescent="0.25">
      <c r="A7" s="72" t="s">
        <v>5</v>
      </c>
      <c r="B7" s="72"/>
      <c r="C7" s="72"/>
      <c r="D7" s="72"/>
      <c r="E7" s="72"/>
      <c r="F7" s="72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2025'!C11</f>
        <v>261334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ht="30.75" customHeight="1" x14ac:dyDescent="0.25">
      <c r="A13" s="68" t="s">
        <v>6</v>
      </c>
      <c r="B13" s="68" t="s">
        <v>7</v>
      </c>
      <c r="C13" s="68" t="s">
        <v>8</v>
      </c>
      <c r="D13" s="68" t="s">
        <v>9</v>
      </c>
      <c r="E13" s="70" t="s">
        <v>10</v>
      </c>
      <c r="F13" s="71"/>
    </row>
    <row r="14" spans="1:6" ht="21.75" customHeight="1" x14ac:dyDescent="0.25">
      <c r="A14" s="69"/>
      <c r="B14" s="69"/>
      <c r="C14" s="69"/>
      <c r="D14" s="69"/>
      <c r="E14" s="5" t="s">
        <v>11</v>
      </c>
      <c r="F14" s="5" t="s">
        <v>12</v>
      </c>
    </row>
    <row r="15" spans="1:6" ht="21" customHeight="1" x14ac:dyDescent="0.25">
      <c r="A15" s="6" t="s">
        <v>13</v>
      </c>
      <c r="B15" s="7"/>
      <c r="C15" s="7"/>
      <c r="D15" s="7"/>
      <c r="E15" s="7"/>
      <c r="F15" s="7"/>
    </row>
    <row r="16" spans="1:6" ht="21" customHeight="1" x14ac:dyDescent="0.25">
      <c r="A16" s="18"/>
      <c r="B16" s="19"/>
      <c r="C16" s="19"/>
      <c r="D16" s="19"/>
      <c r="E16" s="19"/>
      <c r="F16" s="19"/>
    </row>
    <row r="17" spans="1:6" ht="21" customHeight="1" x14ac:dyDescent="0.25">
      <c r="A17" s="18"/>
      <c r="B17" s="19"/>
      <c r="C17" s="19"/>
      <c r="D17" s="19"/>
      <c r="E17" s="19"/>
      <c r="F17" s="19"/>
    </row>
    <row r="18" spans="1:6" ht="21" customHeight="1" x14ac:dyDescent="0.25">
      <c r="A18" s="8" t="s">
        <v>14</v>
      </c>
      <c r="B18" s="9"/>
      <c r="C18" s="9"/>
      <c r="D18" s="9"/>
      <c r="E18" s="9"/>
      <c r="F18" s="9"/>
    </row>
    <row r="19" spans="1:6" ht="21" customHeight="1" x14ac:dyDescent="0.25">
      <c r="A19" s="8"/>
      <c r="B19" s="9"/>
      <c r="C19" s="9"/>
      <c r="D19" s="9"/>
      <c r="E19" s="9"/>
      <c r="F19" s="9"/>
    </row>
    <row r="20" spans="1:6" ht="21" customHeight="1" x14ac:dyDescent="0.25">
      <c r="A20" s="8"/>
      <c r="B20" s="9"/>
      <c r="C20" s="9"/>
      <c r="D20" s="9"/>
      <c r="E20" s="9"/>
      <c r="F20" s="9"/>
    </row>
    <row r="21" spans="1:6" ht="21" customHeight="1" x14ac:dyDescent="0.25">
      <c r="A21" s="8" t="s">
        <v>15</v>
      </c>
      <c r="B21" s="9"/>
      <c r="C21" s="9"/>
      <c r="D21" s="9"/>
      <c r="E21" s="10"/>
      <c r="F21" s="10"/>
    </row>
    <row r="22" spans="1:6" ht="21" customHeight="1" x14ac:dyDescent="0.25">
      <c r="A22" s="20"/>
      <c r="B22" s="21"/>
      <c r="C22" s="21"/>
      <c r="D22" s="21"/>
      <c r="E22" s="22"/>
      <c r="F22" s="22"/>
    </row>
    <row r="23" spans="1:6" ht="21" customHeight="1" x14ac:dyDescent="0.25">
      <c r="A23" s="20"/>
      <c r="B23" s="21"/>
      <c r="C23" s="21"/>
      <c r="D23" s="21"/>
      <c r="E23" s="22"/>
      <c r="F23" s="22"/>
    </row>
    <row r="24" spans="1:6" ht="21" customHeight="1" x14ac:dyDescent="0.25">
      <c r="A24" s="8" t="s">
        <v>0</v>
      </c>
      <c r="B24" s="9"/>
      <c r="C24" s="9">
        <f>147478434+48988889</f>
        <v>196467323</v>
      </c>
      <c r="D24" s="9"/>
      <c r="E24" s="9">
        <f>+B24+C24-D24</f>
        <v>196467323</v>
      </c>
      <c r="F24" s="9">
        <f>+E24/E10</f>
        <v>751.78630794309197</v>
      </c>
    </row>
    <row r="25" spans="1:6" ht="21" customHeight="1" x14ac:dyDescent="0.25">
      <c r="A25" s="25"/>
      <c r="B25" s="26"/>
      <c r="C25" s="26"/>
      <c r="D25" s="26"/>
      <c r="E25" s="26"/>
      <c r="F25" s="26"/>
    </row>
    <row r="26" spans="1:6" ht="21" customHeight="1" x14ac:dyDescent="0.25">
      <c r="A26" s="23"/>
      <c r="B26" s="24"/>
      <c r="C26" s="24"/>
      <c r="D26" s="24"/>
      <c r="E26" s="24"/>
      <c r="F26" s="24"/>
    </row>
    <row r="27" spans="1:6" ht="21" customHeight="1" x14ac:dyDescent="0.25">
      <c r="A27" s="5" t="s">
        <v>16</v>
      </c>
      <c r="B27" s="11"/>
      <c r="C27" s="11"/>
      <c r="D27" s="11"/>
      <c r="E27" s="12"/>
      <c r="F27" s="11"/>
    </row>
    <row r="28" spans="1:6" ht="21" customHeight="1" x14ac:dyDescent="0.25">
      <c r="A28" s="13"/>
      <c r="B28" s="14"/>
      <c r="C28" s="15"/>
      <c r="D28" s="15"/>
      <c r="E28" s="15"/>
      <c r="F28" s="15"/>
    </row>
    <row r="29" spans="1:6" ht="21" customHeight="1" x14ac:dyDescent="0.25"/>
    <row r="30" spans="1:6" ht="21" customHeight="1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ht="21" customHeight="1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  <row r="32" spans="1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3" t="s">
        <v>1</v>
      </c>
      <c r="F1" s="73"/>
    </row>
    <row r="2" spans="1:6" x14ac:dyDescent="0.25">
      <c r="A2" t="s">
        <v>22</v>
      </c>
      <c r="B2" t="s">
        <v>61</v>
      </c>
      <c r="E2" s="74" t="s">
        <v>2</v>
      </c>
      <c r="F2" s="74"/>
    </row>
    <row r="3" spans="1:6" x14ac:dyDescent="0.25">
      <c r="E3" s="74" t="s">
        <v>51</v>
      </c>
      <c r="F3" s="74"/>
    </row>
    <row r="4" spans="1:6" x14ac:dyDescent="0.25">
      <c r="E4" s="74" t="s">
        <v>3</v>
      </c>
      <c r="F4" s="74"/>
    </row>
    <row r="5" spans="1:6" x14ac:dyDescent="0.25">
      <c r="E5" s="49"/>
      <c r="F5" s="49"/>
    </row>
    <row r="6" spans="1:6" ht="18" x14ac:dyDescent="0.25">
      <c r="A6" s="75" t="s">
        <v>4</v>
      </c>
      <c r="B6" s="75"/>
      <c r="C6" s="75"/>
      <c r="D6" s="75"/>
      <c r="E6" s="75"/>
      <c r="F6" s="75"/>
    </row>
    <row r="7" spans="1:6" x14ac:dyDescent="0.25">
      <c r="A7" s="72" t="s">
        <v>5</v>
      </c>
      <c r="B7" s="72"/>
      <c r="C7" s="72"/>
      <c r="D7" s="72"/>
      <c r="E7" s="72"/>
      <c r="F7" s="72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2025'!C15</f>
        <v>261378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68" t="s">
        <v>6</v>
      </c>
      <c r="B13" s="68" t="s">
        <v>7</v>
      </c>
      <c r="C13" s="68" t="s">
        <v>8</v>
      </c>
      <c r="D13" s="68" t="s">
        <v>9</v>
      </c>
      <c r="E13" s="70" t="s">
        <v>10</v>
      </c>
      <c r="F13" s="71"/>
    </row>
    <row r="14" spans="1:6" x14ac:dyDescent="0.25">
      <c r="A14" s="69"/>
      <c r="B14" s="69"/>
      <c r="C14" s="69"/>
      <c r="D14" s="69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147478434+41800000</f>
        <v>189278434</v>
      </c>
      <c r="D24" s="9"/>
      <c r="E24" s="9">
        <f>+B24+C24-D24</f>
        <v>189278434</v>
      </c>
      <c r="F24" s="9">
        <f>+E24/E10</f>
        <v>724.15595038603101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3" t="s">
        <v>1</v>
      </c>
      <c r="F1" s="73"/>
    </row>
    <row r="2" spans="1:6" x14ac:dyDescent="0.25">
      <c r="A2" t="s">
        <v>22</v>
      </c>
      <c r="B2" t="s">
        <v>61</v>
      </c>
      <c r="E2" s="74" t="s">
        <v>2</v>
      </c>
      <c r="F2" s="74"/>
    </row>
    <row r="3" spans="1:6" x14ac:dyDescent="0.25">
      <c r="E3" s="74" t="s">
        <v>51</v>
      </c>
      <c r="F3" s="74"/>
    </row>
    <row r="4" spans="1:6" x14ac:dyDescent="0.25">
      <c r="E4" s="74" t="s">
        <v>3</v>
      </c>
      <c r="F4" s="74"/>
    </row>
    <row r="5" spans="1:6" x14ac:dyDescent="0.25">
      <c r="E5" s="49"/>
      <c r="F5" s="49"/>
    </row>
    <row r="6" spans="1:6" ht="18" x14ac:dyDescent="0.25">
      <c r="A6" s="75" t="s">
        <v>4</v>
      </c>
      <c r="B6" s="75"/>
      <c r="C6" s="75"/>
      <c r="D6" s="75"/>
      <c r="E6" s="75"/>
      <c r="F6" s="75"/>
    </row>
    <row r="7" spans="1:6" x14ac:dyDescent="0.25">
      <c r="A7" s="72" t="s">
        <v>5</v>
      </c>
      <c r="B7" s="72"/>
      <c r="C7" s="72"/>
      <c r="D7" s="72"/>
      <c r="E7" s="72"/>
      <c r="F7" s="72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2025'!C19</f>
        <v>253270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68" t="s">
        <v>6</v>
      </c>
      <c r="B13" s="68" t="s">
        <v>7</v>
      </c>
      <c r="C13" s="68" t="s">
        <v>8</v>
      </c>
      <c r="D13" s="68" t="s">
        <v>9</v>
      </c>
      <c r="E13" s="70" t="s">
        <v>10</v>
      </c>
      <c r="F13" s="71"/>
    </row>
    <row r="14" spans="1:6" x14ac:dyDescent="0.25">
      <c r="A14" s="69"/>
      <c r="B14" s="69"/>
      <c r="C14" s="69"/>
      <c r="D14" s="69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147478434+24700000</f>
        <v>172178434</v>
      </c>
      <c r="D24" s="9"/>
      <c r="E24" s="9">
        <f>+B24+C24-D24</f>
        <v>172178434</v>
      </c>
      <c r="F24" s="9">
        <f>+E24/E10</f>
        <v>679.82166857503853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3" workbookViewId="0">
      <selection activeCell="I21" sqref="I21"/>
    </sheetView>
  </sheetViews>
  <sheetFormatPr defaultRowHeight="15.75" x14ac:dyDescent="0.25"/>
  <cols>
    <col min="1" max="4" width="13.75" style="1" customWidth="1"/>
    <col min="5" max="6" width="15.5" style="1" customWidth="1"/>
    <col min="7" max="7" width="19.25" style="1" bestFit="1" customWidth="1"/>
    <col min="8" max="9" width="9" style="1"/>
    <col min="10" max="10" width="15" style="52" bestFit="1" customWidth="1"/>
    <col min="11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3" t="s">
        <v>1</v>
      </c>
      <c r="F1" s="73"/>
    </row>
    <row r="2" spans="1:6" x14ac:dyDescent="0.25">
      <c r="A2" t="s">
        <v>22</v>
      </c>
      <c r="B2" t="s">
        <v>61</v>
      </c>
      <c r="E2" s="74" t="s">
        <v>2</v>
      </c>
      <c r="F2" s="74"/>
    </row>
    <row r="3" spans="1:6" x14ac:dyDescent="0.25">
      <c r="E3" s="74" t="s">
        <v>51</v>
      </c>
      <c r="F3" s="74"/>
    </row>
    <row r="4" spans="1:6" x14ac:dyDescent="0.25">
      <c r="E4" s="74" t="s">
        <v>3</v>
      </c>
      <c r="F4" s="74"/>
    </row>
    <row r="5" spans="1:6" x14ac:dyDescent="0.25">
      <c r="E5" s="49"/>
      <c r="F5" s="49"/>
    </row>
    <row r="6" spans="1:6" ht="18" x14ac:dyDescent="0.25">
      <c r="A6" s="75" t="s">
        <v>4</v>
      </c>
      <c r="B6" s="75"/>
      <c r="C6" s="75"/>
      <c r="D6" s="75"/>
      <c r="E6" s="75"/>
      <c r="F6" s="75"/>
    </row>
    <row r="7" spans="1:6" x14ac:dyDescent="0.25">
      <c r="A7" s="72" t="s">
        <v>5</v>
      </c>
      <c r="B7" s="72"/>
      <c r="C7" s="72"/>
      <c r="D7" s="72"/>
      <c r="E7" s="72"/>
      <c r="F7" s="72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2025'!C23</f>
        <v>224885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68" t="s">
        <v>6</v>
      </c>
      <c r="B13" s="68" t="s">
        <v>7</v>
      </c>
      <c r="C13" s="68" t="s">
        <v>8</v>
      </c>
      <c r="D13" s="68" t="s">
        <v>9</v>
      </c>
      <c r="E13" s="70" t="s">
        <v>10</v>
      </c>
      <c r="F13" s="71"/>
    </row>
    <row r="14" spans="1:6" x14ac:dyDescent="0.25">
      <c r="A14" s="69"/>
      <c r="B14" s="69"/>
      <c r="C14" s="69"/>
      <c r="D14" s="69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9" x14ac:dyDescent="0.25">
      <c r="A17" s="18"/>
      <c r="B17" s="19"/>
      <c r="C17" s="19"/>
      <c r="D17" s="19"/>
      <c r="E17" s="19"/>
      <c r="F17" s="19"/>
      <c r="G17" s="52">
        <v>589913736</v>
      </c>
      <c r="H17" s="1">
        <v>6274</v>
      </c>
    </row>
    <row r="18" spans="1:9" x14ac:dyDescent="0.25">
      <c r="A18" s="8" t="s">
        <v>14</v>
      </c>
      <c r="B18" s="9"/>
      <c r="C18" s="9"/>
      <c r="D18" s="9"/>
      <c r="E18" s="9"/>
      <c r="F18" s="9"/>
      <c r="G18" s="52">
        <v>143852255</v>
      </c>
      <c r="H18" s="1">
        <v>6277</v>
      </c>
    </row>
    <row r="19" spans="1:9" x14ac:dyDescent="0.25">
      <c r="A19" s="8"/>
      <c r="B19" s="9"/>
      <c r="C19" s="9"/>
      <c r="D19" s="9"/>
      <c r="E19" s="9"/>
      <c r="F19" s="9"/>
      <c r="G19" s="52">
        <f>+G17+G18</f>
        <v>733765991</v>
      </c>
    </row>
    <row r="20" spans="1:9" x14ac:dyDescent="0.25">
      <c r="A20" s="8"/>
      <c r="B20" s="9"/>
      <c r="C20" s="9"/>
      <c r="D20" s="9"/>
      <c r="E20" s="9"/>
      <c r="F20" s="9"/>
      <c r="H20" s="1">
        <v>6278</v>
      </c>
      <c r="I20" s="1" t="s">
        <v>65</v>
      </c>
    </row>
    <row r="21" spans="1:9" x14ac:dyDescent="0.25">
      <c r="A21" s="8" t="s">
        <v>15</v>
      </c>
      <c r="B21" s="9"/>
      <c r="C21" s="9"/>
      <c r="D21" s="9"/>
      <c r="E21" s="10"/>
      <c r="F21" s="10"/>
    </row>
    <row r="22" spans="1:9" x14ac:dyDescent="0.25">
      <c r="A22" s="20"/>
      <c r="B22" s="21"/>
      <c r="C22" s="21"/>
      <c r="D22" s="21"/>
      <c r="E22" s="22"/>
      <c r="F22" s="22"/>
    </row>
    <row r="23" spans="1:9" x14ac:dyDescent="0.25">
      <c r="A23" s="20"/>
      <c r="B23" s="21"/>
      <c r="C23" s="21"/>
      <c r="D23" s="21"/>
      <c r="E23" s="22"/>
      <c r="F23" s="22"/>
    </row>
    <row r="24" spans="1:9" x14ac:dyDescent="0.25">
      <c r="A24" s="8" t="s">
        <v>0</v>
      </c>
      <c r="B24" s="9"/>
      <c r="C24" s="9">
        <f>147478434+28363366</f>
        <v>175841800</v>
      </c>
      <c r="D24" s="9"/>
      <c r="E24" s="9">
        <f>+B24+C24-D24</f>
        <v>175841800</v>
      </c>
      <c r="F24" s="9">
        <f>+E24/E10</f>
        <v>781.91875847655467</v>
      </c>
      <c r="G24" s="51">
        <f>+'GT Q1'!C24+'GT Q2'!C24+'GT Q3'!C24+'GT Q4'!C24</f>
        <v>733765991</v>
      </c>
    </row>
    <row r="25" spans="1:9" x14ac:dyDescent="0.25">
      <c r="A25" s="25"/>
      <c r="B25" s="26"/>
      <c r="C25" s="26"/>
      <c r="D25" s="26"/>
      <c r="E25" s="26"/>
      <c r="F25" s="26"/>
    </row>
    <row r="26" spans="1:9" x14ac:dyDescent="0.25">
      <c r="A26" s="23"/>
      <c r="B26" s="24"/>
      <c r="C26" s="24"/>
      <c r="D26" s="24"/>
      <c r="E26" s="24"/>
      <c r="F26" s="24"/>
    </row>
    <row r="27" spans="1:9" x14ac:dyDescent="0.25">
      <c r="A27" s="5" t="s">
        <v>16</v>
      </c>
      <c r="B27" s="11"/>
      <c r="C27" s="11"/>
      <c r="D27" s="11"/>
      <c r="E27" s="12"/>
      <c r="F27" s="11"/>
    </row>
    <row r="28" spans="1:9" x14ac:dyDescent="0.25">
      <c r="A28" s="13"/>
      <c r="B28" s="14"/>
      <c r="C28" s="15"/>
      <c r="D28" s="15"/>
      <c r="E28" s="15"/>
      <c r="F28" s="15"/>
    </row>
    <row r="30" spans="1:9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9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bao cao 2025</vt:lpstr>
      <vt:lpstr>GT Q1</vt:lpstr>
      <vt:lpstr>GT Q2</vt:lpstr>
      <vt:lpstr>GT Q3</vt:lpstr>
      <vt:lpstr>GT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2026-03-09T07:52:54Z</dcterms:modified>
</cp:coreProperties>
</file>