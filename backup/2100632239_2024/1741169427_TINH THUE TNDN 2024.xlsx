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22995" windowHeight="10425" activeTab="1"/>
  </bookViews>
  <sheets>
    <sheet name="BCQT" sheetId="1" r:id="rId1"/>
    <sheet name="TTNDN" sheetId="2" r:id="rId2"/>
  </sheets>
  <calcPr calcId="144525"/>
</workbook>
</file>

<file path=xl/calcChain.xml><?xml version="1.0" encoding="utf-8"?>
<calcChain xmlns="http://schemas.openxmlformats.org/spreadsheetml/2006/main">
  <c r="C35" i="1" l="1"/>
  <c r="D13" i="2" l="1"/>
  <c r="J13" i="2" s="1"/>
  <c r="D10" i="2"/>
  <c r="J10" i="2" l="1"/>
  <c r="K10" i="2" s="1"/>
  <c r="C15" i="2"/>
  <c r="I35" i="1"/>
  <c r="G35" i="1"/>
  <c r="C11" i="2"/>
  <c r="F35" i="1"/>
  <c r="J35" i="1"/>
  <c r="D13" i="1"/>
  <c r="G13" i="1"/>
  <c r="H13" i="1"/>
  <c r="C13" i="1"/>
  <c r="D9" i="1"/>
  <c r="D35" i="1" s="1"/>
  <c r="C9" i="1"/>
  <c r="E11" i="1" l="1"/>
  <c r="J26" i="1"/>
  <c r="I26" i="1"/>
  <c r="E26" i="1"/>
  <c r="J27" i="1"/>
  <c r="I27" i="1"/>
  <c r="E27" i="1"/>
  <c r="I25" i="1"/>
  <c r="K13" i="2"/>
  <c r="H10" i="1" l="1"/>
  <c r="H9" i="1" s="1"/>
  <c r="H35" i="1" s="1"/>
  <c r="H11" i="1"/>
  <c r="E14" i="1" l="1"/>
  <c r="I14" i="1"/>
  <c r="J14" i="1"/>
  <c r="E15" i="1"/>
  <c r="I15" i="1"/>
  <c r="J15" i="1"/>
  <c r="J16" i="1"/>
  <c r="J17" i="1"/>
  <c r="J28" i="1"/>
  <c r="J29" i="1"/>
  <c r="J18" i="1"/>
  <c r="J30" i="1"/>
  <c r="J31" i="1"/>
  <c r="J19" i="1"/>
  <c r="J20" i="1"/>
  <c r="J32" i="1"/>
  <c r="J33" i="1"/>
  <c r="J21" i="1"/>
  <c r="J22" i="1"/>
  <c r="J23" i="1"/>
  <c r="J24" i="1"/>
  <c r="I16" i="1"/>
  <c r="I17" i="1"/>
  <c r="I28" i="1"/>
  <c r="I29" i="1"/>
  <c r="I18" i="1"/>
  <c r="I30" i="1"/>
  <c r="I31" i="1"/>
  <c r="I19" i="1"/>
  <c r="I20" i="1"/>
  <c r="I32" i="1"/>
  <c r="I33" i="1"/>
  <c r="I21" i="1"/>
  <c r="I22" i="1"/>
  <c r="I23" i="1"/>
  <c r="I24" i="1"/>
  <c r="E23" i="1"/>
  <c r="E22" i="1"/>
  <c r="E33" i="1"/>
  <c r="E32" i="1"/>
  <c r="E20" i="1"/>
  <c r="G10" i="1"/>
  <c r="I10" i="1"/>
  <c r="I11" i="1"/>
  <c r="J10" i="1"/>
  <c r="J11" i="1"/>
  <c r="G11" i="1"/>
  <c r="J25" i="1"/>
  <c r="E10" i="1"/>
  <c r="E9" i="1" s="1"/>
  <c r="E35" i="1" s="1"/>
  <c r="J13" i="1" l="1"/>
  <c r="G9" i="1"/>
  <c r="I13" i="1"/>
  <c r="I9" i="1"/>
  <c r="E16" i="1"/>
  <c r="E17" i="1"/>
  <c r="E13" i="1" s="1"/>
  <c r="E28" i="1"/>
  <c r="E29" i="1"/>
  <c r="E18" i="1"/>
  <c r="E30" i="1"/>
  <c r="E31" i="1"/>
  <c r="E19" i="1"/>
  <c r="E21" i="1"/>
  <c r="E24" i="1"/>
  <c r="E25" i="1"/>
  <c r="M11" i="2" l="1"/>
  <c r="C12" i="2" l="1"/>
  <c r="C10" i="2" s="1"/>
  <c r="E34" i="1"/>
  <c r="E18" i="2" l="1"/>
  <c r="J17" i="2" l="1"/>
  <c r="J11" i="2"/>
  <c r="J12" i="2"/>
  <c r="K17" i="2" l="1"/>
  <c r="L17" i="2"/>
  <c r="M17" i="2" s="1"/>
  <c r="J15" i="2"/>
  <c r="J16" i="2"/>
  <c r="K16" i="2" s="1"/>
  <c r="L16" i="2" s="1"/>
  <c r="M16" i="2" s="1"/>
  <c r="K12" i="2"/>
  <c r="J18" i="2" l="1"/>
  <c r="K15" i="2"/>
  <c r="K18" i="2" s="1"/>
  <c r="L12" i="2"/>
  <c r="L15" i="2" l="1"/>
  <c r="M15" i="2" s="1"/>
  <c r="M13" i="2" s="1"/>
  <c r="L10" i="2"/>
  <c r="M12" i="2"/>
  <c r="M10" i="2" s="1"/>
  <c r="L13" i="2" l="1"/>
  <c r="L18" i="2" s="1"/>
  <c r="M18" i="2"/>
  <c r="C13" i="2" l="1"/>
  <c r="H18" i="2" l="1"/>
  <c r="C18" i="2"/>
  <c r="B15" i="2" s="1"/>
  <c r="G15" i="2" s="1"/>
  <c r="B16" i="2"/>
  <c r="G16" i="2" s="1"/>
  <c r="B12" i="2"/>
  <c r="G12" i="2" s="1"/>
  <c r="G10" i="2" s="1"/>
  <c r="B11" i="2" l="1"/>
  <c r="B17" i="2"/>
  <c r="F17" i="2" s="1"/>
  <c r="G13" i="2"/>
</calcChain>
</file>

<file path=xl/sharedStrings.xml><?xml version="1.0" encoding="utf-8"?>
<sst xmlns="http://schemas.openxmlformats.org/spreadsheetml/2006/main" count="63" uniqueCount="57">
  <si>
    <t>Công Ty TNHH Tư Vấn Xây Dựng Gia Tiến</t>
  </si>
  <si>
    <t>Địa chỉ: Số 372, Hương lộ 13, ấp Hòa Lạc C, Xã Lương Hoà A, Huyện Châu Thành, Tỉnh Trà Vinh</t>
  </si>
  <si>
    <t>STT</t>
  </si>
  <si>
    <t>Tên công trình, dịch vụ</t>
  </si>
  <si>
    <t>DTT</t>
  </si>
  <si>
    <t>Giá vốn</t>
  </si>
  <si>
    <t>Lãi</t>
  </si>
  <si>
    <t>DT 5112</t>
  </si>
  <si>
    <t>Gia Vốn 5112</t>
  </si>
  <si>
    <t>DT 5113</t>
  </si>
  <si>
    <t>Gia Vốn 5113</t>
  </si>
  <si>
    <t>I</t>
  </si>
  <si>
    <t>Địa bàn không ưu đãi</t>
  </si>
  <si>
    <t>II</t>
  </si>
  <si>
    <t>Địa bàn khó khăn</t>
  </si>
  <si>
    <t>III</t>
  </si>
  <si>
    <t>Địa bàn đặc biệt khó khăn</t>
  </si>
  <si>
    <t>TỔNG CỘNG</t>
  </si>
  <si>
    <t>MST: 2100632239</t>
  </si>
  <si>
    <t xml:space="preserve">Doanh thu </t>
  </si>
  <si>
    <t>Tỉ lệ/DT</t>
  </si>
  <si>
    <t>CP quản lý</t>
  </si>
  <si>
    <t>Lợi nhuận</t>
  </si>
  <si>
    <t>TS</t>
  </si>
  <si>
    <t>Thuế TNDN</t>
  </si>
  <si>
    <t>Miễn giảm</t>
  </si>
  <si>
    <t>Thuế Sau Miễn</t>
  </si>
  <si>
    <t>Số thuế
 phải nộp</t>
  </si>
  <si>
    <t>Tổng cộng</t>
  </si>
  <si>
    <t>Giám đốc</t>
  </si>
  <si>
    <t>CP ĐƯỢC TRỪ</t>
  </si>
  <si>
    <t>BÁO CÁO QUYẾT TOÁN NĂM 2024</t>
  </si>
  <si>
    <t>  2024_CT:Thi công xây dựng gói thầu thuộc dự án : Cải tạo hội trường, lắp đặt hệ thống điện, mua sắm trang thiết bị và nâng cấp sân đường BCH Quân sự thành phố Trà Vinh</t>
  </si>
  <si>
    <t>2024_CT:khối lượng hoàn thành giai đoạn 1 công trình: Nâng cấp sân đường, hệ thống thoát nước cải tạo hội trường Ban chỉ huy quân sự thành phố Trà Vin</t>
  </si>
  <si>
    <t>Gói thầu số 1 Tư vấn khảo sát hiện trạng và lập Báo cáo kinh tế - kỹ thuật công trình :Xây dựng, cải tạo và mua sắm thiết bị các trường trên địa bàn TPTV năm 2024</t>
  </si>
  <si>
    <t> Tư vấn Khảo sát xây dựng công trình :Đường giao thông và HTTN thuộc khóm 4, phường 1, thành phố Trà Vinh</t>
  </si>
  <si>
    <t> Tư vấn Lập Báo cáo kinh tế kỹ thuật hạng mục bổ sung công trình :Xây dựng đường vào trụ sở UBND phường 8, thành phố Trà Vinh</t>
  </si>
  <si>
    <t>Tư vấn Lập Báo cáo kinh tế - kỹ thuật công trình :Đường giao thông và HTTN thuộc khóm 4, phường 1, thành phố Trà Vinh</t>
  </si>
  <si>
    <t>Tư vấn Khảo sát địa hình và gói thầu tư vấn Lập Báo cáo kinh tế - kỹ thuật thuộc dự án Mở rộng đường giao thông nông thôn hẻm 380, ấp Phú Hòa</t>
  </si>
  <si>
    <t>Tư vấn Khảo sát công trình :Nạo vét hệ thống thủy lợi nội đồng và lắp đặt bọng trên địa bàn phường 9, thành phố Trà Vinh</t>
  </si>
  <si>
    <t> Tư vấn lập hồ sơ Báo cáo kinh tế - kỹ thuật công trình :Nạo vét hệ thống thủy lợi nội đồng và lắp đặt bọng trên địa bàn phường 9, thành phố Trà Vinh</t>
  </si>
  <si>
    <t>Tư vấn Khảo sát địa hình và Tư vấn Lập Báo cáo kinh tế - kỹ thuật công trình :Nâng cấp đường giao thông mặt đập ấp Kinh Lớn, xã Long Đức</t>
  </si>
  <si>
    <t>Tư vấn Khảo sát, lập hồ sơ Báo cáo kinh tế - kỹ thuật công trình :Sửa chữa hệ thống cống thoát nước kênh khóm 8, phường 6, TP. Trà Vinh</t>
  </si>
  <si>
    <t>Tư vấn lập hồ sơ Báo cáo kinh tế - kỹ thuật công trình:Sửa chữa mặt đường hư hỏng, sụp lún tuyến cống thu gom nước thải năm 2024</t>
  </si>
  <si>
    <t>Tư vấn lập báo cáo nghiên cứu khả thi công trình : Đường Nguyễn Trung Trực nối dài</t>
  </si>
  <si>
    <t>Tư vấn khảo sát bước lập báo cáo nghiên cứu khả thi công trình Đường Nguyễn Trung Trực nối dài</t>
  </si>
  <si>
    <t> Tư vấn khảo sát xây dựng công trình : Đường giao thông và HTTN phường 7, TPTV (đường nhà nghỉ 36)</t>
  </si>
  <si>
    <t>  Tư vấn lập Báo cáo kinh tế - kỹ thuật công trình Đường giao thông và HTTN phường 7, TPTV (đường nhà nghỉ 36)</t>
  </si>
  <si>
    <t> Tư vấn lập hồ sơ báo cáo kinh tế - kỹ thuật công trình :Bảo dưỡng bờ kè sông Long Bình và dãy phân cách các tuyến đường và hàng rào công viên thành phố Trà Vinh năm 2024</t>
  </si>
  <si>
    <t> Tư vấn lập thiết kế bản vẽ thi công và dự toán công trình Đường Nguyễn Trung Trực nối dài</t>
  </si>
  <si>
    <t>Tư vấn cắm cọc GPMB công trình Đường giao thông và HTTN phường 7, TPTV (đường nhà nghỉ 36)</t>
  </si>
  <si>
    <t>Gói thầu số 03: Tư vấn thẩm tra thiết kế bản vẽ thi công và dự toán công trình: Công viên xã Tân An</t>
  </si>
  <si>
    <t> Thanh toán chi phí tư vấn thẩm tra thiết kế bản vẽ thi công và dự toán công trình :Đường nhựa Thiện Chánh, xã Phương Thạnh</t>
  </si>
  <si>
    <t> gói thầu: Tư vấn Khảo sát địa hình và Gói thầu: Tư vấn Lập Báo cáo kinh tế - kỹ thuật công trình :Nâng cấp đường giao thông mặt đập ấp Kinh Lớn, xã Long Đức.</t>
  </si>
  <si>
    <t>Lợi Nhuận</t>
  </si>
  <si>
    <t>Châu Thành, ngày 31/03/2025</t>
  </si>
  <si>
    <t>BẢNG XÁC ĐỊNH THU NHẬP CHỊU THUẾ TNDN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</si>
</sst>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name val="VNI-Times"/>
    </font>
    <font>
      <sz val="13"/>
      <name val="VNI-Time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/>
    <xf numFmtId="0" fontId="3" fillId="2" borderId="1" xfId="0" applyFont="1" applyFill="1" applyBorder="1"/>
    <xf numFmtId="164" fontId="3" fillId="0" borderId="1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3" fillId="4" borderId="1" xfId="0" applyFont="1" applyFill="1" applyBorder="1"/>
    <xf numFmtId="164" fontId="4" fillId="4" borderId="1" xfId="0" applyNumberFormat="1" applyFont="1" applyFill="1" applyBorder="1"/>
    <xf numFmtId="0" fontId="3" fillId="5" borderId="1" xfId="0" applyFont="1" applyFill="1" applyBorder="1"/>
    <xf numFmtId="0" fontId="2" fillId="0" borderId="0" xfId="2"/>
    <xf numFmtId="0" fontId="8" fillId="0" borderId="0" xfId="2" applyFont="1"/>
    <xf numFmtId="164" fontId="6" fillId="0" borderId="0" xfId="3" applyNumberFormat="1" applyFont="1"/>
    <xf numFmtId="0" fontId="11" fillId="0" borderId="1" xfId="2" applyFont="1" applyBorder="1" applyAlignment="1">
      <alignment horizontal="center"/>
    </xf>
    <xf numFmtId="164" fontId="11" fillId="0" borderId="1" xfId="3" applyNumberFormat="1" applyFont="1" applyBorder="1"/>
    <xf numFmtId="164" fontId="11" fillId="0" borderId="1" xfId="2" applyNumberFormat="1" applyFont="1" applyBorder="1"/>
    <xf numFmtId="9" fontId="11" fillId="0" borderId="1" xfId="4" applyNumberFormat="1" applyFont="1" applyBorder="1"/>
    <xf numFmtId="0" fontId="11" fillId="0" borderId="1" xfId="2" applyFont="1" applyBorder="1"/>
    <xf numFmtId="164" fontId="8" fillId="0" borderId="0" xfId="3" applyNumberFormat="1" applyFont="1"/>
    <xf numFmtId="0" fontId="12" fillId="0" borderId="1" xfId="2" applyFont="1" applyBorder="1"/>
    <xf numFmtId="164" fontId="12" fillId="0" borderId="1" xfId="3" applyNumberFormat="1" applyFont="1" applyBorder="1"/>
    <xf numFmtId="9" fontId="12" fillId="0" borderId="1" xfId="4" applyFont="1" applyBorder="1"/>
    <xf numFmtId="9" fontId="11" fillId="0" borderId="1" xfId="4" applyFont="1" applyBorder="1"/>
    <xf numFmtId="164" fontId="9" fillId="0" borderId="0" xfId="2" applyNumberFormat="1" applyFont="1"/>
    <xf numFmtId="0" fontId="11" fillId="6" borderId="1" xfId="2" applyFont="1" applyFill="1" applyBorder="1"/>
    <xf numFmtId="164" fontId="7" fillId="0" borderId="1" xfId="2" applyNumberFormat="1" applyFont="1" applyFill="1" applyBorder="1"/>
    <xf numFmtId="43" fontId="8" fillId="0" borderId="0" xfId="3" applyNumberFormat="1" applyFont="1"/>
    <xf numFmtId="0" fontId="12" fillId="0" borderId="1" xfId="2" applyFont="1" applyFill="1" applyBorder="1"/>
    <xf numFmtId="164" fontId="12" fillId="0" borderId="1" xfId="2" applyNumberFormat="1" applyFont="1" applyBorder="1"/>
    <xf numFmtId="0" fontId="11" fillId="0" borderId="1" xfId="2" applyFont="1" applyBorder="1" applyAlignment="1">
      <alignment horizontal="center" vertical="center"/>
    </xf>
    <xf numFmtId="9" fontId="11" fillId="0" borderId="1" xfId="4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/>
    </xf>
    <xf numFmtId="9" fontId="9" fillId="0" borderId="0" xfId="4" applyFont="1" applyFill="1"/>
    <xf numFmtId="164" fontId="9" fillId="0" borderId="0" xfId="3" applyNumberFormat="1" applyFont="1" applyFill="1"/>
    <xf numFmtId="164" fontId="11" fillId="6" borderId="1" xfId="3" applyNumberFormat="1" applyFont="1" applyFill="1" applyBorder="1"/>
    <xf numFmtId="9" fontId="11" fillId="6" borderId="1" xfId="4" applyFont="1" applyFill="1" applyBorder="1"/>
    <xf numFmtId="0" fontId="11" fillId="2" borderId="1" xfId="2" applyFont="1" applyFill="1" applyBorder="1"/>
    <xf numFmtId="164" fontId="11" fillId="2" borderId="1" xfId="3" applyNumberFormat="1" applyFont="1" applyFill="1" applyBorder="1"/>
    <xf numFmtId="9" fontId="11" fillId="2" borderId="1" xfId="4" applyNumberFormat="1" applyFont="1" applyFill="1" applyBorder="1"/>
    <xf numFmtId="164" fontId="11" fillId="2" borderId="1" xfId="2" applyNumberFormat="1" applyFont="1" applyFill="1" applyBorder="1"/>
    <xf numFmtId="0" fontId="11" fillId="7" borderId="1" xfId="2" applyFont="1" applyFill="1" applyBorder="1"/>
    <xf numFmtId="164" fontId="14" fillId="7" borderId="1" xfId="3" applyNumberFormat="1" applyFont="1" applyFill="1" applyBorder="1"/>
    <xf numFmtId="9" fontId="14" fillId="7" borderId="1" xfId="4" applyFont="1" applyFill="1" applyBorder="1"/>
    <xf numFmtId="164" fontId="13" fillId="0" borderId="0" xfId="2" applyNumberFormat="1" applyFont="1"/>
    <xf numFmtId="3" fontId="16" fillId="0" borderId="1" xfId="2" applyNumberFormat="1" applyFont="1" applyBorder="1"/>
    <xf numFmtId="165" fontId="11" fillId="2" borderId="1" xfId="4" applyNumberFormat="1" applyFont="1" applyFill="1" applyBorder="1" applyAlignment="1">
      <alignment horizontal="center"/>
    </xf>
    <xf numFmtId="165" fontId="11" fillId="0" borderId="1" xfId="4" applyNumberFormat="1" applyFont="1" applyBorder="1" applyAlignment="1">
      <alignment horizontal="center"/>
    </xf>
    <xf numFmtId="165" fontId="11" fillId="7" borderId="1" xfId="4" applyNumberFormat="1" applyFont="1" applyFill="1" applyBorder="1" applyAlignment="1">
      <alignment horizontal="center"/>
    </xf>
    <xf numFmtId="165" fontId="11" fillId="6" borderId="1" xfId="4" applyNumberFormat="1" applyFont="1" applyFill="1" applyBorder="1" applyAlignment="1">
      <alignment horizontal="center"/>
    </xf>
    <xf numFmtId="165" fontId="12" fillId="0" borderId="1" xfId="4" applyNumberFormat="1" applyFont="1" applyBorder="1" applyAlignment="1">
      <alignment horizontal="center"/>
    </xf>
    <xf numFmtId="164" fontId="9" fillId="0" borderId="0" xfId="3" applyNumberFormat="1" applyFont="1" applyAlignment="1"/>
    <xf numFmtId="164" fontId="8" fillId="0" borderId="0" xfId="2" applyNumberFormat="1" applyFont="1" applyAlignment="1"/>
    <xf numFmtId="3" fontId="17" fillId="0" borderId="1" xfId="2" applyNumberFormat="1" applyFont="1" applyBorder="1"/>
    <xf numFmtId="165" fontId="2" fillId="0" borderId="0" xfId="2" applyNumberFormat="1"/>
    <xf numFmtId="164" fontId="2" fillId="0" borderId="0" xfId="1" applyNumberFormat="1" applyFont="1"/>
    <xf numFmtId="164" fontId="3" fillId="0" borderId="1" xfId="1" applyNumberFormat="1" applyFont="1" applyFill="1" applyBorder="1"/>
    <xf numFmtId="0" fontId="18" fillId="0" borderId="0" xfId="2" applyFont="1"/>
    <xf numFmtId="9" fontId="12" fillId="0" borderId="0" xfId="4" applyFont="1" applyFill="1"/>
    <xf numFmtId="164" fontId="18" fillId="0" borderId="0" xfId="1" applyNumberFormat="1" applyFont="1"/>
    <xf numFmtId="164" fontId="12" fillId="0" borderId="0" xfId="1" applyNumberFormat="1" applyFont="1" applyFill="1"/>
    <xf numFmtId="164" fontId="9" fillId="0" borderId="0" xfId="1" applyNumberFormat="1" applyFont="1"/>
    <xf numFmtId="164" fontId="2" fillId="0" borderId="0" xfId="2" applyNumberFormat="1"/>
    <xf numFmtId="164" fontId="9" fillId="0" borderId="0" xfId="1" applyNumberFormat="1" applyFont="1" applyAlignment="1"/>
    <xf numFmtId="164" fontId="19" fillId="0" borderId="0" xfId="1" applyNumberFormat="1" applyFont="1"/>
    <xf numFmtId="0" fontId="5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164" fontId="15" fillId="0" borderId="0" xfId="1" applyNumberFormat="1" applyFont="1" applyBorder="1" applyAlignment="1">
      <alignment horizontal="right" vertical="center" wrapText="1"/>
    </xf>
    <xf numFmtId="164" fontId="8" fillId="0" borderId="0" xfId="1" applyNumberFormat="1" applyFont="1" applyAlignment="1"/>
    <xf numFmtId="164" fontId="9" fillId="0" borderId="0" xfId="1" applyNumberFormat="1" applyFont="1" applyFill="1"/>
    <xf numFmtId="0" fontId="4" fillId="0" borderId="0" xfId="0" applyFont="1" applyAlignment="1">
      <alignment horizontal="center"/>
    </xf>
    <xf numFmtId="0" fontId="10" fillId="0" borderId="0" xfId="2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9" fillId="0" borderId="0" xfId="3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</cellXfs>
  <cellStyles count="5">
    <cellStyle name="Comma" xfId="1" builtinId="3"/>
    <cellStyle name="Comma 2" xfId="3"/>
    <cellStyle name="Normal" xfId="0" builtinId="0"/>
    <cellStyle name="Normal 2" xfId="2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31" workbookViewId="0">
      <selection activeCell="F40" sqref="F40"/>
    </sheetView>
  </sheetViews>
  <sheetFormatPr defaultRowHeight="15" x14ac:dyDescent="0.25"/>
  <cols>
    <col min="1" max="1" width="4.7109375" style="1" customWidth="1"/>
    <col min="2" max="2" width="54.28515625" style="1" bestFit="1" customWidth="1"/>
    <col min="3" max="3" width="17.28515625" style="1" customWidth="1"/>
    <col min="4" max="5" width="15.7109375" style="1" bestFit="1" customWidth="1"/>
    <col min="6" max="6" width="7.28515625" style="1" customWidth="1"/>
    <col min="7" max="8" width="15.7109375" style="1" bestFit="1" customWidth="1"/>
    <col min="9" max="9" width="15.28515625" style="1" customWidth="1"/>
    <col min="10" max="10" width="15.7109375" style="1" bestFit="1" customWidth="1"/>
    <col min="11" max="16384" width="9.140625" style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4" spans="1:10" x14ac:dyDescent="0.25">
      <c r="A4" s="78" t="s">
        <v>31</v>
      </c>
      <c r="B4" s="78"/>
      <c r="C4" s="78"/>
      <c r="D4" s="78"/>
      <c r="E4" s="78"/>
      <c r="F4" s="78"/>
      <c r="G4" s="78"/>
      <c r="H4" s="78"/>
      <c r="I4" s="78"/>
      <c r="J4" s="78"/>
    </row>
    <row r="6" spans="1:10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/>
      <c r="G6" s="3" t="s">
        <v>7</v>
      </c>
      <c r="H6" s="3" t="s">
        <v>8</v>
      </c>
      <c r="I6" s="3" t="s">
        <v>9</v>
      </c>
      <c r="J6" s="3" t="s">
        <v>10</v>
      </c>
    </row>
    <row r="7" spans="1:10" x14ac:dyDescent="0.25">
      <c r="A7" s="14" t="s">
        <v>11</v>
      </c>
      <c r="B7" s="14" t="s">
        <v>12</v>
      </c>
      <c r="C7" s="14"/>
      <c r="D7" s="14"/>
      <c r="E7" s="14"/>
      <c r="F7" s="14"/>
      <c r="G7" s="14"/>
      <c r="H7" s="14"/>
      <c r="I7" s="14"/>
      <c r="J7" s="14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12" t="s">
        <v>13</v>
      </c>
      <c r="B9" s="12" t="s">
        <v>14</v>
      </c>
      <c r="C9" s="13">
        <f>+SUM(C10:C12)</f>
        <v>1392592592</v>
      </c>
      <c r="D9" s="13">
        <f>+SUM(D10:D12)</f>
        <v>1302745216</v>
      </c>
      <c r="E9" s="13">
        <f t="shared" ref="E9:H9" si="0">+SUM(E10:E12)</f>
        <v>89847376</v>
      </c>
      <c r="F9" s="13"/>
      <c r="G9" s="13">
        <f t="shared" si="0"/>
        <v>1392592592</v>
      </c>
      <c r="H9" s="13">
        <f t="shared" si="0"/>
        <v>1302745216</v>
      </c>
      <c r="I9" s="13">
        <f>+SUM(I10:I12)</f>
        <v>0</v>
      </c>
      <c r="J9" s="13"/>
    </row>
    <row r="10" spans="1:10" ht="54" customHeight="1" x14ac:dyDescent="0.25">
      <c r="A10" s="4">
        <v>1</v>
      </c>
      <c r="B10" s="72" t="s">
        <v>32</v>
      </c>
      <c r="C10" s="5">
        <v>853703704</v>
      </c>
      <c r="D10" s="63">
        <v>849045216</v>
      </c>
      <c r="E10" s="5">
        <f>+C10-D10</f>
        <v>4658488</v>
      </c>
      <c r="F10" s="8">
        <v>5112</v>
      </c>
      <c r="G10" s="7">
        <f>+IF(F10=5112,C10,0)</f>
        <v>853703704</v>
      </c>
      <c r="H10" s="5">
        <f>+IF(F10=5112,D10,0)</f>
        <v>849045216</v>
      </c>
      <c r="I10" s="5">
        <f>+IF(F10=5113,C10,0)</f>
        <v>0</v>
      </c>
      <c r="J10" s="5">
        <f>+IF(F10=5113,D10,0)</f>
        <v>0</v>
      </c>
    </row>
    <row r="11" spans="1:10" ht="33.75" customHeight="1" x14ac:dyDescent="0.25">
      <c r="A11" s="4">
        <v>2</v>
      </c>
      <c r="B11" s="72" t="s">
        <v>33</v>
      </c>
      <c r="C11" s="5">
        <v>538888888</v>
      </c>
      <c r="D11" s="5">
        <v>453700000</v>
      </c>
      <c r="E11" s="5">
        <f>+C11-D11</f>
        <v>85188888</v>
      </c>
      <c r="F11" s="8">
        <v>5112</v>
      </c>
      <c r="G11" s="7">
        <f>+IF(F11=5112,C11,0)</f>
        <v>538888888</v>
      </c>
      <c r="H11" s="5">
        <f>+IF(F11=5112,D11,0)</f>
        <v>453700000</v>
      </c>
      <c r="I11" s="5">
        <f>+IF(F11=5113,C11,0)</f>
        <v>0</v>
      </c>
      <c r="J11" s="5">
        <f t="shared" ref="J11" si="1">+IF(F11=5113,D11,0)</f>
        <v>0</v>
      </c>
    </row>
    <row r="12" spans="1:10" ht="41.25" customHeight="1" x14ac:dyDescent="0.25">
      <c r="A12" s="4"/>
      <c r="B12" s="74"/>
      <c r="C12" s="5"/>
      <c r="D12" s="5"/>
      <c r="E12" s="7"/>
      <c r="F12" s="8"/>
      <c r="G12" s="5"/>
      <c r="H12" s="5"/>
      <c r="I12" s="5"/>
      <c r="J12" s="5"/>
    </row>
    <row r="13" spans="1:10" x14ac:dyDescent="0.25">
      <c r="A13" s="6" t="s">
        <v>15</v>
      </c>
      <c r="B13" s="6" t="s">
        <v>16</v>
      </c>
      <c r="C13" s="9">
        <f>+SUM(C14:C33)</f>
        <v>1755950000</v>
      </c>
      <c r="D13" s="9">
        <f>+SUM(D14:D33)</f>
        <v>516371100</v>
      </c>
      <c r="E13" s="9">
        <f>+SUM(E14:E33)</f>
        <v>1239578900</v>
      </c>
      <c r="F13" s="9"/>
      <c r="G13" s="9">
        <f>+SUM(G14:G33)</f>
        <v>0</v>
      </c>
      <c r="H13" s="9">
        <f>+SUM(H14:H33)</f>
        <v>0</v>
      </c>
      <c r="I13" s="9">
        <f>+SUM(I14:I33)</f>
        <v>1755950000</v>
      </c>
      <c r="J13" s="9">
        <f>+SUM(J14:J33)</f>
        <v>516371100</v>
      </c>
    </row>
    <row r="14" spans="1:10" ht="54.75" customHeight="1" x14ac:dyDescent="0.25">
      <c r="A14" s="4"/>
      <c r="B14" s="72" t="s">
        <v>51</v>
      </c>
      <c r="C14" s="5">
        <v>45167593</v>
      </c>
      <c r="D14" s="5">
        <v>13282405</v>
      </c>
      <c r="E14" s="7">
        <f t="shared" ref="E14:E15" si="2">+C14-D14</f>
        <v>31885188</v>
      </c>
      <c r="F14" s="8">
        <v>5113</v>
      </c>
      <c r="G14" s="5"/>
      <c r="H14" s="5"/>
      <c r="I14" s="5">
        <f t="shared" ref="I14:I15" si="3">+IF(F14=5113,C14,)</f>
        <v>45167593</v>
      </c>
      <c r="J14" s="5">
        <f t="shared" ref="J14:J15" si="4">+IF(F14=5113,D14,0)</f>
        <v>13282405</v>
      </c>
    </row>
    <row r="15" spans="1:10" ht="54.75" customHeight="1" x14ac:dyDescent="0.25">
      <c r="A15" s="4"/>
      <c r="B15" s="72" t="s">
        <v>52</v>
      </c>
      <c r="C15" s="5">
        <v>6850000</v>
      </c>
      <c r="D15" s="5">
        <v>2014375</v>
      </c>
      <c r="E15" s="7">
        <f t="shared" si="2"/>
        <v>4835625</v>
      </c>
      <c r="F15" s="8">
        <v>5113</v>
      </c>
      <c r="G15" s="5"/>
      <c r="H15" s="5"/>
      <c r="I15" s="5">
        <f t="shared" si="3"/>
        <v>6850000</v>
      </c>
      <c r="J15" s="5">
        <f t="shared" si="4"/>
        <v>2014375</v>
      </c>
    </row>
    <row r="16" spans="1:10" ht="54.75" customHeight="1" x14ac:dyDescent="0.25">
      <c r="A16" s="4">
        <v>3</v>
      </c>
      <c r="B16" s="72" t="s">
        <v>36</v>
      </c>
      <c r="C16" s="5">
        <v>30924074</v>
      </c>
      <c r="D16" s="5">
        <v>9093823</v>
      </c>
      <c r="E16" s="7">
        <f t="shared" ref="E16:E24" si="5">+C16-D16</f>
        <v>21830251</v>
      </c>
      <c r="F16" s="8">
        <v>5113</v>
      </c>
      <c r="G16" s="5"/>
      <c r="H16" s="5"/>
      <c r="I16" s="5">
        <f t="shared" ref="I16:I24" si="6">+IF(F16=5113,C16,)</f>
        <v>30924074</v>
      </c>
      <c r="J16" s="5">
        <f t="shared" ref="J16:J24" si="7">+IF(F16=5113,D16,0)</f>
        <v>9093823</v>
      </c>
    </row>
    <row r="17" spans="1:10" ht="45.75" customHeight="1" x14ac:dyDescent="0.25">
      <c r="A17" s="4">
        <v>4</v>
      </c>
      <c r="B17" s="72" t="s">
        <v>37</v>
      </c>
      <c r="C17" s="5">
        <v>171105556</v>
      </c>
      <c r="D17" s="5">
        <v>50316902</v>
      </c>
      <c r="E17" s="7">
        <f t="shared" si="5"/>
        <v>120788654</v>
      </c>
      <c r="F17" s="8">
        <v>5113</v>
      </c>
      <c r="G17" s="5"/>
      <c r="H17" s="5"/>
      <c r="I17" s="5">
        <f t="shared" si="6"/>
        <v>171105556</v>
      </c>
      <c r="J17" s="5">
        <f t="shared" si="7"/>
        <v>50316902</v>
      </c>
    </row>
    <row r="18" spans="1:10" ht="55.5" customHeight="1" x14ac:dyDescent="0.25">
      <c r="A18" s="4">
        <v>7</v>
      </c>
      <c r="B18" s="72" t="s">
        <v>40</v>
      </c>
      <c r="C18" s="5">
        <v>45055556</v>
      </c>
      <c r="D18" s="5">
        <v>13249459</v>
      </c>
      <c r="E18" s="7">
        <f t="shared" si="5"/>
        <v>31806097</v>
      </c>
      <c r="F18" s="8">
        <v>5113</v>
      </c>
      <c r="G18" s="5"/>
      <c r="H18" s="5"/>
      <c r="I18" s="5">
        <f t="shared" si="6"/>
        <v>45055556</v>
      </c>
      <c r="J18" s="5">
        <f t="shared" si="7"/>
        <v>13249459</v>
      </c>
    </row>
    <row r="19" spans="1:10" ht="55.5" customHeight="1" x14ac:dyDescent="0.25">
      <c r="A19" s="4">
        <v>10</v>
      </c>
      <c r="B19" s="72" t="s">
        <v>43</v>
      </c>
      <c r="C19" s="5">
        <v>55242593</v>
      </c>
      <c r="D19" s="5">
        <v>16245154</v>
      </c>
      <c r="E19" s="7">
        <f t="shared" si="5"/>
        <v>38997439</v>
      </c>
      <c r="F19" s="8">
        <v>5113</v>
      </c>
      <c r="G19" s="5"/>
      <c r="H19" s="5"/>
      <c r="I19" s="5">
        <f t="shared" si="6"/>
        <v>55242593</v>
      </c>
      <c r="J19" s="5">
        <f t="shared" si="7"/>
        <v>16245154</v>
      </c>
    </row>
    <row r="20" spans="1:10" ht="55.5" customHeight="1" x14ac:dyDescent="0.25">
      <c r="A20" s="4">
        <v>11</v>
      </c>
      <c r="B20" s="72" t="s">
        <v>44</v>
      </c>
      <c r="C20" s="5">
        <v>123636111</v>
      </c>
      <c r="D20" s="5">
        <v>36357593</v>
      </c>
      <c r="E20" s="7">
        <f t="shared" si="5"/>
        <v>87278518</v>
      </c>
      <c r="F20" s="8">
        <v>5113</v>
      </c>
      <c r="G20" s="5"/>
      <c r="H20" s="5"/>
      <c r="I20" s="5">
        <f t="shared" si="6"/>
        <v>123636111</v>
      </c>
      <c r="J20" s="5">
        <f t="shared" si="7"/>
        <v>36357593</v>
      </c>
    </row>
    <row r="21" spans="1:10" ht="55.5" customHeight="1" x14ac:dyDescent="0.25">
      <c r="A21" s="4">
        <v>14</v>
      </c>
      <c r="B21" s="72" t="s">
        <v>47</v>
      </c>
      <c r="C21" s="5">
        <v>132840740</v>
      </c>
      <c r="D21" s="5">
        <v>39064392</v>
      </c>
      <c r="E21" s="7">
        <f t="shared" si="5"/>
        <v>93776348</v>
      </c>
      <c r="F21" s="8">
        <v>5113</v>
      </c>
      <c r="G21" s="5"/>
      <c r="H21" s="5"/>
      <c r="I21" s="5">
        <f t="shared" si="6"/>
        <v>132840740</v>
      </c>
      <c r="J21" s="5">
        <f t="shared" si="7"/>
        <v>39064392</v>
      </c>
    </row>
    <row r="22" spans="1:10" ht="55.5" customHeight="1" x14ac:dyDescent="0.25">
      <c r="A22" s="4">
        <v>15</v>
      </c>
      <c r="B22" s="72" t="s">
        <v>48</v>
      </c>
      <c r="C22" s="5">
        <v>45107407</v>
      </c>
      <c r="D22" s="5">
        <v>13264707</v>
      </c>
      <c r="E22" s="7">
        <f t="shared" si="5"/>
        <v>31842700</v>
      </c>
      <c r="F22" s="8">
        <v>5113</v>
      </c>
      <c r="G22" s="5"/>
      <c r="H22" s="5"/>
      <c r="I22" s="5">
        <f t="shared" si="6"/>
        <v>45107407</v>
      </c>
      <c r="J22" s="5">
        <f t="shared" si="7"/>
        <v>13264707</v>
      </c>
    </row>
    <row r="23" spans="1:10" ht="55.5" customHeight="1" x14ac:dyDescent="0.25">
      <c r="A23" s="4">
        <v>16</v>
      </c>
      <c r="B23" s="72" t="s">
        <v>49</v>
      </c>
      <c r="C23" s="5">
        <v>212777778</v>
      </c>
      <c r="D23" s="5">
        <v>62571426</v>
      </c>
      <c r="E23" s="7">
        <f t="shared" si="5"/>
        <v>150206352</v>
      </c>
      <c r="F23" s="8">
        <v>5113</v>
      </c>
      <c r="G23" s="5"/>
      <c r="H23" s="5"/>
      <c r="I23" s="5">
        <f t="shared" si="6"/>
        <v>212777778</v>
      </c>
      <c r="J23" s="5">
        <f t="shared" si="7"/>
        <v>62571426</v>
      </c>
    </row>
    <row r="24" spans="1:10" ht="45.75" customHeight="1" x14ac:dyDescent="0.25">
      <c r="A24" s="4">
        <v>17</v>
      </c>
      <c r="B24" s="72" t="s">
        <v>50</v>
      </c>
      <c r="C24" s="5">
        <v>79785185</v>
      </c>
      <c r="D24" s="5">
        <v>23462377</v>
      </c>
      <c r="E24" s="7">
        <f t="shared" si="5"/>
        <v>56322808</v>
      </c>
      <c r="F24" s="8">
        <v>5113</v>
      </c>
      <c r="G24" s="5"/>
      <c r="H24" s="5"/>
      <c r="I24" s="5">
        <f t="shared" si="6"/>
        <v>79785185</v>
      </c>
      <c r="J24" s="5">
        <f t="shared" si="7"/>
        <v>23462377</v>
      </c>
    </row>
    <row r="25" spans="1:10" ht="33.75" customHeight="1" x14ac:dyDescent="0.25">
      <c r="A25" s="4"/>
      <c r="B25" s="72" t="s">
        <v>34</v>
      </c>
      <c r="C25" s="5">
        <v>214508333</v>
      </c>
      <c r="D25" s="5">
        <v>63080329</v>
      </c>
      <c r="E25" s="7">
        <f>+C25-D25</f>
        <v>151428004</v>
      </c>
      <c r="F25" s="8">
        <v>5113</v>
      </c>
      <c r="G25" s="5"/>
      <c r="H25" s="5"/>
      <c r="I25" s="5">
        <f>+IF(F25=5113,C25,)</f>
        <v>214508333</v>
      </c>
      <c r="J25" s="5">
        <f>+IF(F25=5113,D25,0)</f>
        <v>63080329</v>
      </c>
    </row>
    <row r="26" spans="1:10" ht="33.75" customHeight="1" x14ac:dyDescent="0.25">
      <c r="A26" s="4"/>
      <c r="B26" s="72" t="s">
        <v>35</v>
      </c>
      <c r="C26" s="5">
        <v>72339815</v>
      </c>
      <c r="D26" s="5">
        <v>21272923</v>
      </c>
      <c r="E26" s="7">
        <f t="shared" ref="E26" si="8">+C26-D26</f>
        <v>51066892</v>
      </c>
      <c r="F26" s="8">
        <v>5113</v>
      </c>
      <c r="G26" s="5"/>
      <c r="H26" s="5"/>
      <c r="I26" s="5">
        <f t="shared" ref="I26" si="9">+IF(F26=5113,C26,)</f>
        <v>72339815</v>
      </c>
      <c r="J26" s="5">
        <f t="shared" ref="J26" si="10">+IF(F26=5113,D26,0)</f>
        <v>21272923</v>
      </c>
    </row>
    <row r="27" spans="1:10" ht="54" customHeight="1" x14ac:dyDescent="0.25">
      <c r="A27" s="4">
        <v>3</v>
      </c>
      <c r="B27" s="73" t="s">
        <v>53</v>
      </c>
      <c r="C27" s="5">
        <v>61212963</v>
      </c>
      <c r="D27" s="5">
        <v>18000857</v>
      </c>
      <c r="E27" s="7">
        <f t="shared" ref="E27" si="11">+C27-D27</f>
        <v>43212106</v>
      </c>
      <c r="F27" s="8">
        <v>5113</v>
      </c>
      <c r="G27" s="5"/>
      <c r="H27" s="5"/>
      <c r="I27" s="5">
        <f t="shared" ref="I27" si="12">+IF(F27=5113,C27,)</f>
        <v>61212963</v>
      </c>
      <c r="J27" s="5">
        <f t="shared" ref="J27" si="13">+IF(F27=5113,D27,0)</f>
        <v>18000857</v>
      </c>
    </row>
    <row r="28" spans="1:10" ht="42.75" customHeight="1" x14ac:dyDescent="0.25">
      <c r="A28" s="4">
        <v>5</v>
      </c>
      <c r="B28" s="72" t="s">
        <v>38</v>
      </c>
      <c r="C28" s="5">
        <v>113344444</v>
      </c>
      <c r="D28" s="5">
        <v>33331129</v>
      </c>
      <c r="E28" s="7">
        <f t="shared" ref="E28:E33" si="14">+C28-D28</f>
        <v>80013315</v>
      </c>
      <c r="F28" s="8">
        <v>5113</v>
      </c>
      <c r="G28" s="5"/>
      <c r="H28" s="5"/>
      <c r="I28" s="5">
        <f t="shared" ref="I28:I33" si="15">+IF(F28=5113,C28,)</f>
        <v>113344444</v>
      </c>
      <c r="J28" s="5">
        <f t="shared" ref="J28:J33" si="16">+IF(F28=5113,D28,0)</f>
        <v>33331129</v>
      </c>
    </row>
    <row r="29" spans="1:10" ht="57.75" customHeight="1" x14ac:dyDescent="0.25">
      <c r="A29" s="4">
        <v>6</v>
      </c>
      <c r="B29" s="72" t="s">
        <v>39</v>
      </c>
      <c r="C29" s="5">
        <v>74195370</v>
      </c>
      <c r="D29" s="5">
        <v>21818585</v>
      </c>
      <c r="E29" s="7">
        <f t="shared" si="14"/>
        <v>52376785</v>
      </c>
      <c r="F29" s="8">
        <v>5113</v>
      </c>
      <c r="G29" s="5"/>
      <c r="H29" s="5"/>
      <c r="I29" s="5">
        <f t="shared" si="15"/>
        <v>74195370</v>
      </c>
      <c r="J29" s="5">
        <f t="shared" si="16"/>
        <v>21818585</v>
      </c>
    </row>
    <row r="30" spans="1:10" ht="55.5" customHeight="1" x14ac:dyDescent="0.25">
      <c r="A30" s="4">
        <v>8</v>
      </c>
      <c r="B30" s="72" t="s">
        <v>41</v>
      </c>
      <c r="C30" s="5">
        <v>60752778</v>
      </c>
      <c r="D30" s="5">
        <v>17865531</v>
      </c>
      <c r="E30" s="7">
        <f t="shared" si="14"/>
        <v>42887247</v>
      </c>
      <c r="F30" s="8">
        <v>5113</v>
      </c>
      <c r="G30" s="5"/>
      <c r="H30" s="5"/>
      <c r="I30" s="5">
        <f t="shared" si="15"/>
        <v>60752778</v>
      </c>
      <c r="J30" s="5">
        <f t="shared" si="16"/>
        <v>17865531</v>
      </c>
    </row>
    <row r="31" spans="1:10" ht="55.5" customHeight="1" x14ac:dyDescent="0.25">
      <c r="A31" s="4">
        <v>9</v>
      </c>
      <c r="B31" s="72" t="s">
        <v>42</v>
      </c>
      <c r="C31" s="5">
        <v>59634259</v>
      </c>
      <c r="D31" s="5">
        <v>17536609</v>
      </c>
      <c r="E31" s="7">
        <f t="shared" si="14"/>
        <v>42097650</v>
      </c>
      <c r="F31" s="8">
        <v>5113</v>
      </c>
      <c r="G31" s="5"/>
      <c r="H31" s="5"/>
      <c r="I31" s="5">
        <f t="shared" si="15"/>
        <v>59634259</v>
      </c>
      <c r="J31" s="5">
        <f t="shared" si="16"/>
        <v>17536609</v>
      </c>
    </row>
    <row r="32" spans="1:10" ht="55.5" customHeight="1" x14ac:dyDescent="0.25">
      <c r="A32" s="4">
        <v>12</v>
      </c>
      <c r="B32" s="72" t="s">
        <v>45</v>
      </c>
      <c r="C32" s="5">
        <v>102143519</v>
      </c>
      <c r="D32" s="5">
        <v>30037280</v>
      </c>
      <c r="E32" s="7">
        <f t="shared" si="14"/>
        <v>72106239</v>
      </c>
      <c r="F32" s="8">
        <v>5113</v>
      </c>
      <c r="G32" s="5"/>
      <c r="H32" s="5"/>
      <c r="I32" s="5">
        <f t="shared" si="15"/>
        <v>102143519</v>
      </c>
      <c r="J32" s="5">
        <f t="shared" si="16"/>
        <v>30037280</v>
      </c>
    </row>
    <row r="33" spans="1:10" ht="55.5" customHeight="1" x14ac:dyDescent="0.25">
      <c r="A33" s="4">
        <v>13</v>
      </c>
      <c r="B33" s="72" t="s">
        <v>46</v>
      </c>
      <c r="C33" s="5">
        <v>49325926</v>
      </c>
      <c r="D33" s="5">
        <v>14505244</v>
      </c>
      <c r="E33" s="7">
        <f t="shared" si="14"/>
        <v>34820682</v>
      </c>
      <c r="F33" s="8">
        <v>5113</v>
      </c>
      <c r="G33" s="5"/>
      <c r="H33" s="5"/>
      <c r="I33" s="5">
        <f t="shared" si="15"/>
        <v>49325926</v>
      </c>
      <c r="J33" s="5">
        <f t="shared" si="16"/>
        <v>14505244</v>
      </c>
    </row>
    <row r="34" spans="1:10" x14ac:dyDescent="0.25">
      <c r="A34" s="4"/>
      <c r="B34" s="4"/>
      <c r="C34" s="5"/>
      <c r="D34" s="5"/>
      <c r="E34" s="7">
        <f t="shared" ref="E34" si="17">+C34-D34</f>
        <v>0</v>
      </c>
      <c r="F34" s="7"/>
      <c r="G34" s="4"/>
      <c r="H34" s="4"/>
      <c r="I34" s="4"/>
      <c r="J34" s="4"/>
    </row>
    <row r="35" spans="1:10" x14ac:dyDescent="0.25">
      <c r="A35" s="4"/>
      <c r="B35" s="10" t="s">
        <v>17</v>
      </c>
      <c r="C35" s="11">
        <f>+C13+C9</f>
        <v>3148542592</v>
      </c>
      <c r="D35" s="11">
        <f t="shared" ref="D35:J35" si="18">+D13+D9</f>
        <v>1819116316</v>
      </c>
      <c r="E35" s="11">
        <f t="shared" si="18"/>
        <v>1329426276</v>
      </c>
      <c r="F35" s="11">
        <f t="shared" si="18"/>
        <v>0</v>
      </c>
      <c r="G35" s="11">
        <f>+G13+G9</f>
        <v>1392592592</v>
      </c>
      <c r="H35" s="11">
        <f t="shared" si="18"/>
        <v>1302745216</v>
      </c>
      <c r="I35" s="11">
        <f>+I13+I9</f>
        <v>1755950000</v>
      </c>
      <c r="J35" s="11">
        <f t="shared" si="18"/>
        <v>516371100</v>
      </c>
    </row>
    <row r="37" spans="1:10" x14ac:dyDescent="0.25">
      <c r="E37" s="2"/>
    </row>
    <row r="39" spans="1:10" x14ac:dyDescent="0.25">
      <c r="I39" s="2"/>
    </row>
    <row r="40" spans="1:10" x14ac:dyDescent="0.25">
      <c r="I40" s="2"/>
    </row>
  </sheetData>
  <mergeCells count="1">
    <mergeCell ref="A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6" workbookViewId="0">
      <selection activeCell="D24" sqref="D24"/>
    </sheetView>
  </sheetViews>
  <sheetFormatPr defaultRowHeight="15" x14ac:dyDescent="0.25"/>
  <cols>
    <col min="1" max="1" width="28.85546875" customWidth="1"/>
    <col min="2" max="2" width="15.7109375" customWidth="1"/>
    <col min="3" max="3" width="15.7109375" bestFit="1" customWidth="1"/>
    <col min="4" max="4" width="15.7109375" customWidth="1"/>
    <col min="5" max="5" width="15.7109375" hidden="1" customWidth="1"/>
    <col min="6" max="7" width="19.140625" hidden="1" customWidth="1"/>
    <col min="8" max="8" width="15.85546875" customWidth="1"/>
    <col min="10" max="10" width="19.140625" bestFit="1" customWidth="1"/>
    <col min="11" max="11" width="14.5703125" bestFit="1" customWidth="1"/>
    <col min="12" max="12" width="15.42578125" bestFit="1" customWidth="1"/>
    <col min="13" max="13" width="15.7109375" customWidth="1"/>
  </cols>
  <sheetData>
    <row r="1" spans="1:14" ht="16.5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6.5" x14ac:dyDescent="0.25">
      <c r="A2" s="16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22.5" x14ac:dyDescent="0.3">
      <c r="A4" s="79" t="s">
        <v>56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17"/>
    </row>
    <row r="6" spans="1:14" ht="28.5" x14ac:dyDescent="0.25">
      <c r="A6" s="34" t="s">
        <v>19</v>
      </c>
      <c r="B6" s="35" t="s">
        <v>20</v>
      </c>
      <c r="C6" s="36" t="s">
        <v>4</v>
      </c>
      <c r="D6" s="36" t="s">
        <v>54</v>
      </c>
      <c r="E6" s="36" t="s">
        <v>5</v>
      </c>
      <c r="F6" s="37" t="s">
        <v>21</v>
      </c>
      <c r="G6" s="37" t="s">
        <v>30</v>
      </c>
      <c r="H6" s="34" t="s">
        <v>22</v>
      </c>
      <c r="I6" s="35" t="s">
        <v>23</v>
      </c>
      <c r="J6" s="36" t="s">
        <v>24</v>
      </c>
      <c r="K6" s="34" t="s">
        <v>25</v>
      </c>
      <c r="L6" s="34" t="s">
        <v>26</v>
      </c>
      <c r="M6" s="38" t="s">
        <v>27</v>
      </c>
      <c r="N6" s="39"/>
    </row>
    <row r="7" spans="1:14" ht="16.5" x14ac:dyDescent="0.25">
      <c r="A7" s="44" t="s">
        <v>12</v>
      </c>
      <c r="B7" s="53">
        <v>0</v>
      </c>
      <c r="C7" s="45">
        <v>0</v>
      </c>
      <c r="D7" s="45"/>
      <c r="E7" s="45">
        <v>0</v>
      </c>
      <c r="F7" s="45">
        <v>0</v>
      </c>
      <c r="G7" s="45"/>
      <c r="H7" s="45">
        <v>0</v>
      </c>
      <c r="I7" s="46">
        <v>0.2</v>
      </c>
      <c r="J7" s="45">
        <v>0</v>
      </c>
      <c r="K7" s="47">
        <v>0</v>
      </c>
      <c r="L7" s="47"/>
      <c r="M7" s="47">
        <v>0</v>
      </c>
      <c r="N7" s="31"/>
    </row>
    <row r="8" spans="1:14" ht="16.5" x14ac:dyDescent="0.25">
      <c r="A8" s="32">
        <v>5112</v>
      </c>
      <c r="B8" s="54">
        <v>0</v>
      </c>
      <c r="C8" s="25">
        <v>0</v>
      </c>
      <c r="D8" s="25"/>
      <c r="E8" s="30">
        <v>0</v>
      </c>
      <c r="F8" s="25">
        <v>0</v>
      </c>
      <c r="G8" s="25"/>
      <c r="H8" s="20">
        <v>0</v>
      </c>
      <c r="I8" s="21"/>
      <c r="J8" s="25">
        <v>0</v>
      </c>
      <c r="K8" s="22"/>
      <c r="L8" s="20">
        <v>0</v>
      </c>
      <c r="M8" s="20"/>
      <c r="N8" s="31"/>
    </row>
    <row r="9" spans="1:14" x14ac:dyDescent="0.25">
      <c r="A9" s="24">
        <v>5113</v>
      </c>
      <c r="B9" s="54">
        <v>0</v>
      </c>
      <c r="C9" s="25"/>
      <c r="D9" s="25"/>
      <c r="E9" s="25"/>
      <c r="F9" s="25">
        <v>0</v>
      </c>
      <c r="G9" s="25"/>
      <c r="H9" s="33">
        <v>0</v>
      </c>
      <c r="I9" s="26"/>
      <c r="J9" s="25">
        <v>0</v>
      </c>
      <c r="K9" s="24"/>
      <c r="L9" s="20">
        <v>0</v>
      </c>
      <c r="M9" s="24"/>
      <c r="N9" s="15"/>
    </row>
    <row r="10" spans="1:14" ht="16.5" x14ac:dyDescent="0.25">
      <c r="A10" s="48" t="s">
        <v>14</v>
      </c>
      <c r="B10" s="55">
        <v>0.69107226859519255</v>
      </c>
      <c r="C10" s="49">
        <f>+SUM(C11:C12)</f>
        <v>1392592592</v>
      </c>
      <c r="D10" s="49">
        <f>+B10*D18</f>
        <v>670409377.07690215</v>
      </c>
      <c r="E10" s="49"/>
      <c r="F10" s="49"/>
      <c r="G10" s="49">
        <f>+SUM(G11:G12)</f>
        <v>0</v>
      </c>
      <c r="H10" s="49"/>
      <c r="I10" s="50">
        <v>0.17</v>
      </c>
      <c r="J10" s="49">
        <f>+D10*I10</f>
        <v>113969594.10307337</v>
      </c>
      <c r="K10" s="49">
        <f>+J10/2</f>
        <v>56984797.051536687</v>
      </c>
      <c r="L10" s="49">
        <f>+SUM(L11:L12)</f>
        <v>0</v>
      </c>
      <c r="M10" s="49">
        <f t="shared" ref="M10" si="0">+SUM(M11:M12)</f>
        <v>0</v>
      </c>
      <c r="N10" s="23"/>
    </row>
    <row r="11" spans="1:14" x14ac:dyDescent="0.25">
      <c r="A11" s="24">
        <v>5112</v>
      </c>
      <c r="B11" s="54">
        <f>+C11/$C$18</f>
        <v>0.44227531073399323</v>
      </c>
      <c r="C11" s="25">
        <f>+BCQT!G9</f>
        <v>1392592592</v>
      </c>
      <c r="D11" s="25"/>
      <c r="E11" s="25"/>
      <c r="F11" s="25"/>
      <c r="G11" s="25"/>
      <c r="H11" s="33"/>
      <c r="I11" s="26"/>
      <c r="J11" s="25">
        <f>+H11*$I$10</f>
        <v>0</v>
      </c>
      <c r="K11" s="33"/>
      <c r="L11" s="20"/>
      <c r="M11" s="20">
        <f>+L11</f>
        <v>0</v>
      </c>
      <c r="N11" s="15"/>
    </row>
    <row r="12" spans="1:14" ht="16.5" x14ac:dyDescent="0.25">
      <c r="A12" s="24">
        <v>5113</v>
      </c>
      <c r="B12" s="54">
        <f>+C12/$C$18</f>
        <v>0</v>
      </c>
      <c r="C12" s="25">
        <f>+BCQT!I9</f>
        <v>0</v>
      </c>
      <c r="D12" s="25"/>
      <c r="E12" s="25"/>
      <c r="F12" s="25"/>
      <c r="G12" s="25">
        <f>+B12*$G$18</f>
        <v>0</v>
      </c>
      <c r="H12" s="33"/>
      <c r="I12" s="26"/>
      <c r="J12" s="25">
        <f>+H12*I10</f>
        <v>0</v>
      </c>
      <c r="K12" s="33">
        <f>+J12*50%</f>
        <v>0</v>
      </c>
      <c r="L12" s="20">
        <f>+J12-K12</f>
        <v>0</v>
      </c>
      <c r="M12" s="20">
        <f>+L12</f>
        <v>0</v>
      </c>
      <c r="N12" s="23"/>
    </row>
    <row r="13" spans="1:14" x14ac:dyDescent="0.25">
      <c r="A13" s="29" t="s">
        <v>16</v>
      </c>
      <c r="B13" s="56">
        <v>0.30892773140480745</v>
      </c>
      <c r="C13" s="42">
        <f>+SUM(C14:C17)</f>
        <v>1756108134</v>
      </c>
      <c r="D13" s="42">
        <f>+B13*D18</f>
        <v>299690867.92309791</v>
      </c>
      <c r="E13" s="42"/>
      <c r="F13" s="42"/>
      <c r="G13" s="42">
        <f>+SUM(G14:G17)</f>
        <v>0</v>
      </c>
      <c r="H13" s="42"/>
      <c r="I13" s="43">
        <v>0.1</v>
      </c>
      <c r="J13" s="42">
        <f>+D13*I13</f>
        <v>29969086.792309791</v>
      </c>
      <c r="K13" s="42">
        <f>+J13/2</f>
        <v>14984543.396154895</v>
      </c>
      <c r="L13" s="42">
        <f>+SUM(L14:L17)</f>
        <v>0</v>
      </c>
      <c r="M13" s="42">
        <f t="shared" ref="M13" si="1">+SUM(M14:M17)</f>
        <v>0</v>
      </c>
      <c r="N13" s="15"/>
    </row>
    <row r="14" spans="1:14" x14ac:dyDescent="0.25">
      <c r="A14" s="24">
        <v>5112</v>
      </c>
      <c r="B14" s="57">
        <v>0</v>
      </c>
      <c r="C14" s="25"/>
      <c r="D14" s="25"/>
      <c r="E14" s="25"/>
      <c r="F14" s="25"/>
      <c r="G14" s="25"/>
      <c r="H14" s="33"/>
      <c r="I14" s="26"/>
      <c r="J14" s="25"/>
      <c r="K14" s="25"/>
      <c r="L14" s="20"/>
      <c r="M14" s="20"/>
      <c r="N14" s="15"/>
    </row>
    <row r="15" spans="1:14" x14ac:dyDescent="0.25">
      <c r="A15" s="24">
        <v>5113</v>
      </c>
      <c r="B15" s="57">
        <f>+C15/$C$18</f>
        <v>0.55767446728120706</v>
      </c>
      <c r="C15" s="25">
        <f>+BCQT!I13</f>
        <v>1755950000</v>
      </c>
      <c r="D15" s="25"/>
      <c r="E15" s="25"/>
      <c r="F15" s="25"/>
      <c r="G15" s="25">
        <f>+B15*$G$18</f>
        <v>0</v>
      </c>
      <c r="H15" s="33"/>
      <c r="I15" s="26"/>
      <c r="J15" s="25">
        <f>+H15*$I$13</f>
        <v>0</v>
      </c>
      <c r="K15" s="25">
        <f>+J15*50%</f>
        <v>0</v>
      </c>
      <c r="L15" s="20">
        <f>+J15-K15</f>
        <v>0</v>
      </c>
      <c r="M15" s="20">
        <f>+L15</f>
        <v>0</v>
      </c>
      <c r="N15" s="15"/>
    </row>
    <row r="16" spans="1:14" ht="16.5" x14ac:dyDescent="0.25">
      <c r="A16" s="24">
        <v>5151</v>
      </c>
      <c r="B16" s="57">
        <f>+C16/$C$18</f>
        <v>5.0221984799707506E-5</v>
      </c>
      <c r="C16" s="60">
        <v>158134</v>
      </c>
      <c r="D16" s="60"/>
      <c r="E16" s="25"/>
      <c r="F16" s="25"/>
      <c r="G16" s="25">
        <f>+B16*$G$18</f>
        <v>0</v>
      </c>
      <c r="H16" s="33"/>
      <c r="I16" s="26"/>
      <c r="J16" s="25">
        <f>+H16*$I$13</f>
        <v>0</v>
      </c>
      <c r="K16" s="25">
        <f t="shared" ref="K16:K17" si="2">+J16*50%</f>
        <v>0</v>
      </c>
      <c r="L16" s="20">
        <f>+J16-K16</f>
        <v>0</v>
      </c>
      <c r="M16" s="20">
        <f>+L16</f>
        <v>0</v>
      </c>
      <c r="N16" s="23"/>
    </row>
    <row r="17" spans="1:14" ht="16.5" x14ac:dyDescent="0.25">
      <c r="A17" s="24">
        <v>711</v>
      </c>
      <c r="B17" s="57">
        <f>+C17/$C$18</f>
        <v>0</v>
      </c>
      <c r="C17" s="60">
        <v>0</v>
      </c>
      <c r="D17" s="60"/>
      <c r="E17" s="25"/>
      <c r="F17" s="25">
        <f>+B17*$F$18</f>
        <v>0</v>
      </c>
      <c r="G17" s="25"/>
      <c r="H17" s="33"/>
      <c r="I17" s="26"/>
      <c r="J17" s="25">
        <f>+H17*$I$13</f>
        <v>0</v>
      </c>
      <c r="K17" s="25">
        <f t="shared" si="2"/>
        <v>0</v>
      </c>
      <c r="L17" s="20">
        <f>+J17-K17</f>
        <v>0</v>
      </c>
      <c r="M17" s="20">
        <f t="shared" ref="M17" si="3">+L17</f>
        <v>0</v>
      </c>
      <c r="N17" s="23"/>
    </row>
    <row r="18" spans="1:14" x14ac:dyDescent="0.25">
      <c r="A18" s="18" t="s">
        <v>28</v>
      </c>
      <c r="B18" s="27"/>
      <c r="C18" s="19">
        <f>+C7+C10+C13</f>
        <v>3148700726</v>
      </c>
      <c r="D18" s="19">
        <v>970100245</v>
      </c>
      <c r="E18" s="19">
        <f>+E7+E10+E13</f>
        <v>0</v>
      </c>
      <c r="F18" s="52">
        <v>1816591076</v>
      </c>
      <c r="G18" s="52"/>
      <c r="H18" s="19">
        <f>+C18-E18-F18-G18</f>
        <v>1332109650</v>
      </c>
      <c r="I18" s="19"/>
      <c r="J18" s="19">
        <f>+J10+J13</f>
        <v>143938680.89538318</v>
      </c>
      <c r="K18" s="19">
        <f>+K10+K13</f>
        <v>71969340.44769159</v>
      </c>
      <c r="L18" s="19">
        <f>+L10+L13</f>
        <v>0</v>
      </c>
      <c r="M18" s="19">
        <f>+M10+M13</f>
        <v>0</v>
      </c>
      <c r="N18" s="15"/>
    </row>
    <row r="19" spans="1:14" ht="16.5" x14ac:dyDescent="0.25">
      <c r="A19" s="15"/>
      <c r="B19" s="15"/>
      <c r="C19" s="68"/>
      <c r="D19" s="68"/>
      <c r="E19" s="68"/>
      <c r="F19" s="68"/>
      <c r="G19" s="68"/>
      <c r="H19" s="68"/>
      <c r="I19" s="62"/>
      <c r="J19" s="62"/>
      <c r="K19" s="28"/>
      <c r="L19" s="28"/>
      <c r="M19" s="15"/>
      <c r="N19" s="15"/>
    </row>
    <row r="20" spans="1:14" ht="16.5" x14ac:dyDescent="0.25">
      <c r="A20" s="15"/>
      <c r="B20" s="61"/>
      <c r="C20" s="62"/>
      <c r="D20" s="62"/>
      <c r="E20" s="62"/>
      <c r="F20" s="62"/>
      <c r="G20" s="62"/>
      <c r="H20" s="70"/>
      <c r="I20" s="70"/>
      <c r="J20" s="70"/>
      <c r="K20" s="58"/>
      <c r="L20" s="81" t="s">
        <v>55</v>
      </c>
      <c r="M20" s="81"/>
      <c r="N20" s="15"/>
    </row>
    <row r="21" spans="1:14" ht="16.5" x14ac:dyDescent="0.25">
      <c r="A21" s="80"/>
      <c r="B21" s="80"/>
      <c r="C21" s="75"/>
      <c r="D21" s="75"/>
      <c r="E21" s="62"/>
      <c r="F21" s="62"/>
      <c r="G21" s="62"/>
      <c r="H21" s="76"/>
      <c r="I21" s="76"/>
      <c r="J21" s="70"/>
      <c r="K21" s="59"/>
      <c r="L21" s="82" t="s">
        <v>29</v>
      </c>
      <c r="M21" s="82"/>
      <c r="N21" s="15"/>
    </row>
    <row r="22" spans="1:14" ht="18" x14ac:dyDescent="0.3">
      <c r="A22" s="66"/>
      <c r="B22" s="67"/>
      <c r="C22" s="77"/>
      <c r="D22" s="77"/>
      <c r="E22" s="77"/>
      <c r="F22" s="77"/>
      <c r="G22" s="77"/>
      <c r="H22" s="68"/>
      <c r="I22" s="62"/>
      <c r="J22" s="71"/>
      <c r="K22" s="69"/>
      <c r="L22" s="15"/>
      <c r="M22" s="15"/>
      <c r="N22" s="15"/>
    </row>
    <row r="23" spans="1:14" ht="18" x14ac:dyDescent="0.3">
      <c r="A23" s="66"/>
      <c r="B23" s="67"/>
      <c r="C23" s="77"/>
      <c r="D23" s="77"/>
      <c r="E23" s="77"/>
      <c r="F23" s="77"/>
      <c r="G23" s="77"/>
      <c r="H23" s="62"/>
      <c r="I23" s="62"/>
      <c r="J23" s="71"/>
      <c r="K23" s="51"/>
      <c r="L23" s="15"/>
      <c r="M23" s="28"/>
      <c r="N23" s="15"/>
    </row>
    <row r="24" spans="1:14" ht="18" x14ac:dyDescent="0.3">
      <c r="A24" s="66"/>
      <c r="B24" s="67"/>
      <c r="C24" s="41"/>
      <c r="D24" s="41"/>
      <c r="E24" s="41"/>
      <c r="F24" s="41"/>
      <c r="G24" s="41"/>
      <c r="H24" s="68"/>
      <c r="I24" s="15"/>
      <c r="J24" s="71"/>
      <c r="K24" s="28"/>
      <c r="L24" s="15"/>
      <c r="M24" s="15"/>
      <c r="N24" s="15"/>
    </row>
    <row r="25" spans="1:14" ht="18" x14ac:dyDescent="0.3">
      <c r="A25" s="66"/>
      <c r="B25" s="67"/>
      <c r="C25" s="41"/>
      <c r="D25" s="41"/>
      <c r="E25" s="41"/>
      <c r="F25" s="41"/>
      <c r="G25" s="41"/>
      <c r="H25" s="62"/>
      <c r="I25" s="15"/>
      <c r="J25" s="71"/>
      <c r="K25" s="28"/>
      <c r="L25" s="15"/>
      <c r="M25" s="28"/>
      <c r="N25" s="15"/>
    </row>
    <row r="26" spans="1:14" ht="18" x14ac:dyDescent="0.3">
      <c r="A26" s="64"/>
      <c r="B26" s="65"/>
      <c r="C26" s="41"/>
      <c r="D26" s="41"/>
      <c r="E26" s="41"/>
      <c r="F26" s="41"/>
      <c r="G26" s="41"/>
      <c r="H26" s="68"/>
      <c r="I26" s="15"/>
      <c r="J26" s="71"/>
      <c r="K26" s="28"/>
      <c r="L26" s="15"/>
      <c r="M26" s="15"/>
      <c r="N26" s="15"/>
    </row>
    <row r="27" spans="1:14" ht="18" x14ac:dyDescent="0.3">
      <c r="A27" s="15"/>
      <c r="B27" s="40"/>
      <c r="C27" s="41"/>
      <c r="D27" s="41"/>
      <c r="E27" s="41"/>
      <c r="F27" s="41"/>
      <c r="G27" s="41"/>
      <c r="H27" s="69"/>
      <c r="I27" s="15"/>
      <c r="J27" s="71"/>
      <c r="K27" s="15"/>
      <c r="L27" s="15"/>
      <c r="M27" s="15"/>
      <c r="N27" s="15"/>
    </row>
    <row r="28" spans="1:14" ht="16.5" x14ac:dyDescent="0.25">
      <c r="A28" s="15"/>
      <c r="B28" s="40"/>
      <c r="C28" s="41"/>
      <c r="D28" s="41"/>
      <c r="E28" s="41"/>
      <c r="F28" s="41"/>
      <c r="G28" s="41"/>
      <c r="H28" s="28"/>
      <c r="I28" s="15"/>
      <c r="J28" s="62"/>
      <c r="K28" s="15"/>
      <c r="L28" s="15"/>
      <c r="M28" s="15"/>
      <c r="N28" s="15"/>
    </row>
    <row r="29" spans="1:14" ht="16.5" x14ac:dyDescent="0.25">
      <c r="A29" s="15"/>
      <c r="B29" s="40"/>
      <c r="C29" s="41"/>
      <c r="D29" s="41"/>
      <c r="E29" s="41"/>
      <c r="F29" s="41"/>
      <c r="G29" s="41"/>
      <c r="H29" s="15"/>
      <c r="I29" s="15"/>
      <c r="J29" s="62"/>
      <c r="K29" s="15"/>
      <c r="L29" s="15"/>
      <c r="M29" s="15"/>
      <c r="N29" s="15"/>
    </row>
    <row r="30" spans="1:14" ht="16.5" x14ac:dyDescent="0.25">
      <c r="A30" s="15"/>
      <c r="B30" s="40"/>
      <c r="C30" s="41"/>
      <c r="D30" s="41"/>
      <c r="E30" s="41"/>
      <c r="F30" s="41"/>
      <c r="G30" s="41"/>
      <c r="H30" s="69"/>
      <c r="I30" s="15"/>
      <c r="J30" s="62"/>
      <c r="K30" s="15"/>
      <c r="L30" s="15"/>
      <c r="M30" s="15"/>
      <c r="N30" s="15"/>
    </row>
    <row r="31" spans="1:14" ht="16.5" x14ac:dyDescent="0.25">
      <c r="A31" s="15"/>
      <c r="B31" s="40"/>
      <c r="C31" s="41"/>
      <c r="D31" s="41"/>
      <c r="E31" s="41"/>
      <c r="F31" s="41"/>
      <c r="G31" s="41"/>
      <c r="H31" s="69"/>
      <c r="I31" s="15"/>
      <c r="J31" s="62"/>
      <c r="K31" s="15"/>
      <c r="L31" s="15"/>
      <c r="M31" s="15"/>
      <c r="N31" s="15"/>
    </row>
    <row r="32" spans="1:14" ht="16.5" x14ac:dyDescent="0.25">
      <c r="A32" s="15"/>
      <c r="B32" s="40"/>
      <c r="C32" s="41"/>
      <c r="D32" s="41"/>
      <c r="E32" s="41"/>
      <c r="F32" s="41"/>
      <c r="G32" s="41"/>
      <c r="H32" s="15"/>
      <c r="I32" s="15"/>
      <c r="J32" s="15"/>
      <c r="K32" s="15"/>
      <c r="L32" s="15"/>
      <c r="M32" s="15"/>
      <c r="N32" s="15"/>
    </row>
    <row r="33" spans="2:7" ht="16.5" x14ac:dyDescent="0.25">
      <c r="B33" s="40"/>
      <c r="C33" s="41"/>
      <c r="D33" s="41"/>
      <c r="E33" s="41"/>
      <c r="F33" s="41"/>
      <c r="G33" s="41"/>
    </row>
    <row r="34" spans="2:7" ht="16.5" x14ac:dyDescent="0.25">
      <c r="B34" s="40"/>
      <c r="C34" s="41"/>
      <c r="D34" s="41"/>
      <c r="E34" s="41"/>
      <c r="F34" s="41"/>
      <c r="G34" s="41"/>
    </row>
    <row r="35" spans="2:7" ht="16.5" x14ac:dyDescent="0.25">
      <c r="B35" s="40"/>
      <c r="C35" s="41"/>
      <c r="D35" s="41"/>
      <c r="E35" s="41"/>
      <c r="F35" s="41"/>
      <c r="G35" s="41"/>
    </row>
    <row r="36" spans="2:7" ht="16.5" x14ac:dyDescent="0.25">
      <c r="B36" s="40"/>
      <c r="C36" s="41"/>
      <c r="D36" s="41"/>
      <c r="E36" s="41"/>
      <c r="F36" s="41"/>
      <c r="G36" s="41"/>
    </row>
    <row r="37" spans="2:7" ht="16.5" x14ac:dyDescent="0.25">
      <c r="B37" s="40"/>
      <c r="C37" s="41"/>
      <c r="D37" s="41"/>
      <c r="E37" s="41"/>
      <c r="F37" s="41"/>
      <c r="G37" s="41"/>
    </row>
    <row r="38" spans="2:7" ht="16.5" x14ac:dyDescent="0.25">
      <c r="B38" s="40"/>
      <c r="C38" s="41"/>
      <c r="D38" s="41"/>
      <c r="E38" s="41"/>
      <c r="F38" s="41"/>
      <c r="G38" s="41"/>
    </row>
  </sheetData>
  <mergeCells count="4">
    <mergeCell ref="A4:M4"/>
    <mergeCell ref="A21:B21"/>
    <mergeCell ref="L20:M20"/>
    <mergeCell ref="L21:M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BCQT</vt:lpstr>
      <vt:lpstr>TTNDN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ProBook</cp:lastModifiedBy>
  <dcterms:created xsi:type="dcterms:W3CDTF">2023-02-23T14:31:09Z</dcterms:created>
  <dcterms:modified xsi:type="dcterms:W3CDTF">2025-03-05T10:10:01Z</dcterms:modified>
</cp:coreProperties>
</file>