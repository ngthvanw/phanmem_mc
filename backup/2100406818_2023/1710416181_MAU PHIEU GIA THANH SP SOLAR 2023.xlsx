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AN\NAM 2023\"/>
    </mc:Choice>
  </mc:AlternateContent>
  <bookViews>
    <workbookView xWindow="20370" yWindow="-120" windowWidth="29040" windowHeight="15840" firstSheet="1" activeTab="1"/>
  </bookViews>
  <sheets>
    <sheet name="THONG TIN" sheetId="2" r:id="rId1"/>
    <sheet name="SL 2023" sheetId="4" r:id="rId2"/>
    <sheet name="T1" sheetId="5" r:id="rId3"/>
    <sheet name="T2" sheetId="10" r:id="rId4"/>
    <sheet name="T3" sheetId="11" r:id="rId5"/>
    <sheet name="T4" sheetId="6" r:id="rId6"/>
    <sheet name="T5" sheetId="12" r:id="rId7"/>
    <sheet name="T6" sheetId="13" r:id="rId8"/>
    <sheet name="T7" sheetId="7" r:id="rId9"/>
    <sheet name="T8" sheetId="14" r:id="rId10"/>
    <sheet name="T9" sheetId="15" r:id="rId11"/>
    <sheet name="T10" sheetId="8" r:id="rId12"/>
    <sheet name="T11" sheetId="16" r:id="rId13"/>
    <sheet name="T12" sheetId="17" r:id="rId14"/>
  </sheets>
  <calcPr calcId="152511"/>
</workbook>
</file>

<file path=xl/calcChain.xml><?xml version="1.0" encoding="utf-8"?>
<calcChain xmlns="http://schemas.openxmlformats.org/spreadsheetml/2006/main">
  <c r="H60" i="4" l="1"/>
  <c r="E53" i="6"/>
  <c r="C53" i="6"/>
  <c r="C53" i="11"/>
  <c r="C53" i="10"/>
  <c r="E50" i="10"/>
  <c r="E53" i="10" s="1"/>
  <c r="E50" i="11"/>
  <c r="F50" i="11" s="1"/>
  <c r="F53" i="11" s="1"/>
  <c r="E50" i="6"/>
  <c r="F50" i="6" s="1"/>
  <c r="F53" i="6" s="1"/>
  <c r="E50" i="12"/>
  <c r="F50" i="12" s="1"/>
  <c r="E50" i="13"/>
  <c r="F50" i="13" s="1"/>
  <c r="E50" i="7"/>
  <c r="F50" i="7" s="1"/>
  <c r="E50" i="14"/>
  <c r="F50" i="14" s="1"/>
  <c r="E50" i="15"/>
  <c r="F50" i="15" s="1"/>
  <c r="E50" i="8"/>
  <c r="F50" i="8" s="1"/>
  <c r="E50" i="16"/>
  <c r="F50" i="16" s="1"/>
  <c r="E50" i="17"/>
  <c r="F50" i="17" s="1"/>
  <c r="E50" i="5"/>
  <c r="F50" i="5" s="1"/>
  <c r="F53" i="5" s="1"/>
  <c r="D53" i="10"/>
  <c r="D53" i="11"/>
  <c r="D53" i="6"/>
  <c r="D53" i="12"/>
  <c r="D53" i="13"/>
  <c r="D53" i="7"/>
  <c r="D53" i="14"/>
  <c r="D53" i="15"/>
  <c r="D53" i="8"/>
  <c r="D53" i="16"/>
  <c r="D53" i="17"/>
  <c r="D53" i="5"/>
  <c r="E53" i="5"/>
  <c r="C53" i="12"/>
  <c r="C53" i="13"/>
  <c r="C53" i="7"/>
  <c r="C53" i="14"/>
  <c r="C53" i="15"/>
  <c r="C53" i="8"/>
  <c r="C53" i="16"/>
  <c r="C53" i="17"/>
  <c r="C53" i="5"/>
  <c r="D24" i="6"/>
  <c r="D24" i="12"/>
  <c r="D24" i="13"/>
  <c r="E24" i="13"/>
  <c r="D24" i="7"/>
  <c r="D24" i="14"/>
  <c r="D24" i="15"/>
  <c r="D24" i="8"/>
  <c r="E24" i="8"/>
  <c r="D24" i="16"/>
  <c r="D24" i="17"/>
  <c r="D24" i="11"/>
  <c r="C24" i="6"/>
  <c r="C24" i="12"/>
  <c r="C24" i="13"/>
  <c r="C24" i="7"/>
  <c r="C24" i="14"/>
  <c r="C24" i="15"/>
  <c r="C24" i="8"/>
  <c r="C24" i="16"/>
  <c r="C24" i="17"/>
  <c r="C24" i="11"/>
  <c r="D24" i="10"/>
  <c r="E24" i="10"/>
  <c r="C24" i="10"/>
  <c r="D24" i="5"/>
  <c r="C24" i="5"/>
  <c r="F21" i="14"/>
  <c r="F16" i="14"/>
  <c r="F22" i="10"/>
  <c r="F24" i="10" s="1"/>
  <c r="F22" i="12"/>
  <c r="F24" i="12" s="1"/>
  <c r="F22" i="13"/>
  <c r="F24" i="13" s="1"/>
  <c r="F22" i="8"/>
  <c r="F24" i="8" s="1"/>
  <c r="F22" i="16"/>
  <c r="F24" i="16" s="1"/>
  <c r="F21" i="10"/>
  <c r="F21" i="11"/>
  <c r="F21" i="6"/>
  <c r="F21" i="12"/>
  <c r="F21" i="13"/>
  <c r="F21" i="7"/>
  <c r="F21" i="15"/>
  <c r="F21" i="8"/>
  <c r="F21" i="16"/>
  <c r="F21" i="17"/>
  <c r="F21" i="5"/>
  <c r="E22" i="10"/>
  <c r="E22" i="11"/>
  <c r="E24" i="11" s="1"/>
  <c r="E22" i="6"/>
  <c r="E24" i="6" s="1"/>
  <c r="E22" i="12"/>
  <c r="E24" i="12" s="1"/>
  <c r="E22" i="13"/>
  <c r="E22" i="7"/>
  <c r="F22" i="7" s="1"/>
  <c r="F24" i="7" s="1"/>
  <c r="E22" i="14"/>
  <c r="F22" i="14" s="1"/>
  <c r="F24" i="14" s="1"/>
  <c r="E22" i="15"/>
  <c r="E24" i="15" s="1"/>
  <c r="E22" i="8"/>
  <c r="E22" i="16"/>
  <c r="E24" i="16" s="1"/>
  <c r="E22" i="17"/>
  <c r="F22" i="17" s="1"/>
  <c r="F24" i="17" s="1"/>
  <c r="E22" i="5"/>
  <c r="E24" i="5" s="1"/>
  <c r="D22" i="10"/>
  <c r="D22" i="11"/>
  <c r="D22" i="6"/>
  <c r="D22" i="12"/>
  <c r="D22" i="13"/>
  <c r="D22" i="7"/>
  <c r="D22" i="14"/>
  <c r="D22" i="15"/>
  <c r="D22" i="8"/>
  <c r="D22" i="16"/>
  <c r="D22" i="17"/>
  <c r="D22" i="5"/>
  <c r="C16" i="11"/>
  <c r="C16" i="6"/>
  <c r="C16" i="12"/>
  <c r="C16" i="13"/>
  <c r="C16" i="7"/>
  <c r="C16" i="14"/>
  <c r="C16" i="15"/>
  <c r="C16" i="8"/>
  <c r="C16" i="16"/>
  <c r="C16" i="17"/>
  <c r="C16" i="10"/>
  <c r="D46" i="4"/>
  <c r="C43" i="4"/>
  <c r="C17" i="4"/>
  <c r="D26" i="4"/>
  <c r="D12" i="4"/>
  <c r="E53" i="11" l="1"/>
  <c r="F50" i="10"/>
  <c r="F53" i="10" s="1"/>
  <c r="E24" i="7"/>
  <c r="F22" i="5"/>
  <c r="F24" i="5" s="1"/>
  <c r="F22" i="15"/>
  <c r="F24" i="15" s="1"/>
  <c r="F22" i="6"/>
  <c r="F24" i="6" s="1"/>
  <c r="E24" i="17"/>
  <c r="E24" i="14"/>
  <c r="F22" i="11"/>
  <c r="F24" i="11" s="1"/>
  <c r="C10" i="4"/>
  <c r="C11" i="4"/>
  <c r="C9" i="4"/>
  <c r="D9" i="4"/>
  <c r="D20" i="4"/>
  <c r="D25" i="4" l="1"/>
  <c r="F25" i="4"/>
  <c r="E25" i="4"/>
  <c r="C13" i="4"/>
  <c r="C14" i="4"/>
  <c r="C15" i="4"/>
  <c r="C12" i="4" l="1"/>
  <c r="D58" i="4"/>
  <c r="F50" i="4"/>
  <c r="F46" i="4"/>
  <c r="F58" i="4"/>
  <c r="C55" i="4"/>
  <c r="E51" i="5"/>
  <c r="F54" i="4" l="1"/>
  <c r="F59" i="4" s="1"/>
  <c r="C57" i="4"/>
  <c r="C56" i="4"/>
  <c r="C58" i="4" s="1"/>
  <c r="C53" i="4"/>
  <c r="C52" i="4"/>
  <c r="C51" i="4"/>
  <c r="C49" i="4"/>
  <c r="C48" i="4"/>
  <c r="C47" i="4"/>
  <c r="C45" i="4"/>
  <c r="C44" i="4"/>
  <c r="C23" i="4"/>
  <c r="C22" i="4"/>
  <c r="C21" i="4"/>
  <c r="C19" i="4"/>
  <c r="C18" i="4"/>
  <c r="C25" i="4" l="1"/>
  <c r="C46" i="4"/>
  <c r="F20" i="4"/>
  <c r="F16" i="4"/>
  <c r="F12" i="4"/>
  <c r="E58" i="4"/>
  <c r="E54" i="4"/>
  <c r="E50" i="4"/>
  <c r="E46" i="4"/>
  <c r="E20" i="4"/>
  <c r="E16" i="4"/>
  <c r="E12" i="4"/>
  <c r="E44" i="17"/>
  <c r="E44" i="16"/>
  <c r="E44" i="8"/>
  <c r="E44" i="15"/>
  <c r="E44" i="14"/>
  <c r="E44" i="7"/>
  <c r="E53" i="7" s="1"/>
  <c r="E44" i="13"/>
  <c r="E44" i="12"/>
  <c r="E53" i="12" s="1"/>
  <c r="F44" i="8" l="1"/>
  <c r="F53" i="8" s="1"/>
  <c r="E53" i="8"/>
  <c r="F44" i="7"/>
  <c r="F53" i="7" s="1"/>
  <c r="F44" i="16"/>
  <c r="F53" i="16" s="1"/>
  <c r="E53" i="16"/>
  <c r="F44" i="12"/>
  <c r="F53" i="12" s="1"/>
  <c r="F44" i="14"/>
  <c r="F53" i="14" s="1"/>
  <c r="E53" i="14"/>
  <c r="F44" i="17"/>
  <c r="F53" i="17" s="1"/>
  <c r="E53" i="17"/>
  <c r="F44" i="13"/>
  <c r="F53" i="13" s="1"/>
  <c r="E53" i="13"/>
  <c r="F44" i="15"/>
  <c r="F53" i="15" s="1"/>
  <c r="E53" i="15"/>
  <c r="E26" i="4"/>
  <c r="E59" i="4"/>
  <c r="G59" i="4" s="1"/>
  <c r="F26" i="4"/>
  <c r="E44" i="6"/>
  <c r="F44" i="11"/>
  <c r="E44" i="11"/>
  <c r="E44" i="10"/>
  <c r="E44" i="5"/>
  <c r="F44" i="5" s="1"/>
  <c r="E16" i="17"/>
  <c r="F16" i="17" s="1"/>
  <c r="E16" i="16"/>
  <c r="F16" i="16" s="1"/>
  <c r="F16" i="8"/>
  <c r="E16" i="8"/>
  <c r="E16" i="15"/>
  <c r="F16" i="15" s="1"/>
  <c r="E16" i="14"/>
  <c r="E16" i="7"/>
  <c r="F16" i="7" s="1"/>
  <c r="F16" i="13"/>
  <c r="E16" i="13"/>
  <c r="E16" i="12"/>
  <c r="F16" i="12" s="1"/>
  <c r="F16" i="6"/>
  <c r="E16" i="6"/>
  <c r="E16" i="11"/>
  <c r="F16" i="11" s="1"/>
  <c r="F16" i="10"/>
  <c r="E16" i="10"/>
  <c r="E16" i="5"/>
  <c r="F16" i="5" s="1"/>
  <c r="G26" i="4" l="1"/>
  <c r="H27" i="4"/>
  <c r="F44" i="6"/>
  <c r="F44" i="10"/>
  <c r="B53" i="17"/>
  <c r="C51" i="17"/>
  <c r="E51" i="17" s="1"/>
  <c r="F51" i="17" s="1"/>
  <c r="D49" i="17"/>
  <c r="E49" i="17"/>
  <c r="B24" i="17"/>
  <c r="D21" i="17"/>
  <c r="C21" i="17"/>
  <c r="E21" i="17" s="1"/>
  <c r="A2" i="17"/>
  <c r="A30" i="17" s="1"/>
  <c r="A1" i="17"/>
  <c r="A29" i="17" s="1"/>
  <c r="B53" i="16"/>
  <c r="C51" i="16"/>
  <c r="E51" i="16" s="1"/>
  <c r="F51" i="16" s="1"/>
  <c r="D49" i="16"/>
  <c r="E49" i="16"/>
  <c r="B24" i="16"/>
  <c r="D21" i="16"/>
  <c r="C21" i="16"/>
  <c r="E21" i="16" s="1"/>
  <c r="A2" i="16"/>
  <c r="A30" i="16" s="1"/>
  <c r="A1" i="16"/>
  <c r="A29" i="16" s="1"/>
  <c r="B53" i="8"/>
  <c r="C51" i="8"/>
  <c r="E51" i="8" s="1"/>
  <c r="F51" i="8" s="1"/>
  <c r="D49" i="8"/>
  <c r="E49" i="8"/>
  <c r="B24" i="8"/>
  <c r="D21" i="8"/>
  <c r="C21" i="8"/>
  <c r="E21" i="8" s="1"/>
  <c r="A2" i="8"/>
  <c r="A30" i="8" s="1"/>
  <c r="A1" i="8"/>
  <c r="A29" i="8" s="1"/>
  <c r="B53" i="15"/>
  <c r="C51" i="15"/>
  <c r="E51" i="15" s="1"/>
  <c r="F51" i="15" s="1"/>
  <c r="D49" i="15"/>
  <c r="E49" i="15"/>
  <c r="B24" i="15"/>
  <c r="D21" i="15"/>
  <c r="C21" i="15"/>
  <c r="E21" i="15" s="1"/>
  <c r="A2" i="15"/>
  <c r="A30" i="15" s="1"/>
  <c r="A1" i="15"/>
  <c r="A29" i="15" s="1"/>
  <c r="B53" i="14"/>
  <c r="C51" i="14"/>
  <c r="E51" i="14" s="1"/>
  <c r="F51" i="14" s="1"/>
  <c r="E49" i="14"/>
  <c r="D49" i="14"/>
  <c r="B24" i="14"/>
  <c r="D21" i="14"/>
  <c r="C21" i="14"/>
  <c r="A2" i="14"/>
  <c r="A30" i="14" s="1"/>
  <c r="A1" i="14"/>
  <c r="A29" i="14" s="1"/>
  <c r="B53" i="7"/>
  <c r="C51" i="7"/>
  <c r="E51" i="7" s="1"/>
  <c r="F51" i="7" s="1"/>
  <c r="D49" i="7"/>
  <c r="E49" i="7"/>
  <c r="B24" i="7"/>
  <c r="D21" i="7"/>
  <c r="C21" i="7"/>
  <c r="E21" i="7" s="1"/>
  <c r="A2" i="7"/>
  <c r="A30" i="7" s="1"/>
  <c r="A1" i="7"/>
  <c r="A29" i="7" s="1"/>
  <c r="B53" i="13"/>
  <c r="C51" i="13"/>
  <c r="E51" i="13" s="1"/>
  <c r="F51" i="13" s="1"/>
  <c r="D49" i="13"/>
  <c r="E49" i="13"/>
  <c r="B24" i="13"/>
  <c r="D21" i="13"/>
  <c r="C21" i="13"/>
  <c r="E21" i="13" s="1"/>
  <c r="A2" i="13"/>
  <c r="A30" i="13" s="1"/>
  <c r="A1" i="13"/>
  <c r="A29" i="13" s="1"/>
  <c r="B53" i="12"/>
  <c r="C51" i="12"/>
  <c r="E51" i="12" s="1"/>
  <c r="F51" i="12" s="1"/>
  <c r="D49" i="12"/>
  <c r="E49" i="12"/>
  <c r="B24" i="12"/>
  <c r="D21" i="12"/>
  <c r="C21" i="12"/>
  <c r="E21" i="12" s="1"/>
  <c r="A2" i="12"/>
  <c r="A30" i="12" s="1"/>
  <c r="A1" i="12"/>
  <c r="A29" i="12" s="1"/>
  <c r="C51" i="6"/>
  <c r="C21" i="6"/>
  <c r="C51" i="11"/>
  <c r="C21" i="11"/>
  <c r="F49" i="17" l="1"/>
  <c r="F49" i="16"/>
  <c r="F49" i="8"/>
  <c r="F49" i="15"/>
  <c r="E21" i="14"/>
  <c r="F49" i="14"/>
  <c r="F49" i="7"/>
  <c r="F49" i="13"/>
  <c r="F49" i="12"/>
  <c r="I56" i="4" l="1"/>
  <c r="I55" i="4"/>
  <c r="I53" i="4"/>
  <c r="I51" i="4"/>
  <c r="I49" i="4"/>
  <c r="I48" i="4"/>
  <c r="I57" i="4"/>
  <c r="I52" i="4"/>
  <c r="C21" i="10" l="1"/>
  <c r="D21" i="5"/>
  <c r="C21" i="5"/>
  <c r="B53" i="11"/>
  <c r="E51" i="11"/>
  <c r="F51" i="11" s="1"/>
  <c r="D49" i="11"/>
  <c r="B24" i="11"/>
  <c r="D21" i="11"/>
  <c r="E21" i="11"/>
  <c r="A2" i="11"/>
  <c r="A30" i="11" s="1"/>
  <c r="A1" i="11"/>
  <c r="A29" i="11" s="1"/>
  <c r="B53" i="10"/>
  <c r="E51" i="10"/>
  <c r="F51" i="10" s="1"/>
  <c r="E49" i="10"/>
  <c r="F49" i="10" s="1"/>
  <c r="D49" i="10"/>
  <c r="B24" i="10"/>
  <c r="E21" i="10"/>
  <c r="D21" i="10"/>
  <c r="A2" i="10"/>
  <c r="A30" i="10" s="1"/>
  <c r="A1" i="10"/>
  <c r="A29" i="10" s="1"/>
  <c r="E49" i="11" l="1"/>
  <c r="I19" i="4"/>
  <c r="I18" i="4"/>
  <c r="I23" i="4"/>
  <c r="I15" i="4"/>
  <c r="I14" i="4"/>
  <c r="I11" i="4"/>
  <c r="I44" i="4" l="1"/>
  <c r="I10" i="4"/>
  <c r="F49" i="11"/>
  <c r="I22" i="4"/>
  <c r="I45" i="4" l="1"/>
  <c r="E51" i="6"/>
  <c r="B53" i="6"/>
  <c r="D49" i="6"/>
  <c r="B24" i="6"/>
  <c r="D21" i="6"/>
  <c r="F51" i="5"/>
  <c r="B53" i="5"/>
  <c r="D49" i="5"/>
  <c r="B24" i="5"/>
  <c r="E21" i="5"/>
  <c r="I9" i="4" l="1"/>
  <c r="E49" i="6"/>
  <c r="E21" i="6"/>
  <c r="E49" i="5"/>
  <c r="I21" i="4"/>
  <c r="I17" i="4"/>
  <c r="A2" i="6"/>
  <c r="A30" i="6" s="1"/>
  <c r="A1" i="6"/>
  <c r="A29" i="6" s="1"/>
  <c r="A2" i="5"/>
  <c r="A30" i="5" s="1"/>
  <c r="A1" i="5"/>
  <c r="A29" i="5" s="1"/>
  <c r="F49" i="5" l="1"/>
  <c r="F51" i="6"/>
  <c r="F49" i="6"/>
  <c r="I13" i="4"/>
  <c r="D54" i="4" l="1"/>
  <c r="D50" i="4"/>
  <c r="C36" i="4"/>
  <c r="C35" i="4"/>
  <c r="I47" i="4" l="1"/>
  <c r="I43" i="4"/>
  <c r="D59" i="4"/>
  <c r="C54" i="4"/>
  <c r="C50" i="4"/>
  <c r="D16" i="4"/>
  <c r="C16" i="4"/>
  <c r="C20" i="4"/>
  <c r="C26" i="4" l="1"/>
  <c r="C59" i="4"/>
  <c r="C2" i="4"/>
  <c r="C1" i="4"/>
</calcChain>
</file>

<file path=xl/sharedStrings.xml><?xml version="1.0" encoding="utf-8"?>
<sst xmlns="http://schemas.openxmlformats.org/spreadsheetml/2006/main" count="858" uniqueCount="116">
  <si>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</si>
  <si>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</si>
  <si>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</si>
  <si>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</si>
  <si>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</si>
  <si>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</si>
  <si>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</si>
  <si>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</si>
  <si>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</si>
  <si>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</si>
  <si>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</si>
  <si>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</si>
  <si>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</si>
  <si>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</si>
  <si>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</si>
  <si>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</si>
  <si>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</si>
  <si>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</si>
  <si>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</si>
  <si>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</si>
  <si>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</si>
  <si>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</si>
  <si>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</si>
  <si>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</si>
  <si>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</si>
  <si>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</si>
  <si>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</si>
  <si>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</si>
  <si>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</si>
  <si>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</si>
  <si>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</si>
  <si>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</si>
  <si>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</si>
  <si>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</si>
  <si>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</si>
  <si>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</si>
  <si>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</si>
  <si>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</si>
  <si>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</si>
  <si>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</si>
  <si>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</si>
  <si>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</si>
  <si>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</si>
  <si>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</si>
  <si>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</si>
  <si>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</si>
  <si>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</si>
  <si>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</si>
  <si>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</si>
  <si>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</si>
  <si>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</si>
  <si>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</si>
  <si>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</si>
  <si>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</si>
  <si>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</si>
  <si>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</si>
  <si>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</si>
  <si>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</si>
  <si>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Công ty TNHH Thuận An</t>
  </si>
  <si>
    <t>Ấp Chồng Nô 3, Xã Hòa Tân, Huyện Cầu Kè, Tỉnh Trà Vinh</t>
  </si>
  <si>
    <t>2 1 0 0 4 0 6 8 1 8</t>
  </si>
  <si>
    <t>Hóa đơn Số 26</t>
  </si>
  <si>
    <t>Hóa đơn Số 27</t>
  </si>
  <si>
    <t xml:space="preserve">  62,3    Kw</t>
  </si>
  <si>
    <t>HÒA TÂN</t>
  </si>
  <si>
    <t>HÒA ÂN</t>
  </si>
  <si>
    <t xml:space="preserve"> 142,4     Kw</t>
  </si>
  <si>
    <t>Chi phí khấu hao hệ thống pin năng lượng mặt trời</t>
  </si>
  <si>
    <t>ĐỊA ĐIỂM :</t>
  </si>
  <si>
    <t>Chi phí khấu hao sửa chửa hệ thống ĐMT</t>
  </si>
  <si>
    <t>Giá thành</t>
  </si>
  <si>
    <t>Hóa đơn Số 14</t>
  </si>
  <si>
    <t>Hóa đơn Số 18</t>
  </si>
  <si>
    <t>Hóa đơn Số 22</t>
  </si>
  <si>
    <t>Sản lượng còn lại 12/2022</t>
  </si>
  <si>
    <t>Hóa đơn 1</t>
  </si>
  <si>
    <t>Hóa đơn 3 và 5</t>
  </si>
  <si>
    <t>Hóa đơn số 8</t>
  </si>
  <si>
    <t>Hóa đơn Số 13</t>
  </si>
  <si>
    <t>Hóa đơn Số 15</t>
  </si>
  <si>
    <t>Hóa đơn Số 21</t>
  </si>
  <si>
    <t>Hóa đơn Số 32</t>
  </si>
  <si>
    <t>Hóa đơn Số 34</t>
  </si>
  <si>
    <t>Hóa đơn Số 01/2024</t>
  </si>
  <si>
    <t>Hóa đơn Số 02/2024</t>
  </si>
  <si>
    <t>Hóa đơn Số 02 san luong 2022</t>
  </si>
  <si>
    <t>Hóa đơn Số 04</t>
  </si>
  <si>
    <t>Hóa đơn Số 07</t>
  </si>
  <si>
    <t>Hóa đơn Số 11</t>
  </si>
  <si>
    <t>Hóa đơn Số 17</t>
  </si>
  <si>
    <t>Hóa đơn Số 20</t>
  </si>
  <si>
    <t>Hóa đơn Số 25</t>
  </si>
  <si>
    <t>Hóa đơn Số 28</t>
  </si>
  <si>
    <t>Hóa đơn Số 31</t>
  </si>
  <si>
    <t>Hóa đơn Số 33</t>
  </si>
  <si>
    <t>Tháng 12 /2023</t>
  </si>
  <si>
    <t>Tháng 12/2023</t>
  </si>
  <si>
    <t>Tháng 11/2023</t>
  </si>
  <si>
    <t>Tháng 11 /2023</t>
  </si>
  <si>
    <t>Tháng 10/2023</t>
  </si>
  <si>
    <t>Tháng 10 /2023</t>
  </si>
  <si>
    <t>Tháng 9 /2023</t>
  </si>
  <si>
    <t>Tháng 9/2023</t>
  </si>
  <si>
    <t>Tháng 8 /2023</t>
  </si>
  <si>
    <t>Tháng 8/2023</t>
  </si>
  <si>
    <t>Tháng 7/2023</t>
  </si>
  <si>
    <t>Tháng 7 /2023</t>
  </si>
  <si>
    <t>Tháng 6/2023</t>
  </si>
  <si>
    <t>Tháng 6 /2023</t>
  </si>
  <si>
    <t>Tháng 5/2023</t>
  </si>
  <si>
    <t>Tháng 5 /2023</t>
  </si>
  <si>
    <t>Tháng 4/2023</t>
  </si>
  <si>
    <t>Tháng 3/2023</t>
  </si>
  <si>
    <t>Tháng 2/2023</t>
  </si>
  <si>
    <t>Tháng 1/2023</t>
  </si>
  <si>
    <t xml:space="preserve">Chi phí khấu hao thay tấm pin sửa chửa hệ thống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</si>
</sst>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₫_-;\-* #,##0.00\ _₫_-;_-* &quot;-&quot;??\ _₫_-;_-@_-"/>
    <numFmt numFmtId="164" formatCode="_(* #,##0_);_(* \(#,##0\);_(* &quot;-&quot;??_);_(@_)"/>
    <numFmt numFmtId="165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4" fontId="2" fillId="0" borderId="4" xfId="1" applyNumberFormat="1" applyFont="1" applyBorder="1"/>
    <xf numFmtId="0" fontId="2" fillId="0" borderId="5" xfId="0" applyFont="1" applyBorder="1"/>
    <xf numFmtId="164" fontId="2" fillId="0" borderId="5" xfId="1" applyNumberFormat="1" applyFont="1" applyBorder="1"/>
    <xf numFmtId="164" fontId="6" fillId="0" borderId="5" xfId="1" applyNumberFormat="1" applyFont="1" applyBorder="1" applyAlignment="1"/>
    <xf numFmtId="0" fontId="2" fillId="0" borderId="0" xfId="0" applyFont="1" applyBorder="1" applyAlignment="1">
      <alignment horizontal="center"/>
    </xf>
    <xf numFmtId="164" fontId="6" fillId="0" borderId="0" xfId="1" applyNumberFormat="1" applyFont="1" applyBorder="1"/>
    <xf numFmtId="164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4" fontId="2" fillId="0" borderId="8" xfId="1" applyNumberFormat="1" applyFont="1" applyBorder="1"/>
    <xf numFmtId="0" fontId="2" fillId="0" borderId="9" xfId="0" applyFont="1" applyBorder="1"/>
    <xf numFmtId="164" fontId="2" fillId="0" borderId="9" xfId="1" applyNumberFormat="1" applyFont="1" applyBorder="1"/>
    <xf numFmtId="164" fontId="6" fillId="0" borderId="9" xfId="1" applyNumberFormat="1" applyFont="1" applyBorder="1" applyAlignment="1"/>
    <xf numFmtId="0" fontId="2" fillId="0" borderId="3" xfId="0" applyFont="1" applyBorder="1"/>
    <xf numFmtId="164" fontId="2" fillId="0" borderId="3" xfId="1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3" fontId="8" fillId="2" borderId="1" xfId="0" applyNumberFormat="1" applyFont="1" applyFill="1" applyBorder="1"/>
    <xf numFmtId="0" fontId="9" fillId="0" borderId="0" xfId="0" applyFont="1"/>
    <xf numFmtId="0" fontId="9" fillId="0" borderId="0" xfId="0" applyFont="1" applyFill="1" applyBorder="1"/>
    <xf numFmtId="0" fontId="8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0" borderId="0" xfId="1" applyFont="1"/>
    <xf numFmtId="165" fontId="0" fillId="0" borderId="0" xfId="1" applyNumberFormat="1" applyFont="1"/>
    <xf numFmtId="165" fontId="8" fillId="2" borderId="1" xfId="0" applyNumberFormat="1" applyFont="1" applyFill="1" applyBorder="1"/>
    <xf numFmtId="165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0" borderId="0" xfId="0" applyFont="1" applyFill="1"/>
    <xf numFmtId="0" fontId="10" fillId="0" borderId="1" xfId="0" applyFont="1" applyBorder="1" applyAlignment="1">
      <alignment horizontal="center" vertical="center"/>
    </xf>
    <xf numFmtId="164" fontId="10" fillId="0" borderId="1" xfId="1" applyNumberFormat="1" applyFont="1" applyBorder="1" applyAlignment="1">
      <alignment vertical="center"/>
    </xf>
    <xf numFmtId="3" fontId="3" fillId="4" borderId="0" xfId="0" applyNumberFormat="1" applyFont="1" applyFill="1"/>
    <xf numFmtId="0" fontId="0" fillId="3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2" fillId="0" borderId="3" xfId="0" applyFont="1" applyBorder="1" applyAlignment="1">
      <alignment horizontal="center" vertical="center"/>
    </xf>
    <xf numFmtId="164" fontId="10" fillId="0" borderId="3" xfId="1" applyNumberFormat="1" applyFont="1" applyBorder="1" applyAlignment="1">
      <alignment vertical="center"/>
    </xf>
    <xf numFmtId="0" fontId="2" fillId="0" borderId="14" xfId="0" applyFont="1" applyBorder="1"/>
    <xf numFmtId="164" fontId="2" fillId="0" borderId="15" xfId="1" applyNumberFormat="1" applyFont="1" applyBorder="1"/>
    <xf numFmtId="0" fontId="2" fillId="0" borderId="16" xfId="0" applyFont="1" applyBorder="1"/>
    <xf numFmtId="164" fontId="2" fillId="0" borderId="13" xfId="1" applyNumberFormat="1" applyFont="1" applyBorder="1"/>
    <xf numFmtId="164" fontId="2" fillId="0" borderId="11" xfId="1" applyNumberFormat="1" applyFont="1" applyBorder="1"/>
    <xf numFmtId="0" fontId="2" fillId="0" borderId="17" xfId="0" applyFont="1" applyBorder="1"/>
    <xf numFmtId="0" fontId="2" fillId="0" borderId="12" xfId="0" applyFont="1" applyBorder="1"/>
    <xf numFmtId="164" fontId="2" fillId="0" borderId="17" xfId="1" applyNumberFormat="1" applyFont="1" applyBorder="1"/>
    <xf numFmtId="164" fontId="2" fillId="0" borderId="12" xfId="1" applyNumberFormat="1" applyFont="1" applyBorder="1"/>
    <xf numFmtId="0" fontId="0" fillId="0" borderId="2" xfId="0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0" fillId="4" borderId="0" xfId="0" applyFill="1"/>
    <xf numFmtId="43" fontId="0" fillId="4" borderId="0" xfId="1" applyFont="1" applyFill="1"/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164" fontId="2" fillId="0" borderId="25" xfId="1" applyNumberFormat="1" applyFont="1" applyBorder="1"/>
    <xf numFmtId="0" fontId="2" fillId="0" borderId="26" xfId="0" applyFont="1" applyBorder="1"/>
    <xf numFmtId="164" fontId="2" fillId="0" borderId="27" xfId="1" applyNumberFormat="1" applyFont="1" applyBorder="1"/>
    <xf numFmtId="0" fontId="2" fillId="0" borderId="28" xfId="0" applyFont="1" applyBorder="1"/>
    <xf numFmtId="164" fontId="2" fillId="0" borderId="29" xfId="1" applyNumberFormat="1" applyFont="1" applyBorder="1"/>
    <xf numFmtId="164" fontId="6" fillId="0" borderId="29" xfId="1" applyNumberFormat="1" applyFont="1" applyBorder="1" applyAlignment="1"/>
    <xf numFmtId="0" fontId="2" fillId="0" borderId="30" xfId="0" applyFont="1" applyBorder="1"/>
    <xf numFmtId="164" fontId="6" fillId="0" borderId="31" xfId="1" applyNumberFormat="1" applyFont="1" applyBorder="1" applyAlignment="1"/>
    <xf numFmtId="164" fontId="2" fillId="0" borderId="31" xfId="1" applyNumberFormat="1" applyFont="1" applyBorder="1"/>
    <xf numFmtId="0" fontId="2" fillId="0" borderId="32" xfId="0" applyFont="1" applyBorder="1" applyAlignment="1">
      <alignment horizontal="center" vertical="center"/>
    </xf>
    <xf numFmtId="164" fontId="10" fillId="0" borderId="33" xfId="1" applyNumberFormat="1" applyFont="1" applyBorder="1" applyAlignment="1">
      <alignment vertical="center"/>
    </xf>
    <xf numFmtId="0" fontId="2" fillId="0" borderId="13" xfId="0" applyFont="1" applyBorder="1"/>
    <xf numFmtId="3" fontId="0" fillId="4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165" fontId="0" fillId="0" borderId="0" xfId="1" applyNumberFormat="1" applyFont="1" applyFill="1"/>
    <xf numFmtId="3" fontId="0" fillId="0" borderId="10" xfId="0" applyNumberFormat="1" applyFill="1" applyBorder="1"/>
    <xf numFmtId="0" fontId="0" fillId="4" borderId="1" xfId="0" applyFill="1" applyBorder="1" applyAlignment="1">
      <alignment vertical="center"/>
    </xf>
    <xf numFmtId="165" fontId="0" fillId="4" borderId="1" xfId="1" applyNumberFormat="1" applyFont="1" applyFill="1" applyBorder="1" applyAlignment="1">
      <alignment vertical="center"/>
    </xf>
    <xf numFmtId="165" fontId="0" fillId="4" borderId="1" xfId="1" applyNumberFormat="1" applyFont="1" applyFill="1" applyBorder="1" applyAlignment="1">
      <alignment horizontal="center" vertical="center"/>
    </xf>
    <xf numFmtId="165" fontId="0" fillId="4" borderId="2" xfId="1" applyNumberFormat="1" applyFont="1" applyFill="1" applyBorder="1" applyAlignment="1">
      <alignment horizontal="center" vertical="center"/>
    </xf>
    <xf numFmtId="0" fontId="0" fillId="5" borderId="0" xfId="0" applyFill="1"/>
    <xf numFmtId="164" fontId="10" fillId="0" borderId="5" xfId="1" applyNumberFormat="1" applyFont="1" applyBorder="1"/>
    <xf numFmtId="0" fontId="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J15" sqref="J15"/>
    </sheetView>
  </sheetViews>
  <sheetFormatPr defaultRowHeight="15.75" x14ac:dyDescent="0.25"/>
  <sheetData>
    <row r="3" spans="1:3" x14ac:dyDescent="0.25">
      <c r="A3" t="s">
        <v>21</v>
      </c>
      <c r="C3" t="s">
        <v>58</v>
      </c>
    </row>
    <row r="4" spans="1:3" x14ac:dyDescent="0.25">
      <c r="A4" t="s">
        <v>22</v>
      </c>
      <c r="C4" t="s">
        <v>59</v>
      </c>
    </row>
    <row r="5" spans="1:3" x14ac:dyDescent="0.25">
      <c r="A5" t="s">
        <v>23</v>
      </c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7" workbookViewId="0">
      <selection activeCell="J5" sqref="J5"/>
    </sheetView>
  </sheetViews>
  <sheetFormatPr defaultRowHeight="15.75" x14ac:dyDescent="0.25"/>
  <cols>
    <col min="1" max="1" width="23" customWidth="1"/>
    <col min="2" max="2" width="2.625" customWidth="1"/>
    <col min="3" max="6" width="15.625" customWidth="1"/>
    <col min="8" max="8" width="18.375" customWidth="1"/>
    <col min="9" max="9" width="22.5" customWidth="1"/>
  </cols>
  <sheetData>
    <row r="1" spans="1:9" ht="33" customHeight="1" x14ac:dyDescent="0.25">
      <c r="A1" t="s">
        <v>21</v>
      </c>
      <c r="C1" t="str">
        <f>'THONG TIN'!C3</f>
        <v>Công ty TNHH Thuận An</v>
      </c>
    </row>
    <row r="2" spans="1:9" ht="27.7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9" ht="21.95" customHeight="1" x14ac:dyDescent="0.25">
      <c r="A3" s="104" t="s">
        <v>25</v>
      </c>
      <c r="B3" s="104"/>
      <c r="C3" s="104"/>
      <c r="D3" s="104"/>
      <c r="E3" s="104"/>
      <c r="F3" s="104"/>
    </row>
    <row r="4" spans="1:9" ht="21.95" customHeight="1" x14ac:dyDescent="0.25">
      <c r="A4" s="106" t="s">
        <v>64</v>
      </c>
      <c r="B4" s="106"/>
      <c r="C4" s="106"/>
      <c r="D4" s="106"/>
      <c r="E4" s="106"/>
      <c r="F4" s="106"/>
    </row>
    <row r="5" spans="1:9" ht="21.95" customHeight="1" x14ac:dyDescent="0.25">
      <c r="B5" t="s">
        <v>26</v>
      </c>
      <c r="D5" s="29" t="s">
        <v>63</v>
      </c>
      <c r="E5" s="24" t="s">
        <v>52</v>
      </c>
      <c r="F5" s="44">
        <v>2023</v>
      </c>
    </row>
    <row r="6" spans="1:9" ht="21.95" customHeight="1" x14ac:dyDescent="0.25"/>
    <row r="7" spans="1:9" ht="21.95" customHeight="1" x14ac:dyDescent="0.25">
      <c r="A7" s="105" t="s">
        <v>27</v>
      </c>
      <c r="B7" s="105"/>
      <c r="C7" s="45" t="s">
        <v>40</v>
      </c>
      <c r="D7" s="45" t="s">
        <v>41</v>
      </c>
      <c r="E7" s="45" t="s">
        <v>43</v>
      </c>
      <c r="F7" s="45" t="s">
        <v>42</v>
      </c>
      <c r="I7" s="57" t="s">
        <v>70</v>
      </c>
    </row>
    <row r="8" spans="1:9" ht="21.95" customHeight="1" x14ac:dyDescent="0.25">
      <c r="A8" s="98" t="s">
        <v>74</v>
      </c>
      <c r="B8" s="98"/>
      <c r="C8" s="99">
        <v>0</v>
      </c>
      <c r="D8" s="100">
        <v>5720</v>
      </c>
      <c r="E8" s="60"/>
      <c r="F8" s="60"/>
      <c r="G8" t="s">
        <v>75</v>
      </c>
      <c r="I8" s="57"/>
    </row>
    <row r="9" spans="1:9" ht="21.95" customHeight="1" x14ac:dyDescent="0.25">
      <c r="A9" s="58" t="s">
        <v>28</v>
      </c>
      <c r="B9" s="59"/>
      <c r="C9" s="48">
        <f>D9+E9+F9</f>
        <v>8400</v>
      </c>
      <c r="D9" s="34">
        <f>1410+6850</f>
        <v>8260</v>
      </c>
      <c r="E9" s="34">
        <v>100</v>
      </c>
      <c r="F9" s="34">
        <v>40</v>
      </c>
      <c r="G9" t="s">
        <v>76</v>
      </c>
      <c r="H9" s="47"/>
      <c r="I9" s="48">
        <f>'T1'!F24</f>
        <v>1800.1422619047621</v>
      </c>
    </row>
    <row r="10" spans="1:9" ht="21.95" customHeight="1" x14ac:dyDescent="0.25">
      <c r="A10" s="27" t="s">
        <v>29</v>
      </c>
      <c r="B10" s="28"/>
      <c r="C10" s="48">
        <f t="shared" ref="C10:C11" si="0">D10+E10+F10</f>
        <v>6950</v>
      </c>
      <c r="D10" s="34">
        <v>6900</v>
      </c>
      <c r="E10" s="35">
        <v>10</v>
      </c>
      <c r="F10" s="35">
        <v>40</v>
      </c>
      <c r="G10" t="s">
        <v>77</v>
      </c>
      <c r="H10" s="47"/>
      <c r="I10" s="48">
        <f>'T2'!F24</f>
        <v>2175.7115107913669</v>
      </c>
    </row>
    <row r="11" spans="1:9" ht="21.95" customHeight="1" x14ac:dyDescent="0.25">
      <c r="A11" s="30" t="s">
        <v>30</v>
      </c>
      <c r="B11" s="31"/>
      <c r="C11" s="48">
        <f t="shared" si="0"/>
        <v>9143</v>
      </c>
      <c r="D11" s="34">
        <v>9080</v>
      </c>
      <c r="E11" s="36">
        <v>10</v>
      </c>
      <c r="F11" s="36">
        <v>53</v>
      </c>
      <c r="G11" t="s">
        <v>78</v>
      </c>
      <c r="H11" s="47"/>
      <c r="I11" s="48">
        <f>'T3'!F24</f>
        <v>1653.8548616427868</v>
      </c>
    </row>
    <row r="12" spans="1:9" ht="21.95" customHeight="1" x14ac:dyDescent="0.25">
      <c r="A12" s="39" t="s">
        <v>44</v>
      </c>
      <c r="B12" s="40"/>
      <c r="C12" s="75">
        <f>SUM(C8:C11)</f>
        <v>24493</v>
      </c>
      <c r="D12" s="75">
        <f>SUM(D9:D11)</f>
        <v>24240</v>
      </c>
      <c r="E12" s="76">
        <f>SUM(E9:E11)</f>
        <v>120</v>
      </c>
      <c r="F12" s="76">
        <f>SUM(F9:F11)</f>
        <v>133</v>
      </c>
      <c r="H12" s="47"/>
      <c r="I12" s="48"/>
    </row>
    <row r="13" spans="1:9" ht="21.95" customHeight="1" x14ac:dyDescent="0.25">
      <c r="A13" s="32" t="s">
        <v>31</v>
      </c>
      <c r="B13" s="33"/>
      <c r="C13" s="48">
        <f t="shared" ref="C13:C15" si="1">D13+E13+F13</f>
        <v>8240</v>
      </c>
      <c r="D13" s="37">
        <v>8070</v>
      </c>
      <c r="E13" s="37">
        <v>50</v>
      </c>
      <c r="F13" s="37">
        <v>120</v>
      </c>
      <c r="G13" t="s">
        <v>79</v>
      </c>
      <c r="H13" s="47"/>
      <c r="I13" s="48">
        <f>'T4'!F24</f>
        <v>1835.0964805825245</v>
      </c>
    </row>
    <row r="14" spans="1:9" ht="21.95" customHeight="1" x14ac:dyDescent="0.25">
      <c r="A14" s="27" t="s">
        <v>32</v>
      </c>
      <c r="B14" s="28"/>
      <c r="C14" s="48">
        <f t="shared" si="1"/>
        <v>6781</v>
      </c>
      <c r="D14" s="35">
        <v>6680</v>
      </c>
      <c r="E14" s="35">
        <v>50</v>
      </c>
      <c r="F14" s="35">
        <v>51</v>
      </c>
      <c r="G14" t="s">
        <v>72</v>
      </c>
      <c r="H14" s="47"/>
      <c r="I14" s="48">
        <f>'T5'!F24</f>
        <v>2229.9358501695915</v>
      </c>
    </row>
    <row r="15" spans="1:9" ht="21.95" customHeight="1" x14ac:dyDescent="0.25">
      <c r="A15" s="30" t="s">
        <v>33</v>
      </c>
      <c r="B15" s="31"/>
      <c r="C15" s="48">
        <f t="shared" si="1"/>
        <v>7690</v>
      </c>
      <c r="D15" s="36">
        <v>7530</v>
      </c>
      <c r="E15" s="36">
        <v>100</v>
      </c>
      <c r="F15" s="36">
        <v>60</v>
      </c>
      <c r="G15" t="s">
        <v>80</v>
      </c>
      <c r="H15" s="47"/>
      <c r="I15" s="48">
        <f>'T6'!F24</f>
        <v>1966.3452535760728</v>
      </c>
    </row>
    <row r="16" spans="1:9" ht="21.95" customHeight="1" x14ac:dyDescent="0.25">
      <c r="A16" s="39" t="s">
        <v>45</v>
      </c>
      <c r="B16" s="40"/>
      <c r="C16" s="75">
        <f>SUM(C13:C15)</f>
        <v>22711</v>
      </c>
      <c r="D16" s="75">
        <f>SUM(D13:D15)</f>
        <v>22280</v>
      </c>
      <c r="E16" s="75">
        <f>SUM(E13:E15)</f>
        <v>200</v>
      </c>
      <c r="F16" s="75">
        <f>SUM(F13:F15)</f>
        <v>231</v>
      </c>
      <c r="H16" s="47"/>
      <c r="I16" s="48"/>
    </row>
    <row r="17" spans="1:9" ht="21.95" customHeight="1" x14ac:dyDescent="0.25">
      <c r="A17" s="32" t="s">
        <v>34</v>
      </c>
      <c r="B17" s="33"/>
      <c r="C17" s="48">
        <f>D17+E17+F17</f>
        <v>6494</v>
      </c>
      <c r="D17" s="37">
        <v>6405</v>
      </c>
      <c r="E17" s="37">
        <v>10</v>
      </c>
      <c r="F17" s="37">
        <v>79</v>
      </c>
      <c r="G17" t="s">
        <v>61</v>
      </c>
      <c r="H17" s="47"/>
      <c r="I17" s="48">
        <f>'T7'!F24</f>
        <v>2328.4870649830614</v>
      </c>
    </row>
    <row r="18" spans="1:9" ht="21.95" customHeight="1" x14ac:dyDescent="0.25">
      <c r="A18" s="27" t="s">
        <v>35</v>
      </c>
      <c r="B18" s="28"/>
      <c r="C18" s="48">
        <f t="shared" ref="C18:C19" si="2">D18+E18+F18</f>
        <v>6405</v>
      </c>
      <c r="D18" s="35">
        <v>6405</v>
      </c>
      <c r="E18" s="35"/>
      <c r="F18" s="35"/>
      <c r="G18" t="s">
        <v>61</v>
      </c>
      <c r="H18" s="47"/>
      <c r="I18" s="48">
        <f>'T8'!F24</f>
        <v>2360.8423106947698</v>
      </c>
    </row>
    <row r="19" spans="1:9" ht="21.95" customHeight="1" x14ac:dyDescent="0.25">
      <c r="A19" s="30" t="s">
        <v>36</v>
      </c>
      <c r="B19" s="31"/>
      <c r="C19" s="48">
        <f t="shared" si="2"/>
        <v>6440</v>
      </c>
      <c r="D19" s="36">
        <v>6330</v>
      </c>
      <c r="E19" s="36">
        <v>50</v>
      </c>
      <c r="F19" s="36">
        <v>60</v>
      </c>
      <c r="G19" t="s">
        <v>62</v>
      </c>
      <c r="H19" s="47"/>
      <c r="I19" s="48">
        <f>'T9'!F24</f>
        <v>2348.0116459627329</v>
      </c>
    </row>
    <row r="20" spans="1:9" ht="21.95" customHeight="1" x14ac:dyDescent="0.25">
      <c r="A20" s="39" t="s">
        <v>46</v>
      </c>
      <c r="B20" s="40"/>
      <c r="C20" s="75">
        <f>SUM(C17:C19)</f>
        <v>19339</v>
      </c>
      <c r="D20" s="75">
        <f>SUM(D17:D19)</f>
        <v>19140</v>
      </c>
      <c r="E20" s="75">
        <f>SUM(E17:E19)</f>
        <v>60</v>
      </c>
      <c r="F20" s="75">
        <f>SUM(F17:F19)</f>
        <v>139</v>
      </c>
      <c r="H20" s="47"/>
      <c r="I20" s="48"/>
    </row>
    <row r="21" spans="1:9" ht="21.95" customHeight="1" x14ac:dyDescent="0.25">
      <c r="A21" s="32" t="s">
        <v>37</v>
      </c>
      <c r="B21" s="33"/>
      <c r="C21" s="48">
        <f t="shared" ref="C21:C23" si="3">D21+E21+F21</f>
        <v>7785</v>
      </c>
      <c r="D21" s="37">
        <v>7630</v>
      </c>
      <c r="E21" s="37">
        <v>100</v>
      </c>
      <c r="F21" s="37">
        <v>55</v>
      </c>
      <c r="G21" t="s">
        <v>81</v>
      </c>
      <c r="H21" s="47"/>
      <c r="I21" s="48">
        <f>'T10'!F24</f>
        <v>1942.350032113038</v>
      </c>
    </row>
    <row r="22" spans="1:9" ht="21.95" customHeight="1" x14ac:dyDescent="0.25">
      <c r="A22" s="27" t="s">
        <v>38</v>
      </c>
      <c r="B22" s="28"/>
      <c r="C22" s="48">
        <f t="shared" si="3"/>
        <v>7303</v>
      </c>
      <c r="D22" s="35">
        <v>7160</v>
      </c>
      <c r="E22" s="35">
        <v>55</v>
      </c>
      <c r="F22" s="35">
        <v>88</v>
      </c>
      <c r="G22" t="s">
        <v>82</v>
      </c>
      <c r="H22" s="47"/>
      <c r="I22" s="48">
        <f>'T11'!F24</f>
        <v>2070.5456661645899</v>
      </c>
    </row>
    <row r="23" spans="1:9" ht="21.95" customHeight="1" x14ac:dyDescent="0.25">
      <c r="A23" s="30" t="s">
        <v>39</v>
      </c>
      <c r="B23" s="31"/>
      <c r="C23" s="48">
        <f t="shared" si="3"/>
        <v>7872</v>
      </c>
      <c r="D23" s="93">
        <v>7770</v>
      </c>
      <c r="E23" s="36">
        <v>10</v>
      </c>
      <c r="F23" s="36">
        <v>92</v>
      </c>
      <c r="G23" t="s">
        <v>83</v>
      </c>
      <c r="H23" s="78"/>
      <c r="I23" s="48">
        <f>'T12'!F24</f>
        <v>1920.8835111788619</v>
      </c>
    </row>
    <row r="24" spans="1:9" ht="21.95" customHeight="1" x14ac:dyDescent="0.25">
      <c r="A24" s="94"/>
      <c r="B24" s="95"/>
      <c r="C24" s="96"/>
      <c r="D24" s="97"/>
      <c r="E24" s="97"/>
      <c r="F24" s="97"/>
      <c r="G24" s="77"/>
      <c r="H24" s="78"/>
      <c r="I24" s="48"/>
    </row>
    <row r="25" spans="1:9" ht="21.95" customHeight="1" x14ac:dyDescent="0.25">
      <c r="A25" s="39" t="s">
        <v>47</v>
      </c>
      <c r="B25" s="40"/>
      <c r="C25" s="75">
        <f>SUM(C21:C24)</f>
        <v>22960</v>
      </c>
      <c r="D25" s="75">
        <f>SUM(D21:D24)</f>
        <v>22560</v>
      </c>
      <c r="E25" s="75">
        <f>SUM(E21:E24)</f>
        <v>165</v>
      </c>
      <c r="F25" s="75">
        <f>SUM(F21:F24)</f>
        <v>235</v>
      </c>
      <c r="H25" s="47"/>
      <c r="I25" s="50"/>
    </row>
    <row r="26" spans="1:9" ht="21.95" customHeight="1" x14ac:dyDescent="0.25">
      <c r="A26" s="61"/>
      <c r="C26" s="50">
        <f>C12+C16+C20+C25</f>
        <v>89503</v>
      </c>
      <c r="D26" s="50">
        <f>D12+D16+D20+D25</f>
        <v>88220</v>
      </c>
      <c r="E26" s="51">
        <f>SUM(E12+E16+E20+E25)</f>
        <v>545</v>
      </c>
      <c r="F26" s="51">
        <f>SUM(F12+F16+F20+F25)</f>
        <v>738</v>
      </c>
      <c r="G26" s="51">
        <f>E26+F26</f>
        <v>1283</v>
      </c>
      <c r="H26" s="50"/>
    </row>
    <row r="27" spans="1:9" ht="21.95" customHeight="1" x14ac:dyDescent="0.25">
      <c r="A27" s="38"/>
      <c r="C27" s="50"/>
      <c r="D27" s="50"/>
      <c r="F27" s="50"/>
      <c r="H27" s="51">
        <f>D23+E26+F26</f>
        <v>9053</v>
      </c>
    </row>
    <row r="28" spans="1:9" ht="21.95" customHeight="1" x14ac:dyDescent="0.25">
      <c r="A28" s="38" t="s">
        <v>48</v>
      </c>
      <c r="C28" s="42" t="s">
        <v>49</v>
      </c>
    </row>
    <row r="29" spans="1:9" ht="21.95" customHeight="1" x14ac:dyDescent="0.25">
      <c r="C29" s="42" t="s">
        <v>57</v>
      </c>
    </row>
    <row r="30" spans="1:9" ht="21.95" customHeight="1" x14ac:dyDescent="0.25">
      <c r="C30" s="42" t="s">
        <v>50</v>
      </c>
    </row>
    <row r="31" spans="1:9" ht="21.95" customHeight="1" x14ac:dyDescent="0.25">
      <c r="C31" s="43" t="s">
        <v>51</v>
      </c>
    </row>
    <row r="34" spans="1:9" x14ac:dyDescent="0.25">
      <c r="C34" s="43"/>
    </row>
    <row r="35" spans="1:9" ht="21.95" customHeight="1" x14ac:dyDescent="0.25">
      <c r="A35" t="s">
        <v>21</v>
      </c>
      <c r="C35" t="str">
        <f>'THONG TIN'!C3</f>
        <v>Công ty TNHH Thuận An</v>
      </c>
    </row>
    <row r="36" spans="1:9" ht="21.95" customHeight="1" x14ac:dyDescent="0.25">
      <c r="A36" t="s">
        <v>24</v>
      </c>
      <c r="C36" t="str">
        <f>'THONG TIN'!C4</f>
        <v>Ấp Chồng Nô 3, Xã Hòa Tân, Huyện Cầu Kè, Tỉnh Trà Vinh</v>
      </c>
    </row>
    <row r="37" spans="1:9" ht="21.95" customHeight="1" x14ac:dyDescent="0.25">
      <c r="A37" s="104" t="s">
        <v>25</v>
      </c>
      <c r="B37" s="104"/>
      <c r="C37" s="104"/>
      <c r="D37" s="104"/>
      <c r="E37" s="104"/>
      <c r="F37" s="104"/>
    </row>
    <row r="38" spans="1:9" ht="21.95" customHeight="1" x14ac:dyDescent="0.25">
      <c r="A38" s="106" t="s">
        <v>65</v>
      </c>
      <c r="B38" s="106"/>
      <c r="C38" s="106"/>
      <c r="D38" s="106"/>
      <c r="E38" s="106"/>
      <c r="F38" s="106"/>
    </row>
    <row r="39" spans="1:9" ht="21.95" customHeight="1" x14ac:dyDescent="0.25">
      <c r="A39" s="43"/>
      <c r="B39" t="s">
        <v>26</v>
      </c>
      <c r="D39" s="29" t="s">
        <v>66</v>
      </c>
      <c r="E39" s="24" t="s">
        <v>52</v>
      </c>
      <c r="F39" s="44">
        <v>2023</v>
      </c>
    </row>
    <row r="40" spans="1:9" ht="21.95" customHeight="1" x14ac:dyDescent="0.25"/>
    <row r="41" spans="1:9" ht="21.95" customHeight="1" x14ac:dyDescent="0.25">
      <c r="A41" s="105" t="s">
        <v>27</v>
      </c>
      <c r="B41" s="105"/>
      <c r="C41" s="46" t="s">
        <v>40</v>
      </c>
      <c r="D41" s="46" t="s">
        <v>41</v>
      </c>
      <c r="E41" s="46" t="s">
        <v>43</v>
      </c>
      <c r="F41" s="46" t="s">
        <v>42</v>
      </c>
      <c r="I41" s="57" t="s">
        <v>70</v>
      </c>
    </row>
    <row r="42" spans="1:9" ht="21.95" customHeight="1" x14ac:dyDescent="0.25">
      <c r="A42" s="98" t="s">
        <v>74</v>
      </c>
      <c r="B42" s="73"/>
      <c r="C42" s="74">
        <v>0</v>
      </c>
      <c r="D42" s="101">
        <v>16228</v>
      </c>
      <c r="E42" s="73"/>
      <c r="F42" s="73"/>
      <c r="G42" t="s">
        <v>85</v>
      </c>
      <c r="I42" s="57"/>
    </row>
    <row r="43" spans="1:9" ht="21.95" customHeight="1" x14ac:dyDescent="0.25">
      <c r="A43" s="25" t="s">
        <v>28</v>
      </c>
      <c r="B43" s="26"/>
      <c r="C43" s="48">
        <f>D43+E43+F43</f>
        <v>18398</v>
      </c>
      <c r="D43" s="34">
        <v>15698</v>
      </c>
      <c r="E43" s="34">
        <v>1700</v>
      </c>
      <c r="F43" s="34">
        <v>1000</v>
      </c>
      <c r="G43" t="s">
        <v>86</v>
      </c>
      <c r="I43" s="48">
        <f>'T1'!F53</f>
        <v>1519.0710403304706</v>
      </c>
    </row>
    <row r="44" spans="1:9" ht="21.95" customHeight="1" x14ac:dyDescent="0.25">
      <c r="A44" s="27" t="s">
        <v>29</v>
      </c>
      <c r="B44" s="28"/>
      <c r="C44" s="48">
        <f t="shared" ref="C44:C45" si="4">D44+E44+F44</f>
        <v>19030</v>
      </c>
      <c r="D44" s="34">
        <v>17330</v>
      </c>
      <c r="E44" s="35">
        <v>1300</v>
      </c>
      <c r="F44" s="34">
        <v>400</v>
      </c>
      <c r="G44" t="s">
        <v>87</v>
      </c>
      <c r="I44" s="48">
        <f>'T2'!F53</f>
        <v>1468.6215974776669</v>
      </c>
    </row>
    <row r="45" spans="1:9" ht="21.95" customHeight="1" x14ac:dyDescent="0.25">
      <c r="A45" s="30" t="s">
        <v>30</v>
      </c>
      <c r="B45" s="31"/>
      <c r="C45" s="48">
        <f t="shared" si="4"/>
        <v>23798</v>
      </c>
      <c r="D45" s="34">
        <v>22798</v>
      </c>
      <c r="E45" s="36">
        <v>700</v>
      </c>
      <c r="F45" s="34">
        <v>300</v>
      </c>
      <c r="G45" t="s">
        <v>88</v>
      </c>
      <c r="I45" s="48">
        <f>'T3'!F53</f>
        <v>1174.378897386335</v>
      </c>
    </row>
    <row r="46" spans="1:9" ht="21.95" customHeight="1" x14ac:dyDescent="0.25">
      <c r="A46" s="39" t="s">
        <v>44</v>
      </c>
      <c r="B46" s="40"/>
      <c r="C46" s="41">
        <f>SUM(C42:C45)</f>
        <v>61226</v>
      </c>
      <c r="D46" s="41">
        <f>SUM(D43:D45)</f>
        <v>55826</v>
      </c>
      <c r="E46" s="41">
        <f>SUM(E43:E45)</f>
        <v>3700</v>
      </c>
      <c r="F46" s="41">
        <f>SUM(F43:F45)</f>
        <v>1700</v>
      </c>
      <c r="I46" s="48"/>
    </row>
    <row r="47" spans="1:9" ht="21.95" customHeight="1" x14ac:dyDescent="0.25">
      <c r="A47" s="32" t="s">
        <v>31</v>
      </c>
      <c r="B47" s="33"/>
      <c r="C47" s="48">
        <f t="shared" ref="C47:C49" si="5">D47+E47+F47</f>
        <v>20553</v>
      </c>
      <c r="D47" s="37">
        <v>18953</v>
      </c>
      <c r="E47" s="37">
        <v>1200</v>
      </c>
      <c r="F47" s="37">
        <v>400</v>
      </c>
      <c r="G47" t="s">
        <v>71</v>
      </c>
      <c r="I47" s="48">
        <f>'T4'!F53</f>
        <v>1359.79511506836</v>
      </c>
    </row>
    <row r="48" spans="1:9" ht="21.95" customHeight="1" x14ac:dyDescent="0.25">
      <c r="A48" s="27" t="s">
        <v>32</v>
      </c>
      <c r="B48" s="28"/>
      <c r="C48" s="48">
        <f t="shared" si="5"/>
        <v>17170</v>
      </c>
      <c r="D48" s="35">
        <v>15550</v>
      </c>
      <c r="E48" s="35">
        <v>1300</v>
      </c>
      <c r="F48" s="35">
        <v>320</v>
      </c>
      <c r="G48" t="s">
        <v>89</v>
      </c>
      <c r="I48" s="48">
        <f>'T5'!F53</f>
        <v>1627.7151426907396</v>
      </c>
    </row>
    <row r="49" spans="1:9" ht="21.95" customHeight="1" x14ac:dyDescent="0.25">
      <c r="A49" s="30" t="s">
        <v>33</v>
      </c>
      <c r="B49" s="31"/>
      <c r="C49" s="48">
        <f t="shared" si="5"/>
        <v>16936</v>
      </c>
      <c r="D49" s="36">
        <v>15186</v>
      </c>
      <c r="E49" s="36">
        <v>1300</v>
      </c>
      <c r="F49" s="36">
        <v>450</v>
      </c>
      <c r="G49" t="s">
        <v>90</v>
      </c>
      <c r="I49" s="48">
        <f>'T6'!F53</f>
        <v>1650.2048299480396</v>
      </c>
    </row>
    <row r="50" spans="1:9" ht="21.95" customHeight="1" x14ac:dyDescent="0.25">
      <c r="A50" s="39" t="s">
        <v>45</v>
      </c>
      <c r="B50" s="40"/>
      <c r="C50" s="41">
        <f>SUM(C47:C49)</f>
        <v>54659</v>
      </c>
      <c r="D50" s="41">
        <f>SUM(D47:D49)</f>
        <v>49689</v>
      </c>
      <c r="E50" s="49">
        <f>SUM(E47:E49)</f>
        <v>3800</v>
      </c>
      <c r="F50" s="49">
        <f>SUM(F47:F49)</f>
        <v>1170</v>
      </c>
      <c r="I50" s="48"/>
    </row>
    <row r="51" spans="1:9" ht="21.95" customHeight="1" x14ac:dyDescent="0.25">
      <c r="A51" s="32" t="s">
        <v>34</v>
      </c>
      <c r="B51" s="33"/>
      <c r="C51" s="48">
        <f t="shared" ref="C51:C53" si="6">D51+E51+F51</f>
        <v>16130</v>
      </c>
      <c r="D51" s="37">
        <v>14330</v>
      </c>
      <c r="E51" s="37">
        <v>1500</v>
      </c>
      <c r="F51" s="37">
        <v>300</v>
      </c>
      <c r="G51" t="s">
        <v>73</v>
      </c>
      <c r="I51" s="48">
        <f>'T7'!F53</f>
        <v>1732.66391816491</v>
      </c>
    </row>
    <row r="52" spans="1:9" ht="21.95" customHeight="1" x14ac:dyDescent="0.25">
      <c r="A52" s="27" t="s">
        <v>35</v>
      </c>
      <c r="B52" s="28"/>
      <c r="C52" s="48">
        <f t="shared" si="6"/>
        <v>19540</v>
      </c>
      <c r="D52" s="35">
        <v>17940</v>
      </c>
      <c r="E52" s="35">
        <v>1100</v>
      </c>
      <c r="F52" s="35">
        <v>500</v>
      </c>
      <c r="G52" t="s">
        <v>91</v>
      </c>
      <c r="I52" s="48">
        <f>'T8'!F53</f>
        <v>1430.2901228249743</v>
      </c>
    </row>
    <row r="53" spans="1:9" ht="21.95" customHeight="1" x14ac:dyDescent="0.25">
      <c r="A53" s="30" t="s">
        <v>36</v>
      </c>
      <c r="B53" s="31"/>
      <c r="C53" s="48">
        <f t="shared" si="6"/>
        <v>16268</v>
      </c>
      <c r="D53" s="36">
        <v>14468</v>
      </c>
      <c r="E53" s="36">
        <v>1200</v>
      </c>
      <c r="F53" s="36">
        <v>600</v>
      </c>
      <c r="G53" t="s">
        <v>92</v>
      </c>
      <c r="I53" s="48">
        <f>'T9'!F53</f>
        <v>1717.9658839439392</v>
      </c>
    </row>
    <row r="54" spans="1:9" ht="21.95" customHeight="1" x14ac:dyDescent="0.25">
      <c r="A54" s="39" t="s">
        <v>46</v>
      </c>
      <c r="B54" s="40"/>
      <c r="C54" s="41">
        <f>SUM(C51:C53)</f>
        <v>51938</v>
      </c>
      <c r="D54" s="41">
        <f>SUM(D51:D53)</f>
        <v>46738</v>
      </c>
      <c r="E54" s="49">
        <f>SUM(E51:E53)</f>
        <v>3800</v>
      </c>
      <c r="F54" s="49">
        <f>SUM(F51:F53)</f>
        <v>1400</v>
      </c>
      <c r="I54" s="48"/>
    </row>
    <row r="55" spans="1:9" ht="21.95" customHeight="1" x14ac:dyDescent="0.25">
      <c r="A55" s="32" t="s">
        <v>37</v>
      </c>
      <c r="B55" s="33"/>
      <c r="C55" s="48">
        <f>D55+E55+F55</f>
        <v>17856</v>
      </c>
      <c r="D55" s="37">
        <v>16356</v>
      </c>
      <c r="E55" s="37">
        <v>1100</v>
      </c>
      <c r="F55" s="37">
        <v>400</v>
      </c>
      <c r="G55" s="102" t="s">
        <v>93</v>
      </c>
      <c r="I55" s="48">
        <f>'T10'!F53</f>
        <v>1565.1808355734768</v>
      </c>
    </row>
    <row r="56" spans="1:9" ht="21.95" customHeight="1" x14ac:dyDescent="0.25">
      <c r="A56" s="27" t="s">
        <v>38</v>
      </c>
      <c r="B56" s="28"/>
      <c r="C56" s="48">
        <f t="shared" ref="C56:C57" si="7">D56+E56+F56</f>
        <v>17976</v>
      </c>
      <c r="D56" s="35">
        <v>16336</v>
      </c>
      <c r="E56" s="35">
        <v>1300</v>
      </c>
      <c r="F56" s="35">
        <v>340</v>
      </c>
      <c r="G56" t="s">
        <v>94</v>
      </c>
      <c r="I56" s="48">
        <f>'T11'!F53</f>
        <v>1554.7323653760568</v>
      </c>
    </row>
    <row r="57" spans="1:9" ht="21.95" customHeight="1" x14ac:dyDescent="0.25">
      <c r="A57" s="30" t="s">
        <v>39</v>
      </c>
      <c r="B57" s="31"/>
      <c r="C57" s="48">
        <f t="shared" si="7"/>
        <v>17750</v>
      </c>
      <c r="D57" s="93">
        <v>16110</v>
      </c>
      <c r="E57" s="36">
        <v>1300</v>
      </c>
      <c r="F57" s="36">
        <v>340</v>
      </c>
      <c r="G57" s="77" t="s">
        <v>84</v>
      </c>
      <c r="H57" s="77"/>
      <c r="I57" s="48">
        <f>'T12'!F53</f>
        <v>1574.5278309859154</v>
      </c>
    </row>
    <row r="58" spans="1:9" ht="21.95" customHeight="1" x14ac:dyDescent="0.25">
      <c r="A58" s="39" t="s">
        <v>47</v>
      </c>
      <c r="B58" s="40"/>
      <c r="C58" s="41">
        <f>SUM(C55:C57)</f>
        <v>53582</v>
      </c>
      <c r="D58" s="41">
        <f>SUM(D55:D57)</f>
        <v>48802</v>
      </c>
      <c r="E58" s="49">
        <f>SUM(E55:E57)</f>
        <v>3700</v>
      </c>
      <c r="F58" s="49">
        <f>SUM(F55:F57)</f>
        <v>1080</v>
      </c>
    </row>
    <row r="59" spans="1:9" ht="21.95" customHeight="1" x14ac:dyDescent="0.25">
      <c r="C59" s="51">
        <f>C46+C50+C54+C58</f>
        <v>221405</v>
      </c>
      <c r="D59" s="51">
        <f>D46+D50+D54+D58</f>
        <v>201055</v>
      </c>
      <c r="E59" s="51">
        <f>SUM(E46+E50+E54+E58)</f>
        <v>15000</v>
      </c>
      <c r="F59" s="51">
        <f>F46+F50+F54+F58</f>
        <v>5350</v>
      </c>
      <c r="G59" s="51">
        <f>E59+F59</f>
        <v>20350</v>
      </c>
      <c r="H59" s="51"/>
    </row>
    <row r="60" spans="1:9" ht="21.95" customHeight="1" x14ac:dyDescent="0.25">
      <c r="C60" s="51"/>
      <c r="D60" s="51"/>
      <c r="E60" s="51"/>
      <c r="F60" s="51"/>
      <c r="H60" s="51">
        <f>E59+F59+D57</f>
        <v>36460</v>
      </c>
    </row>
    <row r="61" spans="1:9" ht="21.95" customHeight="1" x14ac:dyDescent="0.25">
      <c r="A61" s="38" t="s">
        <v>48</v>
      </c>
      <c r="C61" s="42" t="s">
        <v>49</v>
      </c>
      <c r="H61" s="50"/>
    </row>
    <row r="62" spans="1:9" ht="21.95" customHeight="1" x14ac:dyDescent="0.25">
      <c r="C62" s="42" t="s">
        <v>57</v>
      </c>
      <c r="H62" s="50"/>
    </row>
    <row r="63" spans="1:9" ht="21.95" customHeight="1" x14ac:dyDescent="0.25">
      <c r="C63" s="42" t="s">
        <v>50</v>
      </c>
    </row>
    <row r="64" spans="1:9" ht="21.95" customHeight="1" x14ac:dyDescent="0.25">
      <c r="C64" s="43" t="s">
        <v>51</v>
      </c>
      <c r="H64" s="50"/>
    </row>
  </sheetData>
  <mergeCells count="6">
    <mergeCell ref="A3:F3"/>
    <mergeCell ref="A7:B7"/>
    <mergeCell ref="A37:F37"/>
    <mergeCell ref="A41:B41"/>
    <mergeCell ref="A4:F4"/>
    <mergeCell ref="A38:F3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0" workbookViewId="0">
      <selection activeCell="H16" sqref="H16"/>
    </sheetView>
  </sheetViews>
  <sheetFormatPr defaultRowHeight="18" customHeight="1" x14ac:dyDescent="0.25"/>
  <cols>
    <col min="1" max="1" width="45.12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8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8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8" customHeight="1" x14ac:dyDescent="0.25">
      <c r="E3" s="107" t="s">
        <v>53</v>
      </c>
      <c r="F3" s="107"/>
    </row>
    <row r="4" spans="1:6" ht="18" customHeight="1" x14ac:dyDescent="0.25">
      <c r="E4" s="107" t="s">
        <v>3</v>
      </c>
      <c r="F4" s="107"/>
    </row>
    <row r="5" spans="1:6" ht="18" customHeight="1" x14ac:dyDescent="0.25">
      <c r="A5" s="108" t="s">
        <v>4</v>
      </c>
      <c r="B5" s="108"/>
      <c r="C5" s="108"/>
      <c r="D5" s="108"/>
      <c r="E5" s="108"/>
      <c r="F5" s="108"/>
    </row>
    <row r="6" spans="1:6" ht="18" customHeight="1" x14ac:dyDescent="0.25">
      <c r="A6" s="109" t="s">
        <v>114</v>
      </c>
      <c r="B6" s="109"/>
      <c r="C6" s="109"/>
      <c r="D6" s="109"/>
      <c r="E6" s="109"/>
      <c r="F6" s="109"/>
    </row>
    <row r="7" spans="1:6" ht="18" customHeight="1" x14ac:dyDescent="0.25">
      <c r="B7" s="1" t="s">
        <v>68</v>
      </c>
      <c r="C7" s="52" t="s">
        <v>64</v>
      </c>
    </row>
    <row r="8" spans="1:6" ht="18" customHeight="1" x14ac:dyDescent="0.25">
      <c r="B8" s="2" t="s">
        <v>55</v>
      </c>
      <c r="C8" s="3"/>
      <c r="D8" s="3"/>
      <c r="E8" s="53"/>
      <c r="F8" s="3"/>
    </row>
    <row r="9" spans="1:6" ht="18" customHeight="1" x14ac:dyDescent="0.25">
      <c r="B9" s="2" t="s">
        <v>56</v>
      </c>
      <c r="C9" s="3"/>
      <c r="D9" s="3"/>
      <c r="E9" s="56">
        <v>8400</v>
      </c>
      <c r="F9" s="3"/>
    </row>
    <row r="10" spans="1:6" ht="18" customHeight="1" x14ac:dyDescent="0.25">
      <c r="B10" s="2" t="s">
        <v>54</v>
      </c>
      <c r="C10" s="3"/>
      <c r="D10" s="3"/>
      <c r="E10" s="3"/>
      <c r="F10" s="3"/>
    </row>
    <row r="12" spans="1:6" ht="29.2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ht="32.25" customHeight="1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ht="18" customHeight="1" x14ac:dyDescent="0.25">
      <c r="A14" s="5" t="s">
        <v>12</v>
      </c>
      <c r="B14" s="6"/>
      <c r="C14" s="6"/>
      <c r="D14" s="6"/>
      <c r="E14" s="6"/>
      <c r="F14" s="6"/>
    </row>
    <row r="15" spans="1:6" ht="18" customHeight="1" x14ac:dyDescent="0.25">
      <c r="A15" s="15"/>
      <c r="B15" s="16"/>
      <c r="C15" s="16"/>
      <c r="D15" s="16"/>
      <c r="E15" s="16"/>
      <c r="F15" s="16"/>
    </row>
    <row r="16" spans="1:6" ht="18" customHeight="1" x14ac:dyDescent="0.25">
      <c r="A16" s="7" t="s">
        <v>13</v>
      </c>
      <c r="B16" s="8"/>
      <c r="C16" s="8">
        <v>1400000</v>
      </c>
      <c r="D16" s="8"/>
      <c r="E16" s="8">
        <f>C16</f>
        <v>1400000</v>
      </c>
      <c r="F16" s="8">
        <f>E16/E9</f>
        <v>166.66666666666666</v>
      </c>
    </row>
    <row r="17" spans="1:6" ht="18" customHeight="1" x14ac:dyDescent="0.25">
      <c r="A17" s="7"/>
      <c r="B17" s="8"/>
      <c r="C17" s="8"/>
      <c r="D17" s="8"/>
      <c r="E17" s="8"/>
      <c r="F17" s="8"/>
    </row>
    <row r="18" spans="1:6" ht="18" customHeight="1" x14ac:dyDescent="0.25">
      <c r="A18" s="7" t="s">
        <v>14</v>
      </c>
      <c r="B18" s="8"/>
      <c r="C18" s="8"/>
      <c r="D18" s="8"/>
      <c r="E18" s="9"/>
      <c r="F18" s="9"/>
    </row>
    <row r="19" spans="1:6" ht="18" customHeight="1" x14ac:dyDescent="0.25">
      <c r="A19" s="17"/>
      <c r="B19" s="18"/>
      <c r="C19" s="18"/>
      <c r="D19" s="18"/>
      <c r="E19" s="19"/>
      <c r="F19" s="19"/>
    </row>
    <row r="20" spans="1:6" ht="18" customHeight="1" x14ac:dyDescent="0.25">
      <c r="A20" s="7" t="s">
        <v>0</v>
      </c>
      <c r="B20" s="8"/>
      <c r="C20" s="103"/>
      <c r="D20" s="103"/>
      <c r="E20" s="103"/>
      <c r="F20" s="103"/>
    </row>
    <row r="21" spans="1:6" ht="18" customHeight="1" x14ac:dyDescent="0.25">
      <c r="A21" s="22" t="s">
        <v>67</v>
      </c>
      <c r="B21" s="23"/>
      <c r="C21" s="23">
        <f>12823592+(B21/12)</f>
        <v>12823592</v>
      </c>
      <c r="D21" s="23">
        <f>B21-(B21/12)</f>
        <v>0</v>
      </c>
      <c r="E21" s="23">
        <f>B21+C21-D21</f>
        <v>12823592</v>
      </c>
      <c r="F21" s="23">
        <f>E21/E9</f>
        <v>1526.6180952380953</v>
      </c>
    </row>
    <row r="22" spans="1:6" ht="18" customHeight="1" x14ac:dyDescent="0.25">
      <c r="A22" s="7" t="s">
        <v>115</v>
      </c>
      <c r="B22" s="23"/>
      <c r="C22" s="23">
        <v>897603</v>
      </c>
      <c r="D22" s="23">
        <f>B22-(B22/12)</f>
        <v>0</v>
      </c>
      <c r="E22" s="23">
        <f>B22+C22-D22</f>
        <v>897603</v>
      </c>
      <c r="F22" s="23">
        <f>E22/E9</f>
        <v>106.8575</v>
      </c>
    </row>
    <row r="23" spans="1:6" ht="18" customHeight="1" x14ac:dyDescent="0.25">
      <c r="A23" s="20"/>
      <c r="B23" s="21"/>
      <c r="C23" s="21"/>
      <c r="D23" s="21"/>
      <c r="E23" s="21"/>
      <c r="F23" s="21"/>
    </row>
    <row r="24" spans="1:6" ht="18" customHeight="1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1800.1422619047621</v>
      </c>
    </row>
    <row r="26" spans="1:6" ht="18" customHeight="1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ht="18" customHeight="1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ht="18" customHeight="1" x14ac:dyDescent="0.25">
      <c r="A28" s="14"/>
      <c r="B28" s="14"/>
      <c r="C28" s="14"/>
      <c r="D28" s="14"/>
      <c r="E28" s="14"/>
      <c r="F28" s="14"/>
    </row>
    <row r="29" spans="1:6" ht="18" customHeight="1" x14ac:dyDescent="0.25">
      <c r="A29" s="1" t="str">
        <f>A1</f>
        <v>Công ty TNHH Thuận An</v>
      </c>
      <c r="E29" s="114" t="s">
        <v>1</v>
      </c>
      <c r="F29" s="114"/>
    </row>
    <row r="30" spans="1:6" ht="18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8" customHeight="1" x14ac:dyDescent="0.25">
      <c r="E31" s="107" t="s">
        <v>53</v>
      </c>
      <c r="F31" s="107"/>
    </row>
    <row r="32" spans="1:6" ht="18" customHeight="1" x14ac:dyDescent="0.25">
      <c r="E32" s="107" t="s">
        <v>3</v>
      </c>
      <c r="F32" s="107"/>
    </row>
    <row r="33" spans="1:6" ht="18" customHeight="1" x14ac:dyDescent="0.25">
      <c r="A33" s="108" t="s">
        <v>4</v>
      </c>
      <c r="B33" s="108"/>
      <c r="C33" s="108"/>
      <c r="D33" s="108"/>
      <c r="E33" s="108"/>
      <c r="F33" s="108"/>
    </row>
    <row r="34" spans="1:6" ht="18" customHeight="1" x14ac:dyDescent="0.25">
      <c r="A34" s="109" t="s">
        <v>114</v>
      </c>
      <c r="B34" s="109"/>
      <c r="C34" s="109"/>
      <c r="D34" s="109"/>
      <c r="E34" s="109"/>
      <c r="F34" s="109"/>
    </row>
    <row r="35" spans="1:6" ht="18" customHeight="1" x14ac:dyDescent="0.25">
      <c r="B35" s="1" t="s">
        <v>68</v>
      </c>
      <c r="C35" s="52" t="s">
        <v>65</v>
      </c>
    </row>
    <row r="36" spans="1:6" ht="18" customHeight="1" x14ac:dyDescent="0.25">
      <c r="B36" s="2" t="s">
        <v>55</v>
      </c>
      <c r="C36" s="3"/>
      <c r="D36" s="3"/>
      <c r="E36" s="53"/>
      <c r="F36" s="3"/>
    </row>
    <row r="37" spans="1:6" ht="18" customHeight="1" x14ac:dyDescent="0.25">
      <c r="B37" s="2" t="s">
        <v>56</v>
      </c>
      <c r="C37" s="3"/>
      <c r="D37" s="3"/>
      <c r="E37" s="56">
        <v>18398</v>
      </c>
      <c r="F37" s="3"/>
    </row>
    <row r="38" spans="1:6" ht="18" customHeight="1" x14ac:dyDescent="0.25">
      <c r="B38" s="2" t="s">
        <v>54</v>
      </c>
      <c r="C38" s="3"/>
      <c r="D38" s="3"/>
      <c r="E38" s="3"/>
      <c r="F38" s="3"/>
    </row>
    <row r="40" spans="1:6" ht="30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ht="24.75" customHeight="1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ht="18" customHeight="1" x14ac:dyDescent="0.25">
      <c r="A42" s="5" t="s">
        <v>12</v>
      </c>
      <c r="B42" s="6"/>
      <c r="C42" s="6"/>
      <c r="D42" s="6"/>
      <c r="E42" s="6"/>
      <c r="F42" s="6"/>
    </row>
    <row r="43" spans="1:6" ht="18" customHeight="1" x14ac:dyDescent="0.25">
      <c r="A43" s="15"/>
      <c r="B43" s="16"/>
      <c r="C43" s="16"/>
      <c r="D43" s="16"/>
      <c r="E43" s="16"/>
      <c r="F43" s="16"/>
    </row>
    <row r="44" spans="1:6" ht="18" customHeight="1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152.19045548429176</v>
      </c>
    </row>
    <row r="45" spans="1:6" ht="18" customHeight="1" x14ac:dyDescent="0.25">
      <c r="A45" s="7"/>
      <c r="B45" s="8"/>
      <c r="C45" s="8"/>
      <c r="D45" s="8"/>
      <c r="E45" s="8"/>
      <c r="F45" s="8"/>
    </row>
    <row r="46" spans="1:6" ht="18" customHeight="1" x14ac:dyDescent="0.25">
      <c r="A46" s="7" t="s">
        <v>14</v>
      </c>
      <c r="B46" s="8"/>
      <c r="C46" s="8"/>
      <c r="D46" s="8"/>
      <c r="E46" s="9"/>
      <c r="F46" s="9"/>
    </row>
    <row r="47" spans="1:6" ht="18" customHeight="1" x14ac:dyDescent="0.25">
      <c r="A47" s="17"/>
      <c r="B47" s="18"/>
      <c r="C47" s="18"/>
      <c r="D47" s="18"/>
      <c r="E47" s="19"/>
      <c r="F47" s="19"/>
    </row>
    <row r="48" spans="1:6" ht="18" customHeight="1" x14ac:dyDescent="0.25">
      <c r="A48" s="17" t="s">
        <v>0</v>
      </c>
      <c r="B48" s="18"/>
      <c r="C48" s="18"/>
      <c r="D48" s="18"/>
      <c r="E48" s="18"/>
      <c r="F48" s="18"/>
    </row>
    <row r="49" spans="1:6" ht="18" customHeight="1" x14ac:dyDescent="0.25">
      <c r="A49" s="5" t="s">
        <v>67</v>
      </c>
      <c r="B49" s="6"/>
      <c r="C49" s="6">
        <v>21449563</v>
      </c>
      <c r="D49" s="6">
        <f>B49-(B49/12)*3</f>
        <v>0</v>
      </c>
      <c r="E49" s="6">
        <f>B49+C49-D49</f>
        <v>21449563</v>
      </c>
      <c r="F49" s="6">
        <f>E49/E37</f>
        <v>1165.8638438960757</v>
      </c>
    </row>
    <row r="50" spans="1:6" ht="18" customHeight="1" x14ac:dyDescent="0.25">
      <c r="A50" s="15" t="s">
        <v>115</v>
      </c>
      <c r="B50" s="16"/>
      <c r="C50" s="16">
        <v>2872328</v>
      </c>
      <c r="D50" s="16"/>
      <c r="E50" s="6">
        <f>B50+C50-D50</f>
        <v>2872328</v>
      </c>
      <c r="F50" s="16">
        <f>E50/E37</f>
        <v>156.12175236438745</v>
      </c>
    </row>
    <row r="51" spans="1:6" ht="18" customHeight="1" x14ac:dyDescent="0.25">
      <c r="A51" s="7" t="s">
        <v>69</v>
      </c>
      <c r="B51" s="8"/>
      <c r="C51" s="8">
        <v>825978</v>
      </c>
      <c r="D51" s="8"/>
      <c r="E51" s="8">
        <f>B51+C51-D51</f>
        <v>825978</v>
      </c>
      <c r="F51" s="8">
        <f>E51/E37</f>
        <v>44.894988585715836</v>
      </c>
    </row>
    <row r="52" spans="1:6" ht="18" customHeight="1" x14ac:dyDescent="0.25">
      <c r="A52" s="92"/>
      <c r="B52" s="67"/>
      <c r="C52" s="67"/>
      <c r="D52" s="67"/>
      <c r="E52" s="67"/>
      <c r="F52" s="67"/>
    </row>
    <row r="53" spans="1:6" ht="18" customHeight="1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1519.0710403304706</v>
      </c>
    </row>
    <row r="54" spans="1:6" ht="18" customHeight="1" x14ac:dyDescent="0.25">
      <c r="A54" s="10"/>
      <c r="B54" s="11"/>
      <c r="C54" s="12"/>
      <c r="D54" s="12"/>
      <c r="E54" s="12"/>
      <c r="F54" s="12"/>
    </row>
    <row r="55" spans="1:6" ht="18" customHeight="1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ht="18" customHeight="1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14" t="s">
        <v>1</v>
      </c>
      <c r="F1" s="114"/>
    </row>
    <row r="2" spans="1:6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113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6950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201.43884892086331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1845.1211510791368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129.15151079136692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E24" si="0">D16+D21+D22</f>
        <v>0</v>
      </c>
      <c r="E24" s="55">
        <f t="shared" si="0"/>
        <v>15121195</v>
      </c>
      <c r="F24" s="55">
        <f>F16+F21+F22</f>
        <v>2175.7115107913669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x14ac:dyDescent="0.25">
      <c r="A29" s="1" t="str">
        <f>A1</f>
        <v>Công ty TNHH Thuận An</v>
      </c>
      <c r="E29" s="114" t="s">
        <v>1</v>
      </c>
      <c r="F29" s="114"/>
    </row>
    <row r="30" spans="1:6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113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19030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39" spans="1:6" ht="16.5" thickBot="1" x14ac:dyDescent="0.3"/>
    <row r="40" spans="1:6" x14ac:dyDescent="0.25">
      <c r="A40" s="115" t="s">
        <v>5</v>
      </c>
      <c r="B40" s="117" t="s">
        <v>6</v>
      </c>
      <c r="C40" s="117" t="s">
        <v>7</v>
      </c>
      <c r="D40" s="117" t="s">
        <v>8</v>
      </c>
      <c r="E40" s="118" t="s">
        <v>9</v>
      </c>
      <c r="F40" s="119"/>
    </row>
    <row r="41" spans="1:6" x14ac:dyDescent="0.25">
      <c r="A41" s="116"/>
      <c r="B41" s="111"/>
      <c r="C41" s="111"/>
      <c r="D41" s="111"/>
      <c r="E41" s="4" t="s">
        <v>10</v>
      </c>
      <c r="F41" s="79" t="s">
        <v>11</v>
      </c>
    </row>
    <row r="42" spans="1:6" x14ac:dyDescent="0.25">
      <c r="A42" s="80" t="s">
        <v>12</v>
      </c>
      <c r="B42" s="6"/>
      <c r="C42" s="6"/>
      <c r="D42" s="6"/>
      <c r="E42" s="6"/>
      <c r="F42" s="81"/>
    </row>
    <row r="43" spans="1:6" x14ac:dyDescent="0.25">
      <c r="A43" s="82"/>
      <c r="B43" s="16"/>
      <c r="C43" s="16"/>
      <c r="D43" s="16"/>
      <c r="E43" s="16"/>
      <c r="F43" s="83"/>
    </row>
    <row r="44" spans="1:6" x14ac:dyDescent="0.25">
      <c r="A44" s="84" t="s">
        <v>13</v>
      </c>
      <c r="B44" s="8"/>
      <c r="C44" s="8">
        <v>2800000</v>
      </c>
      <c r="D44" s="8"/>
      <c r="E44" s="8">
        <f>C44</f>
        <v>2800000</v>
      </c>
      <c r="F44" s="85">
        <f>E44/E37</f>
        <v>147.13610089332633</v>
      </c>
    </row>
    <row r="45" spans="1:6" x14ac:dyDescent="0.25">
      <c r="A45" s="84"/>
      <c r="B45" s="8"/>
      <c r="C45" s="8"/>
      <c r="D45" s="8"/>
      <c r="E45" s="8"/>
      <c r="F45" s="85"/>
    </row>
    <row r="46" spans="1:6" x14ac:dyDescent="0.25">
      <c r="A46" s="84" t="s">
        <v>14</v>
      </c>
      <c r="B46" s="8"/>
      <c r="C46" s="8"/>
      <c r="D46" s="8"/>
      <c r="E46" s="9"/>
      <c r="F46" s="86"/>
    </row>
    <row r="47" spans="1:6" x14ac:dyDescent="0.25">
      <c r="A47" s="87"/>
      <c r="B47" s="18"/>
      <c r="C47" s="18"/>
      <c r="D47" s="18"/>
      <c r="E47" s="19"/>
      <c r="F47" s="88"/>
    </row>
    <row r="48" spans="1:6" x14ac:dyDescent="0.25">
      <c r="A48" s="87" t="s">
        <v>0</v>
      </c>
      <c r="B48" s="18"/>
      <c r="C48" s="18"/>
      <c r="D48" s="18"/>
      <c r="E48" s="18"/>
      <c r="F48" s="89"/>
    </row>
    <row r="49" spans="1:6" x14ac:dyDescent="0.25">
      <c r="A49" s="80" t="s">
        <v>67</v>
      </c>
      <c r="B49" s="6"/>
      <c r="C49" s="6">
        <v>21449563</v>
      </c>
      <c r="D49" s="6">
        <f>B49-(B49/12)*3</f>
        <v>0</v>
      </c>
      <c r="E49" s="6">
        <f>B49+C49-D49</f>
        <v>21449563</v>
      </c>
      <c r="F49" s="81">
        <f>E49/E37</f>
        <v>1127.1446663163426</v>
      </c>
    </row>
    <row r="50" spans="1:6" x14ac:dyDescent="0.25">
      <c r="A50" s="82" t="s">
        <v>115</v>
      </c>
      <c r="B50" s="16"/>
      <c r="C50" s="16">
        <v>2872328</v>
      </c>
      <c r="D50" s="16"/>
      <c r="E50" s="6">
        <f>B50+C50-D50</f>
        <v>2872328</v>
      </c>
      <c r="F50" s="83">
        <f>E50/E37</f>
        <v>150.93683657383079</v>
      </c>
    </row>
    <row r="51" spans="1:6" x14ac:dyDescent="0.25">
      <c r="A51" s="84" t="s">
        <v>69</v>
      </c>
      <c r="B51" s="8"/>
      <c r="C51" s="8">
        <v>825978</v>
      </c>
      <c r="D51" s="8"/>
      <c r="E51" s="8">
        <f>B51+C51-D51</f>
        <v>825978</v>
      </c>
      <c r="F51" s="85">
        <f>E51/E37</f>
        <v>43.403993694167106</v>
      </c>
    </row>
    <row r="52" spans="1:6" x14ac:dyDescent="0.25">
      <c r="A52" s="84"/>
      <c r="B52" s="8"/>
      <c r="C52" s="8"/>
      <c r="D52" s="8"/>
      <c r="E52" s="8"/>
      <c r="F52" s="85"/>
    </row>
    <row r="53" spans="1:6" ht="16.5" thickBot="1" x14ac:dyDescent="0.3">
      <c r="A53" s="90" t="s">
        <v>15</v>
      </c>
      <c r="B53" s="91">
        <f>B49+B51</f>
        <v>0</v>
      </c>
      <c r="C53" s="91">
        <f>C44+C49+C50+C51</f>
        <v>27947869</v>
      </c>
      <c r="D53" s="91">
        <f t="shared" ref="D53" si="1">D44+D49+D50+D51</f>
        <v>0</v>
      </c>
      <c r="E53" s="91">
        <f>E44+E49+E50+E51</f>
        <v>27947869</v>
      </c>
      <c r="F53" s="91">
        <f>F44+F49+F50+F51</f>
        <v>1468.6215974776669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34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14" t="s">
        <v>1</v>
      </c>
      <c r="F1" s="114"/>
    </row>
    <row r="2" spans="1:6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112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9143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153.12260745925846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1402.558460024062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98.173794159466254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1653.8548616427868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x14ac:dyDescent="0.25">
      <c r="A29" s="1" t="str">
        <f>A1</f>
        <v>Công ty TNHH Thuận An</v>
      </c>
      <c r="E29" s="114" t="s">
        <v>1</v>
      </c>
      <c r="F29" s="114"/>
    </row>
    <row r="30" spans="1:6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112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23798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117.65694596184554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8"/>
      <c r="D48" s="8"/>
      <c r="E48" s="8"/>
      <c r="F48" s="8"/>
    </row>
    <row r="49" spans="1:6" x14ac:dyDescent="0.25">
      <c r="A49" s="64" t="s">
        <v>67</v>
      </c>
      <c r="B49" s="8"/>
      <c r="C49" s="8">
        <v>21449563</v>
      </c>
      <c r="D49" s="65">
        <f>B49-(B49/12)*3</f>
        <v>0</v>
      </c>
      <c r="E49" s="8">
        <f>B49+C49-D49</f>
        <v>21449563</v>
      </c>
      <c r="F49" s="65">
        <f>E49/E37</f>
        <v>901.31788385578625</v>
      </c>
    </row>
    <row r="50" spans="1:6" x14ac:dyDescent="0.25">
      <c r="A50" s="64" t="s">
        <v>115</v>
      </c>
      <c r="B50" s="8"/>
      <c r="C50" s="8">
        <v>2872328</v>
      </c>
      <c r="D50" s="65"/>
      <c r="E50" s="8">
        <f>B50+C50-D50</f>
        <v>2872328</v>
      </c>
      <c r="F50" s="65">
        <f>E50/E37</f>
        <v>120.69619295739137</v>
      </c>
    </row>
    <row r="51" spans="1:6" x14ac:dyDescent="0.25">
      <c r="A51" s="64" t="s">
        <v>69</v>
      </c>
      <c r="B51" s="8"/>
      <c r="C51" s="8">
        <f>825978+(B51/12)</f>
        <v>825978</v>
      </c>
      <c r="D51" s="65"/>
      <c r="E51" s="8">
        <f>B51+C51-D51</f>
        <v>825978</v>
      </c>
      <c r="F51" s="65">
        <f>E51/E37</f>
        <v>34.707874611311873</v>
      </c>
    </row>
    <row r="52" spans="1:6" x14ac:dyDescent="0.25">
      <c r="A52" s="66"/>
      <c r="B52" s="67"/>
      <c r="C52" s="67"/>
      <c r="D52" s="68"/>
      <c r="E52" s="67"/>
      <c r="F52" s="68"/>
    </row>
    <row r="53" spans="1:6" x14ac:dyDescent="0.25">
      <c r="A53" s="62" t="s">
        <v>15</v>
      </c>
      <c r="B53" s="63">
        <f>B49+B51</f>
        <v>0</v>
      </c>
      <c r="C53" s="63">
        <f>C44+C49+C50+C51</f>
        <v>27947869</v>
      </c>
      <c r="D53" s="63">
        <f t="shared" ref="D53" si="1">D44+D49+D50+D51</f>
        <v>0</v>
      </c>
      <c r="E53" s="63">
        <f>E44+E49+E50+E51</f>
        <v>27947869</v>
      </c>
      <c r="F53" s="63">
        <f>F44+F49+F50+F51</f>
        <v>1174.378897386335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40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111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8240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ht="15.75" customHeight="1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169.90291262135923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1556.2611650485437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108.93240291262136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1835.0964805825245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111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20553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ht="15.75" customHeight="1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136.23315331095216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1043.6220016542597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139.75225027976452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40.18770982338345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" si="1">D44+D49+D50+D51</f>
        <v>0</v>
      </c>
      <c r="E53" s="55">
        <f>E44+E49+E50+E51</f>
        <v>27947869</v>
      </c>
      <c r="F53" s="55">
        <f>F44+F49+F50+F51</f>
        <v>1359.79511506836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1:F1"/>
    <mergeCell ref="E2:F2"/>
    <mergeCell ref="E3:F3"/>
    <mergeCell ref="E4:F4"/>
    <mergeCell ref="A6:F6"/>
    <mergeCell ref="A5:F5"/>
    <mergeCell ref="E12:F12"/>
    <mergeCell ref="A33:F33"/>
    <mergeCell ref="A40:A41"/>
    <mergeCell ref="B40:B41"/>
    <mergeCell ref="C40:C41"/>
    <mergeCell ref="D40:D41"/>
    <mergeCell ref="E40:F40"/>
    <mergeCell ref="E30:F30"/>
    <mergeCell ref="E31:F31"/>
    <mergeCell ref="E32:F32"/>
    <mergeCell ref="A34:F34"/>
    <mergeCell ref="E29:F29"/>
    <mergeCell ref="A12:A13"/>
    <mergeCell ref="B12:B13"/>
    <mergeCell ref="C12:C13"/>
    <mergeCell ref="D12:D13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7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109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6781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206.45922430320013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1891.1063265005162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132.37029936587524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2229.9358501695915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110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17170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163.07513104251601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1249.2465346534655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167.28759464181712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48.10588235294118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1627.7151426907396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0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107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7690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182.05461638491548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1667.5672301690506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116.72340702210663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1966.3452535760728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108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16936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165.32829475673122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1266.5070264525273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169.59896079357583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48.770547945205479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1650.2048299480396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6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105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6494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215.58361564521095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1974.6830920850016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138.22035725284877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2328.4870649830614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106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16130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173.58958462492251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1329.7931184128952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178.07365158090514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51.207563546187231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1732.66391816491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37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104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6405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218.5792349726776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2002.1220921155348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140.14098360655737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2360.8423106947698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103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19540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143.29580348004095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1097.7258444216991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146.99733879222109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42.271136131013307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1430.2901228249743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102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6440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217.39130434782609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1991.2409937888199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139.37934782608696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2348.0116459627329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101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16268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172.11703958691911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1318.5126014261127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176.56306860093434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50.773174329972953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1717.9658839439392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9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ht="15.75" customHeight="1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99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7785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179.83301220295439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1647.2179833012203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115.2990366088632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1942.350032113038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ht="15.75" customHeight="1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100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17856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156.8100358422939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1201.2524081541219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160.86066308243727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46.257728494623656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1565.1808355734768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6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97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7303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191.70204025742845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1755.9348213063124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122.90880460084897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2070.5456661645899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98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17976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155.76323987538942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1193.2333667111704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159.78682688028482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45.948931909212284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1554.7323653760568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4" workbookViewId="0">
      <selection activeCell="D50" sqref="D5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14" t="s">
        <v>1</v>
      </c>
      <c r="F1" s="114"/>
    </row>
    <row r="2" spans="1:6" ht="15.75" customHeight="1" x14ac:dyDescent="0.25">
      <c r="A2" s="1" t="str">
        <f>'THONG TIN'!C4</f>
        <v>Ấp Chồng Nô 3, Xã Hòa Tân, Huyện Cầu Kè, Tỉnh Trà Vinh</v>
      </c>
      <c r="E2" s="107" t="s">
        <v>2</v>
      </c>
      <c r="F2" s="107"/>
    </row>
    <row r="3" spans="1:6" ht="15.75" customHeight="1" x14ac:dyDescent="0.25">
      <c r="E3" s="107" t="s">
        <v>53</v>
      </c>
      <c r="F3" s="107"/>
    </row>
    <row r="4" spans="1:6" x14ac:dyDescent="0.25">
      <c r="E4" s="107" t="s">
        <v>3</v>
      </c>
      <c r="F4" s="107"/>
    </row>
    <row r="5" spans="1:6" ht="18" x14ac:dyDescent="0.25">
      <c r="A5" s="108" t="s">
        <v>4</v>
      </c>
      <c r="B5" s="108"/>
      <c r="C5" s="108"/>
      <c r="D5" s="108"/>
      <c r="E5" s="108"/>
      <c r="F5" s="108"/>
    </row>
    <row r="6" spans="1:6" x14ac:dyDescent="0.25">
      <c r="A6" s="109" t="s">
        <v>96</v>
      </c>
      <c r="B6" s="109"/>
      <c r="C6" s="109"/>
      <c r="D6" s="109"/>
      <c r="E6" s="109"/>
      <c r="F6" s="109"/>
    </row>
    <row r="7" spans="1:6" x14ac:dyDescent="0.25">
      <c r="B7" s="1" t="s">
        <v>68</v>
      </c>
      <c r="C7" s="52" t="s">
        <v>64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7872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10" t="s">
        <v>5</v>
      </c>
      <c r="B12" s="110" t="s">
        <v>6</v>
      </c>
      <c r="C12" s="110" t="s">
        <v>7</v>
      </c>
      <c r="D12" s="110" t="s">
        <v>8</v>
      </c>
      <c r="E12" s="112" t="s">
        <v>9</v>
      </c>
      <c r="F12" s="113"/>
    </row>
    <row r="13" spans="1:6" x14ac:dyDescent="0.25">
      <c r="A13" s="111"/>
      <c r="B13" s="111"/>
      <c r="C13" s="111"/>
      <c r="D13" s="111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177.84552845528455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1629.0132113821139</v>
      </c>
    </row>
    <row r="22" spans="1:6" x14ac:dyDescent="0.25">
      <c r="A22" s="7" t="s">
        <v>115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114.02477134146342</v>
      </c>
    </row>
    <row r="23" spans="1:6" x14ac:dyDescent="0.25">
      <c r="A23" s="20"/>
      <c r="B23" s="21"/>
      <c r="C23" s="21"/>
      <c r="D23" s="21"/>
      <c r="E23" s="21"/>
      <c r="F23" s="21"/>
    </row>
    <row r="24" spans="1:6" x14ac:dyDescent="0.25">
      <c r="A24" s="54" t="s">
        <v>15</v>
      </c>
      <c r="B24" s="55">
        <f>B21+B23</f>
        <v>0</v>
      </c>
      <c r="C24" s="55">
        <f>C16+C21+C22</f>
        <v>15121195</v>
      </c>
      <c r="D24" s="55">
        <f t="shared" ref="D24:F24" si="0">D16+D21+D22</f>
        <v>0</v>
      </c>
      <c r="E24" s="55">
        <f t="shared" si="0"/>
        <v>15121195</v>
      </c>
      <c r="F24" s="55">
        <f t="shared" si="0"/>
        <v>1920.8835111788619</v>
      </c>
    </row>
    <row r="26" spans="1:6" x14ac:dyDescent="0.25">
      <c r="A26" s="13" t="s">
        <v>16</v>
      </c>
      <c r="B26" s="13"/>
      <c r="C26" s="13" t="s">
        <v>17</v>
      </c>
      <c r="D26" s="13"/>
      <c r="E26" s="13" t="s">
        <v>18</v>
      </c>
      <c r="F26" s="13"/>
    </row>
    <row r="27" spans="1:6" x14ac:dyDescent="0.25">
      <c r="A27" s="14" t="s">
        <v>19</v>
      </c>
      <c r="B27" s="14"/>
      <c r="C27" s="14" t="s">
        <v>19</v>
      </c>
      <c r="D27" s="14"/>
      <c r="E27" s="14" t="s">
        <v>20</v>
      </c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ht="15.75" customHeight="1" x14ac:dyDescent="0.25">
      <c r="A29" s="1" t="str">
        <f>A1</f>
        <v>Công ty TNHH Thuận An</v>
      </c>
      <c r="E29" s="114" t="s">
        <v>1</v>
      </c>
      <c r="F29" s="114"/>
    </row>
    <row r="30" spans="1:6" ht="15.75" customHeight="1" x14ac:dyDescent="0.25">
      <c r="A30" s="1" t="str">
        <f>A2</f>
        <v>Ấp Chồng Nô 3, Xã Hòa Tân, Huyện Cầu Kè, Tỉnh Trà Vinh</v>
      </c>
      <c r="E30" s="107" t="s">
        <v>2</v>
      </c>
      <c r="F30" s="107"/>
    </row>
    <row r="31" spans="1:6" ht="15.75" customHeight="1" x14ac:dyDescent="0.25">
      <c r="E31" s="107" t="s">
        <v>53</v>
      </c>
      <c r="F31" s="107"/>
    </row>
    <row r="32" spans="1:6" x14ac:dyDescent="0.25">
      <c r="E32" s="107" t="s">
        <v>3</v>
      </c>
      <c r="F32" s="107"/>
    </row>
    <row r="33" spans="1:6" ht="18" x14ac:dyDescent="0.25">
      <c r="A33" s="108" t="s">
        <v>4</v>
      </c>
      <c r="B33" s="108"/>
      <c r="C33" s="108"/>
      <c r="D33" s="108"/>
      <c r="E33" s="108"/>
      <c r="F33" s="108"/>
    </row>
    <row r="34" spans="1:6" x14ac:dyDescent="0.25">
      <c r="A34" s="109" t="s">
        <v>95</v>
      </c>
      <c r="B34" s="109"/>
      <c r="C34" s="109"/>
      <c r="D34" s="109"/>
      <c r="E34" s="109"/>
      <c r="F34" s="109"/>
    </row>
    <row r="35" spans="1:6" x14ac:dyDescent="0.25">
      <c r="B35" s="1" t="s">
        <v>68</v>
      </c>
      <c r="C35" s="52" t="s">
        <v>65</v>
      </c>
    </row>
    <row r="36" spans="1:6" x14ac:dyDescent="0.25">
      <c r="B36" s="2" t="s">
        <v>55</v>
      </c>
      <c r="C36" s="3"/>
      <c r="D36" s="3"/>
      <c r="E36" s="53"/>
      <c r="F36" s="3"/>
    </row>
    <row r="37" spans="1:6" x14ac:dyDescent="0.25">
      <c r="B37" s="2" t="s">
        <v>56</v>
      </c>
      <c r="C37" s="3"/>
      <c r="D37" s="3"/>
      <c r="E37" s="56">
        <v>17750</v>
      </c>
      <c r="F37" s="3"/>
    </row>
    <row r="38" spans="1:6" x14ac:dyDescent="0.25">
      <c r="B38" s="2" t="s">
        <v>54</v>
      </c>
      <c r="C38" s="3"/>
      <c r="D38" s="3"/>
      <c r="E38" s="3"/>
      <c r="F38" s="3"/>
    </row>
    <row r="40" spans="1:6" ht="15.75" customHeight="1" x14ac:dyDescent="0.25">
      <c r="A40" s="110" t="s">
        <v>5</v>
      </c>
      <c r="B40" s="110" t="s">
        <v>6</v>
      </c>
      <c r="C40" s="110" t="s">
        <v>7</v>
      </c>
      <c r="D40" s="110" t="s">
        <v>8</v>
      </c>
      <c r="E40" s="112" t="s">
        <v>9</v>
      </c>
      <c r="F40" s="113"/>
    </row>
    <row r="41" spans="1:6" x14ac:dyDescent="0.25">
      <c r="A41" s="111"/>
      <c r="B41" s="111"/>
      <c r="C41" s="111"/>
      <c r="D41" s="111"/>
      <c r="E41" s="4" t="s">
        <v>10</v>
      </c>
      <c r="F41" s="4" t="s">
        <v>11</v>
      </c>
    </row>
    <row r="42" spans="1:6" x14ac:dyDescent="0.25">
      <c r="A42" s="5" t="s">
        <v>12</v>
      </c>
      <c r="B42" s="6"/>
      <c r="C42" s="6"/>
      <c r="D42" s="6"/>
      <c r="E42" s="6"/>
      <c r="F42" s="6"/>
    </row>
    <row r="43" spans="1:6" x14ac:dyDescent="0.25">
      <c r="A43" s="15"/>
      <c r="B43" s="16"/>
      <c r="C43" s="16"/>
      <c r="D43" s="16"/>
      <c r="E43" s="16"/>
      <c r="F43" s="16"/>
    </row>
    <row r="44" spans="1:6" x14ac:dyDescent="0.25">
      <c r="A44" s="7" t="s">
        <v>13</v>
      </c>
      <c r="B44" s="8"/>
      <c r="C44" s="8">
        <v>2800000</v>
      </c>
      <c r="D44" s="8"/>
      <c r="E44" s="8">
        <f>C44</f>
        <v>2800000</v>
      </c>
      <c r="F44" s="8">
        <f>E44/E37</f>
        <v>157.74647887323943</v>
      </c>
    </row>
    <row r="45" spans="1:6" x14ac:dyDescent="0.25">
      <c r="A45" s="7"/>
      <c r="B45" s="8"/>
      <c r="C45" s="8"/>
      <c r="D45" s="8"/>
      <c r="E45" s="8"/>
      <c r="F45" s="8"/>
    </row>
    <row r="46" spans="1:6" x14ac:dyDescent="0.25">
      <c r="A46" s="7" t="s">
        <v>14</v>
      </c>
      <c r="B46" s="8"/>
      <c r="C46" s="8"/>
      <c r="D46" s="8"/>
      <c r="E46" s="9"/>
      <c r="F46" s="9"/>
    </row>
    <row r="47" spans="1:6" x14ac:dyDescent="0.25">
      <c r="A47" s="17"/>
      <c r="B47" s="18"/>
      <c r="C47" s="18"/>
      <c r="D47" s="18"/>
      <c r="E47" s="19"/>
      <c r="F47" s="19"/>
    </row>
    <row r="48" spans="1:6" x14ac:dyDescent="0.25">
      <c r="A48" s="7" t="s">
        <v>0</v>
      </c>
      <c r="B48" s="8"/>
      <c r="C48" s="71"/>
      <c r="D48" s="71"/>
      <c r="E48" s="8"/>
      <c r="F48" s="8"/>
    </row>
    <row r="49" spans="1:6" x14ac:dyDescent="0.25">
      <c r="A49" s="69" t="s">
        <v>67</v>
      </c>
      <c r="B49" s="71"/>
      <c r="C49" s="71">
        <v>21449563</v>
      </c>
      <c r="D49" s="71">
        <f>B49-(B49/12)*3</f>
        <v>0</v>
      </c>
      <c r="E49" s="71">
        <f>B49+C49-D49</f>
        <v>21449563</v>
      </c>
      <c r="F49" s="8">
        <f>E49/E37</f>
        <v>1208.4260845070423</v>
      </c>
    </row>
    <row r="50" spans="1:6" x14ac:dyDescent="0.25">
      <c r="A50" s="69" t="s">
        <v>115</v>
      </c>
      <c r="B50" s="71"/>
      <c r="C50" s="71">
        <v>2872328</v>
      </c>
      <c r="D50" s="71"/>
      <c r="E50" s="71">
        <f>B50+C50-D50</f>
        <v>2872328</v>
      </c>
      <c r="F50" s="8">
        <f>E50/E37</f>
        <v>161.82129577464789</v>
      </c>
    </row>
    <row r="51" spans="1:6" x14ac:dyDescent="0.25">
      <c r="A51" s="69" t="s">
        <v>69</v>
      </c>
      <c r="B51" s="71"/>
      <c r="C51" s="71">
        <f>825978+(B51/12)</f>
        <v>825978</v>
      </c>
      <c r="D51" s="71"/>
      <c r="E51" s="71">
        <f>B51+C51-D51</f>
        <v>825978</v>
      </c>
      <c r="F51" s="8">
        <f>E51/E37</f>
        <v>46.533971830985912</v>
      </c>
    </row>
    <row r="52" spans="1:6" x14ac:dyDescent="0.25">
      <c r="A52" s="70"/>
      <c r="B52" s="72"/>
      <c r="C52" s="72"/>
      <c r="D52" s="72"/>
      <c r="E52" s="72"/>
      <c r="F52" s="67"/>
    </row>
    <row r="53" spans="1:6" x14ac:dyDescent="0.25">
      <c r="A53" s="4" t="s">
        <v>15</v>
      </c>
      <c r="B53" s="55">
        <f>B49+B51</f>
        <v>0</v>
      </c>
      <c r="C53" s="55">
        <f>C44+C49+C50+C51</f>
        <v>27947869</v>
      </c>
      <c r="D53" s="55">
        <f t="shared" ref="D53:E53" si="1">D44+D49+D50+D51</f>
        <v>0</v>
      </c>
      <c r="E53" s="55">
        <f t="shared" si="1"/>
        <v>27947869</v>
      </c>
      <c r="F53" s="55">
        <f>F44+F49+F50+F51</f>
        <v>1574.5278309859154</v>
      </c>
    </row>
    <row r="54" spans="1:6" x14ac:dyDescent="0.25">
      <c r="A54" s="10"/>
      <c r="B54" s="11"/>
      <c r="C54" s="12"/>
      <c r="D54" s="12"/>
      <c r="E54" s="12"/>
      <c r="F54" s="12"/>
    </row>
    <row r="55" spans="1:6" x14ac:dyDescent="0.25">
      <c r="A55" s="13" t="s">
        <v>16</v>
      </c>
      <c r="B55" s="13"/>
      <c r="C55" s="13" t="s">
        <v>17</v>
      </c>
      <c r="D55" s="13"/>
      <c r="E55" s="13" t="s">
        <v>18</v>
      </c>
      <c r="F55" s="13"/>
    </row>
    <row r="56" spans="1:6" x14ac:dyDescent="0.25">
      <c r="A56" s="14" t="s">
        <v>19</v>
      </c>
      <c r="B56" s="14"/>
      <c r="C56" s="14" t="s">
        <v>19</v>
      </c>
      <c r="D56" s="14"/>
      <c r="E56" s="14" t="s">
        <v>20</v>
      </c>
      <c r="F56" s="14"/>
    </row>
  </sheetData>
  <mergeCells count="22">
    <mergeCell ref="E29:F29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40:A41"/>
    <mergeCell ref="B40:B41"/>
    <mergeCell ref="C40:C41"/>
    <mergeCell ref="D40:D41"/>
    <mergeCell ref="E40:F40"/>
    <mergeCell ref="E30:F30"/>
    <mergeCell ref="E31:F31"/>
    <mergeCell ref="E32:F32"/>
    <mergeCell ref="A33:F33"/>
    <mergeCell ref="A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THONG TIN</vt:lpstr>
      <vt:lpstr>SL 2023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YamiViet</cp:lastModifiedBy>
  <cp:lastPrinted>2022-03-13T07:47:02Z</cp:lastPrinted>
  <dcterms:created xsi:type="dcterms:W3CDTF">2016-04-11T03:39:34Z</dcterms:created>
  <dcterms:modified xsi:type="dcterms:W3CDTF">2024-03-14T11:36:07Z</dcterms:modified>
</cp:coreProperties>
</file>