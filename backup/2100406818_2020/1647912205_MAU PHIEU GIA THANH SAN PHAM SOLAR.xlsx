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AN AN\"/>
    </mc:Choice>
  </mc:AlternateContent>
  <bookViews>
    <workbookView xWindow="20370" yWindow="-120" windowWidth="29040" windowHeight="15840" activeTab="1"/>
  </bookViews>
  <sheets>
    <sheet name="THONG TIN" sheetId="2" r:id="rId1"/>
    <sheet name=" SL 2020" sheetId="3" r:id="rId2"/>
    <sheet name="11 2020" sheetId="1" r:id="rId3"/>
    <sheet name="12 2020" sheetId="9" r:id="rId4"/>
    <sheet name="SL 2021" sheetId="4" r:id="rId5"/>
    <sheet name="T1" sheetId="5" r:id="rId6"/>
    <sheet name="T2" sheetId="10" r:id="rId7"/>
    <sheet name="T3" sheetId="11" r:id="rId8"/>
    <sheet name="T4" sheetId="6" r:id="rId9"/>
    <sheet name="T5" sheetId="12" r:id="rId10"/>
    <sheet name="T6" sheetId="13" r:id="rId11"/>
    <sheet name="T7" sheetId="7" r:id="rId12"/>
    <sheet name="T8" sheetId="14" r:id="rId13"/>
    <sheet name="T9" sheetId="15" r:id="rId14"/>
    <sheet name="T10" sheetId="8" r:id="rId15"/>
    <sheet name="T11" sheetId="16" r:id="rId16"/>
    <sheet name="T12" sheetId="17" r:id="rId17"/>
  </sheets>
  <calcPr calcId="152511"/>
</workbook>
</file>

<file path=xl/calcChain.xml><?xml version="1.0" encoding="utf-8"?>
<calcChain xmlns="http://schemas.openxmlformats.org/spreadsheetml/2006/main">
  <c r="C25" i="4" l="1"/>
  <c r="G23" i="3" l="1"/>
  <c r="F20" i="4"/>
  <c r="F24" i="4"/>
  <c r="F16" i="4"/>
  <c r="F12" i="4"/>
  <c r="H25" i="4"/>
  <c r="G53" i="3"/>
  <c r="D58" i="4"/>
  <c r="D45" i="4"/>
  <c r="C45" i="4"/>
  <c r="C58" i="4" s="1"/>
  <c r="D12" i="4"/>
  <c r="C12" i="4"/>
  <c r="E57" i="4"/>
  <c r="E53" i="4"/>
  <c r="E49" i="4"/>
  <c r="E45" i="4"/>
  <c r="D9" i="4"/>
  <c r="D25" i="4" s="1"/>
  <c r="D42" i="4"/>
  <c r="C23" i="3"/>
  <c r="H22" i="3"/>
  <c r="E24" i="4"/>
  <c r="E20" i="4"/>
  <c r="E16" i="4"/>
  <c r="E12" i="4"/>
  <c r="F51" i="13"/>
  <c r="I47" i="4"/>
  <c r="I56" i="4"/>
  <c r="I55" i="4"/>
  <c r="I54" i="4"/>
  <c r="I52" i="4"/>
  <c r="I51" i="4"/>
  <c r="I50" i="4"/>
  <c r="I48" i="4"/>
  <c r="F51" i="17"/>
  <c r="C43" i="17"/>
  <c r="E43" i="17" s="1"/>
  <c r="F43" i="17" s="1"/>
  <c r="F51" i="16"/>
  <c r="C43" i="16"/>
  <c r="E43" i="16" s="1"/>
  <c r="F43" i="16" s="1"/>
  <c r="F51" i="8"/>
  <c r="C43" i="8"/>
  <c r="E43" i="8" s="1"/>
  <c r="F43" i="8" s="1"/>
  <c r="F51" i="15"/>
  <c r="E43" i="15"/>
  <c r="F43" i="15" s="1"/>
  <c r="C43" i="15"/>
  <c r="F51" i="14"/>
  <c r="C43" i="14"/>
  <c r="E43" i="14" s="1"/>
  <c r="F43" i="14" s="1"/>
  <c r="F43" i="7"/>
  <c r="F51" i="7"/>
  <c r="C43" i="7"/>
  <c r="E43" i="7" s="1"/>
  <c r="C43" i="13"/>
  <c r="E43" i="13" s="1"/>
  <c r="F43" i="13" s="1"/>
  <c r="F43" i="12"/>
  <c r="F51" i="12"/>
  <c r="C43" i="12"/>
  <c r="E43" i="12" s="1"/>
  <c r="F51" i="11"/>
  <c r="F43" i="6"/>
  <c r="F51" i="6"/>
  <c r="E58" i="4" l="1"/>
  <c r="F25" i="4"/>
  <c r="E25" i="4"/>
  <c r="F58" i="4"/>
  <c r="C43" i="6"/>
  <c r="E43" i="6" s="1"/>
  <c r="F43" i="11"/>
  <c r="E43" i="11"/>
  <c r="C43" i="11"/>
  <c r="F43" i="10"/>
  <c r="F50" i="10"/>
  <c r="C43" i="10"/>
  <c r="E43" i="10" s="1"/>
  <c r="C43" i="5"/>
  <c r="E43" i="5" s="1"/>
  <c r="F43" i="5" s="1"/>
  <c r="F16" i="17"/>
  <c r="F23" i="17"/>
  <c r="C16" i="17"/>
  <c r="E16" i="17" s="1"/>
  <c r="F23" i="16"/>
  <c r="F21" i="16"/>
  <c r="F16" i="16"/>
  <c r="C16" i="16"/>
  <c r="E16" i="16" s="1"/>
  <c r="F23" i="8"/>
  <c r="F16" i="8"/>
  <c r="C16" i="8"/>
  <c r="E16" i="8" s="1"/>
  <c r="F16" i="15"/>
  <c r="F23" i="15"/>
  <c r="C16" i="15"/>
  <c r="E16" i="15" s="1"/>
  <c r="F23" i="14"/>
  <c r="F16" i="14"/>
  <c r="E16" i="14"/>
  <c r="C16" i="14"/>
  <c r="F23" i="7"/>
  <c r="F16" i="7"/>
  <c r="C16" i="7"/>
  <c r="E16" i="7" s="1"/>
  <c r="F16" i="13"/>
  <c r="F23" i="13"/>
  <c r="E16" i="13"/>
  <c r="C16" i="13"/>
  <c r="F16" i="12"/>
  <c r="F23" i="12"/>
  <c r="C16" i="12"/>
  <c r="E16" i="12" s="1"/>
  <c r="F23" i="6"/>
  <c r="F16" i="6"/>
  <c r="C16" i="6"/>
  <c r="E16" i="6" s="1"/>
  <c r="F16" i="11"/>
  <c r="F23" i="11"/>
  <c r="C16" i="11"/>
  <c r="E16" i="11" s="1"/>
  <c r="F23" i="10"/>
  <c r="F16" i="10"/>
  <c r="E16" i="10"/>
  <c r="C16" i="10"/>
  <c r="E16" i="5"/>
  <c r="F16" i="5" s="1"/>
  <c r="C16" i="5"/>
  <c r="G25" i="4" l="1"/>
  <c r="B51" i="17"/>
  <c r="C49" i="17"/>
  <c r="E49" i="17" s="1"/>
  <c r="F49" i="17" s="1"/>
  <c r="D48" i="17"/>
  <c r="D51" i="17" s="1"/>
  <c r="C48" i="17"/>
  <c r="E48" i="17" s="1"/>
  <c r="B23" i="17"/>
  <c r="D21" i="17"/>
  <c r="D23" i="17" s="1"/>
  <c r="C21" i="17"/>
  <c r="E21" i="17" s="1"/>
  <c r="A2" i="17"/>
  <c r="A29" i="17" s="1"/>
  <c r="A1" i="17"/>
  <c r="A28" i="17" s="1"/>
  <c r="B51" i="16"/>
  <c r="C49" i="16"/>
  <c r="E49" i="16" s="1"/>
  <c r="F49" i="16" s="1"/>
  <c r="D48" i="16"/>
  <c r="D51" i="16" s="1"/>
  <c r="C48" i="16"/>
  <c r="E48" i="16" s="1"/>
  <c r="B23" i="16"/>
  <c r="D21" i="16"/>
  <c r="D23" i="16" s="1"/>
  <c r="C21" i="16"/>
  <c r="E21" i="16" s="1"/>
  <c r="A2" i="16"/>
  <c r="A29" i="16" s="1"/>
  <c r="A1" i="16"/>
  <c r="A28" i="16" s="1"/>
  <c r="B51" i="8"/>
  <c r="C49" i="8"/>
  <c r="E49" i="8" s="1"/>
  <c r="F49" i="8" s="1"/>
  <c r="D48" i="8"/>
  <c r="D51" i="8" s="1"/>
  <c r="C48" i="8"/>
  <c r="E48" i="8" s="1"/>
  <c r="D23" i="8"/>
  <c r="B23" i="8"/>
  <c r="D21" i="8"/>
  <c r="C21" i="8"/>
  <c r="E21" i="8" s="1"/>
  <c r="A2" i="8"/>
  <c r="A29" i="8" s="1"/>
  <c r="A1" i="8"/>
  <c r="A28" i="8" s="1"/>
  <c r="B51" i="15"/>
  <c r="C49" i="15"/>
  <c r="E49" i="15" s="1"/>
  <c r="F49" i="15" s="1"/>
  <c r="D48" i="15"/>
  <c r="D51" i="15" s="1"/>
  <c r="C48" i="15"/>
  <c r="E48" i="15" s="1"/>
  <c r="D23" i="15"/>
  <c r="B23" i="15"/>
  <c r="D21" i="15"/>
  <c r="C21" i="15"/>
  <c r="E21" i="15" s="1"/>
  <c r="A2" i="15"/>
  <c r="A29" i="15" s="1"/>
  <c r="A1" i="15"/>
  <c r="A28" i="15" s="1"/>
  <c r="B51" i="14"/>
  <c r="C49" i="14"/>
  <c r="E49" i="14" s="1"/>
  <c r="F49" i="14" s="1"/>
  <c r="E48" i="14"/>
  <c r="E51" i="14" s="1"/>
  <c r="D48" i="14"/>
  <c r="D51" i="14" s="1"/>
  <c r="C48" i="14"/>
  <c r="C51" i="14" s="1"/>
  <c r="A29" i="14"/>
  <c r="C23" i="14"/>
  <c r="B23" i="14"/>
  <c r="D21" i="14"/>
  <c r="D23" i="14" s="1"/>
  <c r="C21" i="14"/>
  <c r="A2" i="14"/>
  <c r="A1" i="14"/>
  <c r="A28" i="14" s="1"/>
  <c r="B51" i="7"/>
  <c r="C49" i="7"/>
  <c r="E49" i="7" s="1"/>
  <c r="F49" i="7" s="1"/>
  <c r="D48" i="7"/>
  <c r="D51" i="7" s="1"/>
  <c r="C48" i="7"/>
  <c r="E48" i="7" s="1"/>
  <c r="B23" i="7"/>
  <c r="D21" i="7"/>
  <c r="D23" i="7" s="1"/>
  <c r="C21" i="7"/>
  <c r="E21" i="7" s="1"/>
  <c r="A2" i="7"/>
  <c r="A29" i="7" s="1"/>
  <c r="A1" i="7"/>
  <c r="A28" i="7" s="1"/>
  <c r="B51" i="13"/>
  <c r="C49" i="13"/>
  <c r="E49" i="13" s="1"/>
  <c r="F49" i="13" s="1"/>
  <c r="D48" i="13"/>
  <c r="D51" i="13" s="1"/>
  <c r="C48" i="13"/>
  <c r="E48" i="13" s="1"/>
  <c r="B23" i="13"/>
  <c r="D21" i="13"/>
  <c r="D23" i="13" s="1"/>
  <c r="C21" i="13"/>
  <c r="E21" i="13" s="1"/>
  <c r="A2" i="13"/>
  <c r="A29" i="13" s="1"/>
  <c r="A1" i="13"/>
  <c r="A28" i="13" s="1"/>
  <c r="B51" i="12"/>
  <c r="C49" i="12"/>
  <c r="E49" i="12" s="1"/>
  <c r="F49" i="12" s="1"/>
  <c r="D48" i="12"/>
  <c r="D51" i="12" s="1"/>
  <c r="C48" i="12"/>
  <c r="E48" i="12" s="1"/>
  <c r="B23" i="12"/>
  <c r="D21" i="12"/>
  <c r="D23" i="12" s="1"/>
  <c r="C21" i="12"/>
  <c r="E21" i="12" s="1"/>
  <c r="A2" i="12"/>
  <c r="A29" i="12" s="1"/>
  <c r="A1" i="12"/>
  <c r="A28" i="12" s="1"/>
  <c r="E51" i="6"/>
  <c r="C51" i="6"/>
  <c r="C49" i="6"/>
  <c r="C48" i="6"/>
  <c r="C21" i="6"/>
  <c r="C49" i="11"/>
  <c r="C48" i="11"/>
  <c r="C21" i="11"/>
  <c r="F48" i="17" l="1"/>
  <c r="E51" i="17"/>
  <c r="E23" i="17"/>
  <c r="F21" i="17"/>
  <c r="C51" i="17"/>
  <c r="C23" i="17"/>
  <c r="E23" i="16"/>
  <c r="F48" i="16"/>
  <c r="E51" i="16"/>
  <c r="C51" i="16"/>
  <c r="C23" i="16"/>
  <c r="E23" i="8"/>
  <c r="F21" i="8"/>
  <c r="F48" i="8"/>
  <c r="E51" i="8"/>
  <c r="C51" i="8"/>
  <c r="C23" i="8"/>
  <c r="F48" i="15"/>
  <c r="E51" i="15"/>
  <c r="E23" i="15"/>
  <c r="F21" i="15"/>
  <c r="C51" i="15"/>
  <c r="C23" i="15"/>
  <c r="E21" i="14"/>
  <c r="F48" i="14"/>
  <c r="F21" i="7"/>
  <c r="E23" i="7"/>
  <c r="F48" i="7"/>
  <c r="E51" i="7"/>
  <c r="C51" i="7"/>
  <c r="C23" i="7"/>
  <c r="F48" i="13"/>
  <c r="E51" i="13"/>
  <c r="E23" i="13"/>
  <c r="F21" i="13"/>
  <c r="C51" i="13"/>
  <c r="C23" i="13"/>
  <c r="F48" i="12"/>
  <c r="E51" i="12"/>
  <c r="E23" i="12"/>
  <c r="F21" i="12"/>
  <c r="C51" i="12"/>
  <c r="C23" i="12"/>
  <c r="E23" i="14" l="1"/>
  <c r="F21" i="14"/>
  <c r="C48" i="10" l="1"/>
  <c r="I43" i="4" l="1"/>
  <c r="I10" i="4"/>
  <c r="C21" i="10"/>
  <c r="C49" i="10"/>
  <c r="C49" i="5"/>
  <c r="C48" i="5"/>
  <c r="D21" i="5"/>
  <c r="C21" i="5"/>
  <c r="B51" i="11"/>
  <c r="E49" i="11"/>
  <c r="F49" i="11" s="1"/>
  <c r="D48" i="11"/>
  <c r="D51" i="11" s="1"/>
  <c r="B23" i="11"/>
  <c r="D21" i="11"/>
  <c r="D23" i="11" s="1"/>
  <c r="E21" i="11"/>
  <c r="F21" i="11" s="1"/>
  <c r="A2" i="11"/>
  <c r="A29" i="11" s="1"/>
  <c r="A1" i="11"/>
  <c r="A28" i="11" s="1"/>
  <c r="B50" i="10"/>
  <c r="E49" i="10"/>
  <c r="F49" i="10" s="1"/>
  <c r="E48" i="10"/>
  <c r="F48" i="10" s="1"/>
  <c r="D48" i="10"/>
  <c r="D50" i="10" s="1"/>
  <c r="C50" i="10"/>
  <c r="D23" i="10"/>
  <c r="B23" i="10"/>
  <c r="E21" i="10"/>
  <c r="E23" i="10" s="1"/>
  <c r="D21" i="10"/>
  <c r="C23" i="10"/>
  <c r="A2" i="10"/>
  <c r="A29" i="10" s="1"/>
  <c r="A1" i="10"/>
  <c r="A28" i="10" s="1"/>
  <c r="E48" i="11" l="1"/>
  <c r="E51" i="11" s="1"/>
  <c r="I19" i="4"/>
  <c r="I18" i="4"/>
  <c r="I23" i="4"/>
  <c r="I15" i="4"/>
  <c r="I14" i="4"/>
  <c r="E23" i="11"/>
  <c r="I11" i="4"/>
  <c r="F48" i="11"/>
  <c r="I44" i="4" s="1"/>
  <c r="C51" i="11"/>
  <c r="C23" i="11"/>
  <c r="E50" i="10"/>
  <c r="F21" i="10"/>
  <c r="I22" i="4" l="1"/>
  <c r="C49" i="9" l="1"/>
  <c r="C51" i="9" s="1"/>
  <c r="B51" i="9"/>
  <c r="D49" i="9"/>
  <c r="D51" i="9" s="1"/>
  <c r="E37" i="9"/>
  <c r="C22" i="9"/>
  <c r="E10" i="9"/>
  <c r="D24" i="9"/>
  <c r="B24" i="9"/>
  <c r="E22" i="9"/>
  <c r="E24" i="9" s="1"/>
  <c r="D22" i="9"/>
  <c r="C24" i="9"/>
  <c r="A2" i="9"/>
  <c r="A29" i="9" s="1"/>
  <c r="A1" i="9"/>
  <c r="A28" i="9" s="1"/>
  <c r="E10" i="1"/>
  <c r="C22" i="1"/>
  <c r="E49" i="9" l="1"/>
  <c r="F22" i="9"/>
  <c r="F24" i="9" s="1"/>
  <c r="E49" i="6"/>
  <c r="B51" i="6"/>
  <c r="D48" i="6"/>
  <c r="D51" i="6" s="1"/>
  <c r="C23" i="6"/>
  <c r="B23" i="6"/>
  <c r="D21" i="6"/>
  <c r="D23" i="6" s="1"/>
  <c r="E49" i="5"/>
  <c r="F49" i="5" s="1"/>
  <c r="C50" i="5"/>
  <c r="B50" i="5"/>
  <c r="D48" i="5"/>
  <c r="D50" i="5" s="1"/>
  <c r="C23" i="5"/>
  <c r="D23" i="5"/>
  <c r="B23" i="5"/>
  <c r="E21" i="5"/>
  <c r="F21" i="5" s="1"/>
  <c r="F23" i="5" s="1"/>
  <c r="I9" i="4" s="1"/>
  <c r="E23" i="5" l="1"/>
  <c r="E51" i="9"/>
  <c r="F49" i="9"/>
  <c r="F51" i="9" s="1"/>
  <c r="E48" i="6"/>
  <c r="E21" i="6"/>
  <c r="E48" i="5"/>
  <c r="F48" i="5" s="1"/>
  <c r="F50" i="5" s="1"/>
  <c r="I42" i="4" s="1"/>
  <c r="C51" i="1"/>
  <c r="D51" i="1"/>
  <c r="B51" i="1"/>
  <c r="D49" i="1"/>
  <c r="E49" i="1"/>
  <c r="E51" i="1" s="1"/>
  <c r="E22" i="1"/>
  <c r="C24" i="1"/>
  <c r="D24" i="1"/>
  <c r="B24" i="1"/>
  <c r="D22" i="1"/>
  <c r="I21" i="4"/>
  <c r="I17" i="4"/>
  <c r="F21" i="6"/>
  <c r="A2" i="6"/>
  <c r="A29" i="6" s="1"/>
  <c r="A1" i="6"/>
  <c r="A28" i="6" s="1"/>
  <c r="A2" i="5"/>
  <c r="A29" i="5" s="1"/>
  <c r="A1" i="5"/>
  <c r="A28" i="5" s="1"/>
  <c r="F49" i="6" l="1"/>
  <c r="F48" i="6"/>
  <c r="I46" i="4" s="1"/>
  <c r="F51" i="1"/>
  <c r="E23" i="6"/>
  <c r="I13" i="4"/>
  <c r="E50" i="5"/>
  <c r="F22" i="1"/>
  <c r="F24" i="1" s="1"/>
  <c r="E24" i="1"/>
  <c r="D57" i="4" l="1"/>
  <c r="D53" i="4"/>
  <c r="D49" i="4"/>
  <c r="C35" i="4"/>
  <c r="C34" i="4"/>
  <c r="C32" i="3"/>
  <c r="C31" i="3"/>
  <c r="C56" i="4" l="1"/>
  <c r="C55" i="4"/>
  <c r="C54" i="4"/>
  <c r="C57" i="4" s="1"/>
  <c r="C52" i="4"/>
  <c r="C51" i="4"/>
  <c r="C50" i="4"/>
  <c r="C48" i="4"/>
  <c r="C47" i="4"/>
  <c r="C46" i="4"/>
  <c r="C22" i="3"/>
  <c r="C21" i="3"/>
  <c r="C53" i="4" l="1"/>
  <c r="C49" i="4"/>
  <c r="D24" i="4"/>
  <c r="D20" i="4"/>
  <c r="D16" i="4"/>
  <c r="C16" i="4"/>
  <c r="C20" i="4"/>
  <c r="D23" i="4"/>
  <c r="C53" i="3" l="1"/>
  <c r="C49" i="3"/>
  <c r="C45" i="3"/>
  <c r="C41" i="3" l="1"/>
  <c r="C24" i="4"/>
  <c r="C2" i="4"/>
  <c r="C1" i="4"/>
  <c r="A2" i="1" l="1"/>
  <c r="A29" i="1" s="1"/>
  <c r="A1" i="1"/>
  <c r="A28" i="1" s="1"/>
  <c r="C19" i="3"/>
  <c r="C15" i="3"/>
  <c r="C11" i="3"/>
  <c r="C2" i="3"/>
  <c r="C1" i="3"/>
</calcChain>
</file>

<file path=xl/sharedStrings.xml><?xml version="1.0" encoding="utf-8"?>
<sst xmlns="http://schemas.openxmlformats.org/spreadsheetml/2006/main" count="1022" uniqueCount="120">
  <si>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</si>
  <si>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</si>
  <si>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</si>
  <si>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</si>
  <si>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</si>
  <si>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</si>
  <si>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</si>
  <si>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</si>
  <si>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</si>
  <si>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</si>
  <si>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</si>
  <si>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</si>
  <si>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</si>
  <si>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</si>
  <si>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</si>
  <si>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</si>
  <si>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</si>
  <si>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</si>
  <si>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</si>
  <si>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</si>
  <si>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</si>
  <si>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</si>
  <si>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Trụ sở chính :</t>
  </si>
  <si>
    <t>Mã số thuế :</t>
  </si>
  <si>
    <t>Trụ sở chính:</t>
  </si>
  <si>
    <t>BẢNG BÁO CÁO SẢN LƯỢNG SẢN XUẤT VÀ TIÊU THỤ ĐIỆN SOLAR</t>
  </si>
  <si>
    <t xml:space="preserve">Công suất dự án : 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</si>
  <si>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</si>
  <si>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</si>
  <si>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</si>
  <si>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</si>
  <si>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</si>
  <si>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</si>
  <si>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</si>
  <si>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</si>
  <si>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</si>
  <si>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</si>
  <si>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</si>
  <si>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</si>
  <si>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</si>
  <si>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</si>
  <si>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</si>
  <si>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</si>
  <si>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</si>
  <si>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</si>
  <si>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</si>
  <si>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</si>
  <si>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</si>
  <si>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</si>
  <si>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</si>
  <si>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</si>
  <si>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</si>
  <si>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</si>
  <si>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</si>
  <si>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</si>
  <si>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</si>
  <si>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</si>
  <si>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</si>
  <si>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Công ty TNHH Thuận An</t>
  </si>
  <si>
    <t>Ấp Chồng Nô 3, Xã Hòa Tân, Huyện Cầu Kè, Tỉnh Trà Vinh</t>
  </si>
  <si>
    <t>2 1 0 0 4 0 6 8 1 8</t>
  </si>
  <si>
    <t>Hóa đơn Số 7</t>
  </si>
  <si>
    <t>Hóa đơn Số 3</t>
  </si>
  <si>
    <t>Hóa đơn Số 12</t>
  </si>
  <si>
    <t>Hóa đơn Số 13</t>
  </si>
  <si>
    <t>Hóa đơn Số 17</t>
  </si>
  <si>
    <t>Hóa đơn Số 16</t>
  </si>
  <si>
    <t>Hóa đơn Số 15</t>
  </si>
  <si>
    <t>Hóa đơn Số 19</t>
  </si>
  <si>
    <t>Hóa đơn Số 20</t>
  </si>
  <si>
    <t>Hóa đơn Số 21</t>
  </si>
  <si>
    <t>Hóa đơn Số 26</t>
  </si>
  <si>
    <t>Hóa đơn Số 24</t>
  </si>
  <si>
    <t>Hóa đơn Số 27</t>
  </si>
  <si>
    <t>Hóa đơn Số 28</t>
  </si>
  <si>
    <t>Hóa đơn Số 31</t>
  </si>
  <si>
    <t>Hóa đơn Số 29</t>
  </si>
  <si>
    <t>Hóa đơn Số 32</t>
  </si>
  <si>
    <t>Hóa đơn Số 33</t>
  </si>
  <si>
    <t>Hóa đơn Số 36</t>
  </si>
  <si>
    <t>Hóa đơn Số 38</t>
  </si>
  <si>
    <t>Hóa đơn Số 40</t>
  </si>
  <si>
    <t>Hóa đơn Số 42</t>
  </si>
  <si>
    <t>Hóa đơn Số 43 + Hóa đơn Số 48</t>
  </si>
  <si>
    <t>Hóa đơn Số 49</t>
  </si>
  <si>
    <t xml:space="preserve">  62,3    Kw</t>
  </si>
  <si>
    <t>HÒA TÂN</t>
  </si>
  <si>
    <t>HÒA ÂN</t>
  </si>
  <si>
    <t xml:space="preserve"> 142,4     Kw</t>
  </si>
  <si>
    <t>Chi phí khấu hao hệ thống pin năng lượng mặt trời</t>
  </si>
  <si>
    <t>ĐỊA ĐIỂM :</t>
  </si>
  <si>
    <t>Chi phí khấu hao sửa chửa hệ thống ĐMT</t>
  </si>
  <si>
    <t>Giá thành</t>
  </si>
  <si>
    <t>Hóa đơn Số 6</t>
  </si>
  <si>
    <t>Tháng 11/2020</t>
  </si>
  <si>
    <t>Tháng 12/2020</t>
  </si>
  <si>
    <t>Tháng 1/2021</t>
  </si>
  <si>
    <t>Tháng 2/2021</t>
  </si>
  <si>
    <t xml:space="preserve">Sản lượng còn lại 12/2020 </t>
  </si>
  <si>
    <t>Tháng 3/2021</t>
  </si>
  <si>
    <t>Tháng 4/2021</t>
  </si>
  <si>
    <t>Tháng 5/2021</t>
  </si>
  <si>
    <t>Tháng 6/2021</t>
  </si>
  <si>
    <t>Tháng 6 /2021</t>
  </si>
  <si>
    <t>Tháng 5 /2021</t>
  </si>
  <si>
    <t>Tháng 7/2021</t>
  </si>
  <si>
    <t>Tháng 7 /2021</t>
  </si>
  <si>
    <t>Tháng 8/2021</t>
  </si>
  <si>
    <t>Tháng 8 /2021</t>
  </si>
  <si>
    <t>Tháng 9/2021</t>
  </si>
  <si>
    <t>Tháng 9 /2021</t>
  </si>
  <si>
    <t>Tháng 10/2021</t>
  </si>
  <si>
    <t>Tháng 10 /2021</t>
  </si>
  <si>
    <t>Tháng 11/2021</t>
  </si>
  <si>
    <t>Tháng 11 /2021</t>
  </si>
  <si>
    <t>Tháng 12/2021</t>
  </si>
  <si>
    <t>Tháng 12 /2021</t>
  </si>
  <si>
    <t>sang tháng 1 năm 2021</t>
  </si>
  <si>
    <t>Hóa đơn Số 7 + 9</t>
  </si>
  <si>
    <t>Hóa đơn Số 6+ 8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</si>
</sst>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2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0" fontId="2" fillId="0" borderId="0" xfId="0" applyFont="1" applyBorder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3" fontId="0" fillId="0" borderId="4" xfId="0" applyNumberFormat="1" applyBorder="1"/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3" fontId="9" fillId="2" borderId="1" xfId="0" applyNumberFormat="1" applyFont="1" applyFill="1" applyBorder="1"/>
    <xf numFmtId="0" fontId="10" fillId="0" borderId="0" xfId="0" applyFont="1"/>
    <xf numFmtId="0" fontId="10" fillId="0" borderId="0" xfId="0" applyFont="1" applyFill="1" applyBorder="1"/>
    <xf numFmtId="0" fontId="9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0" xfId="1" applyFont="1"/>
    <xf numFmtId="166" fontId="0" fillId="0" borderId="0" xfId="1" applyNumberFormat="1" applyFont="1"/>
    <xf numFmtId="166" fontId="9" fillId="2" borderId="1" xfId="0" applyNumberFormat="1" applyFont="1" applyFill="1" applyBorder="1"/>
    <xf numFmtId="0" fontId="4" fillId="0" borderId="0" xfId="0" applyFont="1" applyAlignment="1">
      <alignment horizontal="center" vertical="center" wrapText="1"/>
    </xf>
    <xf numFmtId="166" fontId="0" fillId="0" borderId="0" xfId="0" applyNumberFormat="1"/>
    <xf numFmtId="3" fontId="0" fillId="0" borderId="0" xfId="0" applyNumberFormat="1"/>
    <xf numFmtId="0" fontId="3" fillId="4" borderId="0" xfId="0" applyFont="1" applyFill="1"/>
    <xf numFmtId="0" fontId="3" fillId="0" borderId="0" xfId="0" applyFont="1" applyFill="1"/>
    <xf numFmtId="0" fontId="11" fillId="0" borderId="5" xfId="0" applyFont="1" applyBorder="1"/>
    <xf numFmtId="165" fontId="11" fillId="0" borderId="5" xfId="1" applyNumberFormat="1" applyFont="1" applyBorder="1"/>
    <xf numFmtId="165" fontId="3" fillId="0" borderId="5" xfId="1" applyNumberFormat="1" applyFont="1" applyBorder="1" applyAlignment="1"/>
    <xf numFmtId="0" fontId="11" fillId="0" borderId="4" xfId="0" applyFont="1" applyBorder="1"/>
    <xf numFmtId="165" fontId="11" fillId="0" borderId="4" xfId="1" applyNumberFormat="1" applyFont="1" applyBorder="1"/>
    <xf numFmtId="0" fontId="11" fillId="0" borderId="1" xfId="0" applyFont="1" applyBorder="1" applyAlignment="1">
      <alignment horizontal="center" vertical="center"/>
    </xf>
    <xf numFmtId="165" fontId="11" fillId="0" borderId="1" xfId="1" applyNumberFormat="1" applyFont="1" applyBorder="1" applyAlignment="1">
      <alignment vertical="center"/>
    </xf>
    <xf numFmtId="3" fontId="6" fillId="4" borderId="0" xfId="0" applyNumberFormat="1" applyFont="1" applyFill="1"/>
    <xf numFmtId="0" fontId="4" fillId="0" borderId="0" xfId="0" applyFont="1" applyAlignment="1">
      <alignment horizontal="center" vertical="center" wrapText="1"/>
    </xf>
    <xf numFmtId="3" fontId="3" fillId="4" borderId="0" xfId="0" applyNumberFormat="1" applyFont="1" applyFill="1"/>
    <xf numFmtId="0" fontId="0" fillId="3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3" fontId="0" fillId="0" borderId="8" xfId="0" applyNumberFormat="1" applyFill="1" applyBorder="1"/>
    <xf numFmtId="0" fontId="0" fillId="0" borderId="1" xfId="0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vertical="center"/>
    </xf>
    <xf numFmtId="166" fontId="0" fillId="0" borderId="1" xfId="1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5" fontId="11" fillId="0" borderId="3" xfId="1" applyNumberFormat="1" applyFont="1" applyBorder="1" applyAlignment="1">
      <alignment vertical="center"/>
    </xf>
    <xf numFmtId="0" fontId="2" fillId="0" borderId="14" xfId="0" applyFont="1" applyBorder="1"/>
    <xf numFmtId="165" fontId="2" fillId="0" borderId="15" xfId="1" applyNumberFormat="1" applyFont="1" applyBorder="1"/>
    <xf numFmtId="0" fontId="2" fillId="0" borderId="16" xfId="0" applyFont="1" applyBorder="1"/>
    <xf numFmtId="165" fontId="2" fillId="0" borderId="13" xfId="1" applyNumberFormat="1" applyFont="1" applyBorder="1"/>
    <xf numFmtId="165" fontId="2" fillId="0" borderId="11" xfId="1" applyNumberFormat="1" applyFont="1" applyBorder="1"/>
    <xf numFmtId="0" fontId="2" fillId="0" borderId="17" xfId="0" applyFont="1" applyBorder="1"/>
    <xf numFmtId="0" fontId="2" fillId="0" borderId="12" xfId="0" applyFont="1" applyBorder="1"/>
    <xf numFmtId="165" fontId="2" fillId="0" borderId="17" xfId="1" applyNumberFormat="1" applyFont="1" applyBorder="1"/>
    <xf numFmtId="165" fontId="2" fillId="0" borderId="12" xfId="1" applyNumberFormat="1" applyFont="1" applyBorder="1"/>
    <xf numFmtId="0" fontId="0" fillId="0" borderId="2" xfId="0" applyFill="1" applyBorder="1" applyAlignment="1">
      <alignment horizontal="center" vertical="center"/>
    </xf>
    <xf numFmtId="166" fontId="0" fillId="0" borderId="2" xfId="1" applyNumberFormat="1" applyFont="1" applyFill="1" applyBorder="1" applyAlignment="1">
      <alignment horizontal="center" vertical="center"/>
    </xf>
    <xf numFmtId="166" fontId="0" fillId="0" borderId="0" xfId="1" applyNumberFormat="1" applyFont="1" applyFill="1" applyAlignment="1">
      <alignment horizontal="center"/>
    </xf>
    <xf numFmtId="3" fontId="0" fillId="0" borderId="8" xfId="0" applyNumberFormat="1" applyFill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6" fontId="9" fillId="2" borderId="1" xfId="0" applyNumberFormat="1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opLeftCell="A7" workbookViewId="0">
      <selection activeCell="F24" sqref="F24"/>
    </sheetView>
  </sheetViews>
  <sheetFormatPr defaultRowHeight="15.75" x14ac:dyDescent="0.25"/>
  <sheetData>
    <row r="3" spans="1:3" x14ac:dyDescent="0.25">
      <c r="A3" t="s">
        <v>21</v>
      </c>
      <c r="C3" t="s">
        <v>58</v>
      </c>
    </row>
    <row r="4" spans="1:3" x14ac:dyDescent="0.25">
      <c r="A4" t="s">
        <v>22</v>
      </c>
      <c r="C4" t="s">
        <v>59</v>
      </c>
    </row>
    <row r="5" spans="1:3" x14ac:dyDescent="0.25">
      <c r="A5" t="s">
        <v>23</v>
      </c>
      <c r="C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8"/>
  <sheetViews>
    <sheetView tabSelected="1" zoomScale="115" zoomScaleNormal="115" workbookViewId="0">
      <selection activeCell="I50" sqref="I50"/>
    </sheetView>
  </sheetViews>
  <sheetFormatPr defaultRowHeight="15.75" x14ac:dyDescent="0.25"/>
  <cols>
    <col min="1" max="1" width="12" customWidth="1"/>
    <col min="2" max="2" width="2.625" customWidth="1"/>
    <col min="3" max="6" width="15.625" customWidth="1"/>
    <col min="7" max="7" width="12.5" customWidth="1"/>
    <col min="8" max="8" width="13" customWidth="1"/>
  </cols>
  <sheetData>
    <row r="1" spans="1:6" ht="21.95" customHeight="1" x14ac:dyDescent="0.25">
      <c r="A1" t="s">
        <v>21</v>
      </c>
      <c r="C1" t="str">
        <f>'THONG TIN'!C3</f>
        <v>Công ty TNHH Thuận An</v>
      </c>
    </row>
    <row r="2" spans="1:6" ht="21.95" customHeight="1" x14ac:dyDescent="0.25">
      <c r="A2" t="s">
        <v>24</v>
      </c>
      <c r="C2" t="str">
        <f>'THONG TIN'!C4</f>
        <v>Ấp Chồng Nô 3, Xã Hòa Tân, Huyện Cầu Kè, Tỉnh Trà Vinh</v>
      </c>
    </row>
    <row r="3" spans="1:6" ht="21.95" customHeight="1" x14ac:dyDescent="0.25">
      <c r="A3" s="100" t="s">
        <v>25</v>
      </c>
      <c r="B3" s="100"/>
      <c r="C3" s="100"/>
      <c r="D3" s="100"/>
      <c r="E3" s="100"/>
      <c r="F3" s="100"/>
    </row>
    <row r="4" spans="1:6" ht="21.95" customHeight="1" x14ac:dyDescent="0.25">
      <c r="A4" s="101" t="s">
        <v>86</v>
      </c>
      <c r="B4" s="101"/>
      <c r="C4" s="101"/>
      <c r="D4" s="101"/>
      <c r="E4" s="101"/>
      <c r="F4" s="101"/>
    </row>
    <row r="5" spans="1:6" ht="21.95" customHeight="1" x14ac:dyDescent="0.25">
      <c r="B5" t="s">
        <v>26</v>
      </c>
      <c r="D5" s="30" t="s">
        <v>85</v>
      </c>
      <c r="E5" s="25" t="s">
        <v>52</v>
      </c>
      <c r="F5" s="46">
        <v>2020</v>
      </c>
    </row>
    <row r="6" spans="1:6" ht="21.95" customHeight="1" x14ac:dyDescent="0.25"/>
    <row r="7" spans="1:6" ht="21.95" customHeight="1" x14ac:dyDescent="0.25">
      <c r="A7" s="99" t="s">
        <v>27</v>
      </c>
      <c r="B7" s="99"/>
      <c r="C7" s="35" t="s">
        <v>40</v>
      </c>
      <c r="D7" s="35" t="s">
        <v>41</v>
      </c>
      <c r="E7" s="35" t="s">
        <v>43</v>
      </c>
      <c r="F7" s="35" t="s">
        <v>42</v>
      </c>
    </row>
    <row r="8" spans="1:6" ht="21.95" customHeight="1" x14ac:dyDescent="0.25">
      <c r="A8" s="26" t="s">
        <v>28</v>
      </c>
      <c r="B8" s="27"/>
      <c r="C8" s="36"/>
      <c r="D8" s="36"/>
      <c r="E8" s="36"/>
      <c r="F8" s="36"/>
    </row>
    <row r="9" spans="1:6" ht="21.95" customHeight="1" x14ac:dyDescent="0.25">
      <c r="A9" s="28" t="s">
        <v>29</v>
      </c>
      <c r="B9" s="29"/>
      <c r="C9" s="36"/>
      <c r="D9" s="36"/>
      <c r="E9" s="37"/>
      <c r="F9" s="36"/>
    </row>
    <row r="10" spans="1:6" ht="21.95" customHeight="1" x14ac:dyDescent="0.25">
      <c r="A10" s="31" t="s">
        <v>30</v>
      </c>
      <c r="B10" s="32"/>
      <c r="C10" s="36"/>
      <c r="D10" s="36"/>
      <c r="E10" s="38"/>
      <c r="F10" s="36"/>
    </row>
    <row r="11" spans="1:6" ht="21.95" customHeight="1" x14ac:dyDescent="0.25">
      <c r="A11" s="41" t="s">
        <v>44</v>
      </c>
      <c r="B11" s="42"/>
      <c r="C11" s="43">
        <f>SUM(C8:C10)</f>
        <v>0</v>
      </c>
      <c r="D11" s="43"/>
      <c r="E11" s="43"/>
      <c r="F11" s="43"/>
    </row>
    <row r="12" spans="1:6" ht="21.95" customHeight="1" x14ac:dyDescent="0.25">
      <c r="A12" s="33" t="s">
        <v>31</v>
      </c>
      <c r="B12" s="34"/>
      <c r="C12" s="39"/>
      <c r="D12" s="39"/>
      <c r="E12" s="39"/>
      <c r="F12" s="39"/>
    </row>
    <row r="13" spans="1:6" ht="21.95" customHeight="1" x14ac:dyDescent="0.25">
      <c r="A13" s="28" t="s">
        <v>32</v>
      </c>
      <c r="B13" s="29"/>
      <c r="C13" s="37"/>
      <c r="D13" s="37"/>
      <c r="E13" s="37"/>
      <c r="F13" s="37"/>
    </row>
    <row r="14" spans="1:6" ht="21.95" customHeight="1" x14ac:dyDescent="0.25">
      <c r="A14" s="31" t="s">
        <v>33</v>
      </c>
      <c r="B14" s="32"/>
      <c r="C14" s="38"/>
      <c r="D14" s="38"/>
      <c r="E14" s="38"/>
      <c r="F14" s="38"/>
    </row>
    <row r="15" spans="1:6" ht="21.95" customHeight="1" x14ac:dyDescent="0.25">
      <c r="A15" s="41" t="s">
        <v>45</v>
      </c>
      <c r="B15" s="42"/>
      <c r="C15" s="43">
        <f>SUM(C12:C14)</f>
        <v>0</v>
      </c>
      <c r="D15" s="43"/>
      <c r="E15" s="43"/>
      <c r="F15" s="43"/>
    </row>
    <row r="16" spans="1:6" ht="21.95" customHeight="1" x14ac:dyDescent="0.25">
      <c r="A16" s="33" t="s">
        <v>34</v>
      </c>
      <c r="B16" s="34"/>
      <c r="C16" s="39"/>
      <c r="D16" s="39"/>
      <c r="E16" s="39"/>
      <c r="F16" s="39"/>
    </row>
    <row r="17" spans="1:8" ht="21.95" customHeight="1" x14ac:dyDescent="0.25">
      <c r="A17" s="28" t="s">
        <v>35</v>
      </c>
      <c r="B17" s="29"/>
      <c r="C17" s="37"/>
      <c r="D17" s="37"/>
      <c r="E17" s="37"/>
      <c r="F17" s="37"/>
    </row>
    <row r="18" spans="1:8" ht="21.95" customHeight="1" x14ac:dyDescent="0.25">
      <c r="A18" s="31" t="s">
        <v>36</v>
      </c>
      <c r="B18" s="32"/>
      <c r="C18" s="38"/>
      <c r="D18" s="38"/>
      <c r="E18" s="38"/>
      <c r="F18" s="38"/>
    </row>
    <row r="19" spans="1:8" ht="21.95" customHeight="1" x14ac:dyDescent="0.25">
      <c r="A19" s="41" t="s">
        <v>46</v>
      </c>
      <c r="B19" s="42"/>
      <c r="C19" s="43">
        <f>SUM(C16:C18)</f>
        <v>0</v>
      </c>
      <c r="D19" s="43"/>
      <c r="E19" s="43"/>
      <c r="F19" s="43"/>
    </row>
    <row r="20" spans="1:8" ht="21.95" customHeight="1" x14ac:dyDescent="0.25">
      <c r="A20" s="33" t="s">
        <v>37</v>
      </c>
      <c r="B20" s="34"/>
      <c r="C20" s="39"/>
      <c r="D20" s="39"/>
      <c r="E20" s="39"/>
      <c r="F20" s="39"/>
    </row>
    <row r="21" spans="1:8" ht="21.95" customHeight="1" x14ac:dyDescent="0.25">
      <c r="A21" s="28" t="s">
        <v>38</v>
      </c>
      <c r="B21" s="29"/>
      <c r="C21" s="51">
        <f>5800+4750</f>
        <v>10550</v>
      </c>
      <c r="D21" s="37"/>
      <c r="E21" s="37">
        <v>40</v>
      </c>
      <c r="F21" s="37">
        <v>180</v>
      </c>
      <c r="H21" s="51"/>
    </row>
    <row r="22" spans="1:8" ht="21.95" customHeight="1" x14ac:dyDescent="0.25">
      <c r="A22" s="31" t="s">
        <v>39</v>
      </c>
      <c r="B22" s="32"/>
      <c r="C22" s="51">
        <f>5360+3570</f>
        <v>8930</v>
      </c>
      <c r="D22" s="38">
        <v>12650</v>
      </c>
      <c r="E22" s="38">
        <v>30</v>
      </c>
      <c r="F22" s="38">
        <v>150</v>
      </c>
      <c r="G22" t="s">
        <v>62</v>
      </c>
      <c r="H22" s="51">
        <f>D22*1940</f>
        <v>24541000</v>
      </c>
    </row>
    <row r="23" spans="1:8" ht="21.95" customHeight="1" x14ac:dyDescent="0.25">
      <c r="A23" s="41" t="s">
        <v>47</v>
      </c>
      <c r="B23" s="42"/>
      <c r="C23" s="43">
        <f>SUM(C20:C22)</f>
        <v>19480</v>
      </c>
      <c r="D23" s="43"/>
      <c r="E23" s="43"/>
      <c r="F23" s="43"/>
      <c r="G23" s="38">
        <f>C23-E21-D22-E22-F21-F22</f>
        <v>6430</v>
      </c>
      <c r="H23" t="s">
        <v>61</v>
      </c>
    </row>
    <row r="24" spans="1:8" ht="21.95" customHeight="1" x14ac:dyDescent="0.25">
      <c r="D24" s="55"/>
      <c r="G24" s="55"/>
    </row>
    <row r="25" spans="1:8" ht="21.95" customHeight="1" x14ac:dyDescent="0.25">
      <c r="A25" s="40" t="s">
        <v>48</v>
      </c>
      <c r="C25" s="44" t="s">
        <v>49</v>
      </c>
    </row>
    <row r="26" spans="1:8" ht="21.95" customHeight="1" x14ac:dyDescent="0.25">
      <c r="C26" s="44" t="s">
        <v>57</v>
      </c>
    </row>
    <row r="27" spans="1:8" ht="21.95" customHeight="1" x14ac:dyDescent="0.25">
      <c r="C27" s="44" t="s">
        <v>50</v>
      </c>
    </row>
    <row r="28" spans="1:8" ht="21.95" customHeight="1" x14ac:dyDescent="0.25">
      <c r="C28" s="45" t="s">
        <v>51</v>
      </c>
    </row>
    <row r="30" spans="1:8" x14ac:dyDescent="0.25">
      <c r="C30" s="45"/>
    </row>
    <row r="31" spans="1:8" ht="21.95" customHeight="1" x14ac:dyDescent="0.25">
      <c r="A31" t="s">
        <v>21</v>
      </c>
      <c r="C31" t="str">
        <f>'THONG TIN'!C3</f>
        <v>Công ty TNHH Thuận An</v>
      </c>
    </row>
    <row r="32" spans="1:8" ht="21.95" customHeight="1" x14ac:dyDescent="0.25">
      <c r="A32" t="s">
        <v>24</v>
      </c>
      <c r="C32" t="str">
        <f>'THONG TIN'!C4</f>
        <v>Ấp Chồng Nô 3, Xã Hòa Tân, Huyện Cầu Kè, Tỉnh Trà Vinh</v>
      </c>
    </row>
    <row r="33" spans="1:6" ht="21.95" customHeight="1" x14ac:dyDescent="0.25">
      <c r="A33" s="100" t="s">
        <v>25</v>
      </c>
      <c r="B33" s="100"/>
      <c r="C33" s="100"/>
      <c r="D33" s="100"/>
      <c r="E33" s="100"/>
      <c r="F33" s="100"/>
    </row>
    <row r="34" spans="1:6" ht="21.95" customHeight="1" x14ac:dyDescent="0.25">
      <c r="A34" s="101" t="s">
        <v>87</v>
      </c>
      <c r="B34" s="101"/>
      <c r="C34" s="101"/>
      <c r="D34" s="101"/>
      <c r="E34" s="101"/>
      <c r="F34" s="101"/>
    </row>
    <row r="35" spans="1:6" ht="21.95" customHeight="1" x14ac:dyDescent="0.25">
      <c r="A35" s="45"/>
      <c r="B35" t="s">
        <v>26</v>
      </c>
      <c r="D35" s="30" t="s">
        <v>88</v>
      </c>
      <c r="E35" s="25" t="s">
        <v>52</v>
      </c>
      <c r="F35" s="46">
        <v>2020</v>
      </c>
    </row>
    <row r="36" spans="1:6" ht="21.95" customHeight="1" x14ac:dyDescent="0.25"/>
    <row r="37" spans="1:6" ht="21.95" customHeight="1" x14ac:dyDescent="0.25">
      <c r="A37" s="99" t="s">
        <v>27</v>
      </c>
      <c r="B37" s="99"/>
      <c r="C37" s="48" t="s">
        <v>40</v>
      </c>
      <c r="D37" s="48" t="s">
        <v>41</v>
      </c>
      <c r="E37" s="48" t="s">
        <v>43</v>
      </c>
      <c r="F37" s="48" t="s">
        <v>42</v>
      </c>
    </row>
    <row r="38" spans="1:6" ht="21.95" customHeight="1" x14ac:dyDescent="0.25">
      <c r="A38" s="26" t="s">
        <v>28</v>
      </c>
      <c r="B38" s="27"/>
      <c r="C38" s="36"/>
      <c r="D38" s="36"/>
      <c r="E38" s="36"/>
      <c r="F38" s="36"/>
    </row>
    <row r="39" spans="1:6" ht="21.95" customHeight="1" x14ac:dyDescent="0.25">
      <c r="A39" s="28" t="s">
        <v>29</v>
      </c>
      <c r="B39" s="29"/>
      <c r="C39" s="36"/>
      <c r="D39" s="36"/>
      <c r="E39" s="37"/>
      <c r="F39" s="36"/>
    </row>
    <row r="40" spans="1:6" ht="21.95" customHeight="1" x14ac:dyDescent="0.25">
      <c r="A40" s="31" t="s">
        <v>30</v>
      </c>
      <c r="B40" s="32"/>
      <c r="C40" s="36"/>
      <c r="D40" s="36"/>
      <c r="E40" s="38"/>
      <c r="F40" s="36"/>
    </row>
    <row r="41" spans="1:6" ht="21.95" customHeight="1" x14ac:dyDescent="0.25">
      <c r="A41" s="41" t="s">
        <v>44</v>
      </c>
      <c r="B41" s="42"/>
      <c r="C41" s="43">
        <f>SUM(C38:C40)</f>
        <v>0</v>
      </c>
      <c r="D41" s="43"/>
      <c r="E41" s="43"/>
      <c r="F41" s="43"/>
    </row>
    <row r="42" spans="1:6" ht="21.95" customHeight="1" x14ac:dyDescent="0.25">
      <c r="A42" s="33" t="s">
        <v>31</v>
      </c>
      <c r="B42" s="34"/>
      <c r="C42" s="39"/>
      <c r="D42" s="39"/>
      <c r="E42" s="39"/>
      <c r="F42" s="39"/>
    </row>
    <row r="43" spans="1:6" ht="21.95" customHeight="1" x14ac:dyDescent="0.25">
      <c r="A43" s="28" t="s">
        <v>32</v>
      </c>
      <c r="B43" s="29"/>
      <c r="C43" s="37"/>
      <c r="D43" s="37"/>
      <c r="E43" s="37"/>
      <c r="F43" s="37"/>
    </row>
    <row r="44" spans="1:6" ht="21.95" customHeight="1" x14ac:dyDescent="0.25">
      <c r="A44" s="31" t="s">
        <v>33</v>
      </c>
      <c r="B44" s="32"/>
      <c r="C44" s="38"/>
      <c r="D44" s="38"/>
      <c r="E44" s="38"/>
      <c r="F44" s="38"/>
    </row>
    <row r="45" spans="1:6" ht="21.95" customHeight="1" x14ac:dyDescent="0.25">
      <c r="A45" s="41" t="s">
        <v>45</v>
      </c>
      <c r="B45" s="42"/>
      <c r="C45" s="43">
        <f>SUM(C42:C44)</f>
        <v>0</v>
      </c>
      <c r="D45" s="43"/>
      <c r="E45" s="43"/>
      <c r="F45" s="43"/>
    </row>
    <row r="46" spans="1:6" ht="21.95" customHeight="1" x14ac:dyDescent="0.25">
      <c r="A46" s="33" t="s">
        <v>34</v>
      </c>
      <c r="B46" s="34"/>
      <c r="C46" s="39"/>
      <c r="D46" s="39"/>
      <c r="E46" s="39"/>
      <c r="F46" s="39"/>
    </row>
    <row r="47" spans="1:6" ht="21.95" customHeight="1" x14ac:dyDescent="0.25">
      <c r="A47" s="28" t="s">
        <v>35</v>
      </c>
      <c r="B47" s="29"/>
      <c r="C47" s="37"/>
      <c r="D47" s="37"/>
      <c r="E47" s="37"/>
      <c r="F47" s="37"/>
    </row>
    <row r="48" spans="1:6" ht="21.95" customHeight="1" x14ac:dyDescent="0.25">
      <c r="A48" s="31" t="s">
        <v>36</v>
      </c>
      <c r="B48" s="32"/>
      <c r="C48" s="38"/>
      <c r="D48" s="38"/>
      <c r="E48" s="38"/>
      <c r="F48" s="38"/>
    </row>
    <row r="49" spans="1:8" ht="21.95" customHeight="1" x14ac:dyDescent="0.25">
      <c r="A49" s="41" t="s">
        <v>46</v>
      </c>
      <c r="B49" s="42"/>
      <c r="C49" s="43">
        <f>SUM(C46:C48)</f>
        <v>0</v>
      </c>
      <c r="D49" s="43"/>
      <c r="E49" s="43"/>
      <c r="F49" s="43"/>
    </row>
    <row r="50" spans="1:8" ht="21.95" customHeight="1" x14ac:dyDescent="0.25">
      <c r="A50" s="33" t="s">
        <v>37</v>
      </c>
      <c r="B50" s="34"/>
      <c r="C50" s="39"/>
      <c r="D50" s="39"/>
      <c r="E50" s="39"/>
      <c r="F50" s="39"/>
    </row>
    <row r="51" spans="1:8" ht="21.95" customHeight="1" x14ac:dyDescent="0.25">
      <c r="A51" s="28" t="s">
        <v>38</v>
      </c>
      <c r="B51" s="29"/>
      <c r="C51" s="37"/>
      <c r="D51" s="37"/>
      <c r="E51" s="37"/>
      <c r="F51" s="37"/>
    </row>
    <row r="52" spans="1:8" ht="21.95" customHeight="1" x14ac:dyDescent="0.25">
      <c r="A52" s="31" t="s">
        <v>39</v>
      </c>
      <c r="B52" s="32"/>
      <c r="C52" s="38">
        <v>14000</v>
      </c>
      <c r="D52" s="38">
        <v>9124</v>
      </c>
      <c r="E52" s="38">
        <v>0</v>
      </c>
      <c r="F52" s="38"/>
      <c r="G52" t="s">
        <v>93</v>
      </c>
      <c r="H52" t="s">
        <v>117</v>
      </c>
    </row>
    <row r="53" spans="1:8" ht="21.95" customHeight="1" x14ac:dyDescent="0.25">
      <c r="A53" s="41" t="s">
        <v>47</v>
      </c>
      <c r="B53" s="42"/>
      <c r="C53" s="43">
        <f>SUM(C50:C52)</f>
        <v>14000</v>
      </c>
      <c r="D53" s="43"/>
      <c r="E53" s="43"/>
      <c r="F53" s="43"/>
      <c r="G53" s="55">
        <f>C52-E52</f>
        <v>14000</v>
      </c>
    </row>
    <row r="54" spans="1:8" ht="21.95" customHeight="1" x14ac:dyDescent="0.25"/>
    <row r="55" spans="1:8" ht="21.95" customHeight="1" x14ac:dyDescent="0.25">
      <c r="A55" s="40" t="s">
        <v>48</v>
      </c>
      <c r="C55" s="44" t="s">
        <v>49</v>
      </c>
    </row>
    <row r="56" spans="1:8" ht="21.95" customHeight="1" x14ac:dyDescent="0.25">
      <c r="C56" s="44" t="s">
        <v>57</v>
      </c>
    </row>
    <row r="57" spans="1:8" ht="21.95" customHeight="1" x14ac:dyDescent="0.25">
      <c r="C57" s="44" t="s">
        <v>50</v>
      </c>
    </row>
    <row r="58" spans="1:8" ht="21.95" customHeight="1" x14ac:dyDescent="0.25">
      <c r="C58" s="45" t="s">
        <v>51</v>
      </c>
    </row>
  </sheetData>
  <mergeCells count="6">
    <mergeCell ref="A7:B7"/>
    <mergeCell ref="A3:F3"/>
    <mergeCell ref="A33:F33"/>
    <mergeCell ref="A37:B37"/>
    <mergeCell ref="A4:F4"/>
    <mergeCell ref="A34:F34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54"/>
  <sheetViews>
    <sheetView topLeftCell="A52" workbookViewId="0">
      <selection activeCell="C39" sqref="C39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4.2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x14ac:dyDescent="0.25">
      <c r="E5" s="2"/>
      <c r="F5" s="2"/>
    </row>
    <row r="6" spans="1:6" ht="18" x14ac:dyDescent="0.25">
      <c r="A6" s="109" t="s">
        <v>4</v>
      </c>
      <c r="B6" s="109"/>
      <c r="C6" s="109"/>
      <c r="D6" s="109"/>
      <c r="E6" s="109"/>
      <c r="F6" s="109"/>
    </row>
    <row r="7" spans="1:6" x14ac:dyDescent="0.25">
      <c r="A7" s="102" t="s">
        <v>94</v>
      </c>
      <c r="B7" s="102"/>
      <c r="C7" s="102"/>
      <c r="D7" s="102"/>
      <c r="E7" s="102"/>
      <c r="F7" s="102"/>
    </row>
    <row r="8" spans="1:6" x14ac:dyDescent="0.25">
      <c r="B8" s="1" t="s">
        <v>90</v>
      </c>
      <c r="C8" s="56" t="s">
        <v>86</v>
      </c>
    </row>
    <row r="9" spans="1:6" x14ac:dyDescent="0.25">
      <c r="B9" s="3" t="s">
        <v>55</v>
      </c>
      <c r="C9" s="4"/>
      <c r="D9" s="4"/>
      <c r="E9" s="57"/>
      <c r="F9" s="4"/>
    </row>
    <row r="10" spans="1:6" x14ac:dyDescent="0.25">
      <c r="B10" s="3" t="s">
        <v>56</v>
      </c>
      <c r="C10" s="4"/>
      <c r="D10" s="4"/>
      <c r="E10" s="65">
        <f>' SL 2020'!C21</f>
        <v>10550</v>
      </c>
      <c r="F10" s="4"/>
    </row>
    <row r="11" spans="1:6" x14ac:dyDescent="0.25">
      <c r="B11" s="3" t="s">
        <v>54</v>
      </c>
      <c r="C11" s="4"/>
      <c r="D11" s="4"/>
      <c r="E11" s="4"/>
      <c r="F11" s="4"/>
    </row>
    <row r="13" spans="1:6" ht="30.75" customHeight="1" x14ac:dyDescent="0.25">
      <c r="A13" s="103" t="s">
        <v>5</v>
      </c>
      <c r="B13" s="103" t="s">
        <v>6</v>
      </c>
      <c r="C13" s="103" t="s">
        <v>7</v>
      </c>
      <c r="D13" s="103" t="s">
        <v>8</v>
      </c>
      <c r="E13" s="105" t="s">
        <v>9</v>
      </c>
      <c r="F13" s="106"/>
    </row>
    <row r="14" spans="1:6" ht="21.75" customHeight="1" x14ac:dyDescent="0.25">
      <c r="A14" s="104"/>
      <c r="B14" s="104"/>
      <c r="C14" s="104"/>
      <c r="D14" s="104"/>
      <c r="E14" s="5" t="s">
        <v>10</v>
      </c>
      <c r="F14" s="5" t="s">
        <v>11</v>
      </c>
    </row>
    <row r="15" spans="1:6" ht="21" customHeight="1" x14ac:dyDescent="0.25">
      <c r="A15" s="61" t="s">
        <v>12</v>
      </c>
      <c r="B15" s="62"/>
      <c r="C15" s="62"/>
      <c r="D15" s="62"/>
      <c r="E15" s="62"/>
      <c r="F15" s="62"/>
    </row>
    <row r="16" spans="1:6" ht="21" customHeight="1" x14ac:dyDescent="0.25">
      <c r="A16" s="16"/>
      <c r="B16" s="17"/>
      <c r="C16" s="17"/>
      <c r="D16" s="17"/>
      <c r="E16" s="17"/>
      <c r="F16" s="17"/>
    </row>
    <row r="17" spans="1:6" ht="21" customHeight="1" x14ac:dyDescent="0.25">
      <c r="A17" s="58" t="s">
        <v>13</v>
      </c>
      <c r="B17" s="59"/>
      <c r="C17" s="59"/>
      <c r="D17" s="59"/>
      <c r="E17" s="59"/>
      <c r="F17" s="59"/>
    </row>
    <row r="18" spans="1:6" ht="21" customHeight="1" x14ac:dyDescent="0.25">
      <c r="A18" s="8"/>
      <c r="B18" s="9"/>
      <c r="C18" s="9"/>
      <c r="D18" s="9"/>
      <c r="E18" s="9"/>
      <c r="F18" s="9"/>
    </row>
    <row r="19" spans="1:6" ht="21" customHeight="1" x14ac:dyDescent="0.25">
      <c r="A19" s="58" t="s">
        <v>14</v>
      </c>
      <c r="B19" s="59"/>
      <c r="C19" s="59"/>
      <c r="D19" s="59"/>
      <c r="E19" s="60"/>
      <c r="F19" s="60"/>
    </row>
    <row r="20" spans="1:6" ht="21" customHeight="1" x14ac:dyDescent="0.25">
      <c r="A20" s="18"/>
      <c r="B20" s="19"/>
      <c r="C20" s="19"/>
      <c r="D20" s="19"/>
      <c r="E20" s="20"/>
      <c r="F20" s="20"/>
    </row>
    <row r="21" spans="1:6" ht="21" customHeight="1" x14ac:dyDescent="0.25">
      <c r="A21" s="58" t="s">
        <v>0</v>
      </c>
      <c r="B21" s="59"/>
      <c r="C21" s="59"/>
      <c r="D21" s="59"/>
      <c r="E21" s="59"/>
      <c r="F21" s="59"/>
    </row>
    <row r="22" spans="1:6" ht="21" customHeight="1" x14ac:dyDescent="0.25">
      <c r="A22" s="23" t="s">
        <v>89</v>
      </c>
      <c r="B22" s="24"/>
      <c r="C22" s="24">
        <f>11541233+(B22/12)</f>
        <v>11541233</v>
      </c>
      <c r="D22" s="24">
        <f>B22-(B22/12)*2</f>
        <v>0</v>
      </c>
      <c r="E22" s="24">
        <f>B22+C22-D22</f>
        <v>11541233</v>
      </c>
      <c r="F22" s="24">
        <f>E22/E10</f>
        <v>1093.9557345971564</v>
      </c>
    </row>
    <row r="23" spans="1:6" ht="21" customHeight="1" x14ac:dyDescent="0.25">
      <c r="A23" s="21"/>
      <c r="B23" s="22"/>
      <c r="C23" s="22"/>
      <c r="D23" s="22"/>
      <c r="E23" s="22"/>
      <c r="F23" s="22"/>
    </row>
    <row r="24" spans="1:6" ht="21" customHeight="1" x14ac:dyDescent="0.25">
      <c r="A24" s="63" t="s">
        <v>15</v>
      </c>
      <c r="B24" s="64">
        <f>B22</f>
        <v>0</v>
      </c>
      <c r="C24" s="64">
        <f>C22</f>
        <v>11541233</v>
      </c>
      <c r="D24" s="64">
        <f>D22</f>
        <v>0</v>
      </c>
      <c r="E24" s="64">
        <f>E22</f>
        <v>11541233</v>
      </c>
      <c r="F24" s="64">
        <f>F22</f>
        <v>1093.9557345971564</v>
      </c>
    </row>
    <row r="25" spans="1:6" ht="21" customHeight="1" x14ac:dyDescent="0.25"/>
    <row r="26" spans="1:6" ht="21" customHeight="1" x14ac:dyDescent="0.25">
      <c r="A26" s="14" t="s">
        <v>16</v>
      </c>
      <c r="B26" s="14"/>
      <c r="C26" s="14" t="s">
        <v>17</v>
      </c>
      <c r="D26" s="14"/>
      <c r="E26" s="14" t="s">
        <v>18</v>
      </c>
      <c r="F26" s="14"/>
    </row>
    <row r="27" spans="1:6" ht="21" customHeight="1" x14ac:dyDescent="0.25">
      <c r="A27" s="15" t="s">
        <v>19</v>
      </c>
      <c r="B27" s="15"/>
      <c r="C27" s="15" t="s">
        <v>19</v>
      </c>
      <c r="D27" s="15"/>
      <c r="E27" s="15" t="s">
        <v>20</v>
      </c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4.2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x14ac:dyDescent="0.25">
      <c r="E32" s="53"/>
      <c r="F32" s="53"/>
    </row>
    <row r="33" spans="1:6" ht="18" x14ac:dyDescent="0.25">
      <c r="A33" s="109" t="s">
        <v>4</v>
      </c>
      <c r="B33" s="109"/>
      <c r="C33" s="109"/>
      <c r="D33" s="109"/>
      <c r="E33" s="109"/>
      <c r="F33" s="109"/>
    </row>
    <row r="34" spans="1:6" x14ac:dyDescent="0.25">
      <c r="A34" s="102" t="s">
        <v>94</v>
      </c>
      <c r="B34" s="102"/>
      <c r="C34" s="102"/>
      <c r="D34" s="102"/>
      <c r="E34" s="102"/>
      <c r="F34" s="102"/>
    </row>
    <row r="35" spans="1:6" x14ac:dyDescent="0.25">
      <c r="B35" s="1" t="s">
        <v>90</v>
      </c>
      <c r="C35" s="56" t="s">
        <v>87</v>
      </c>
    </row>
    <row r="36" spans="1:6" x14ac:dyDescent="0.25">
      <c r="B36" s="3" t="s">
        <v>55</v>
      </c>
      <c r="C36" s="4"/>
      <c r="D36" s="4"/>
      <c r="E36" s="57"/>
      <c r="F36" s="4"/>
    </row>
    <row r="37" spans="1:6" x14ac:dyDescent="0.25">
      <c r="B37" s="3" t="s">
        <v>56</v>
      </c>
      <c r="C37" s="4"/>
      <c r="D37" s="4"/>
      <c r="E37" s="65">
        <v>0</v>
      </c>
      <c r="F37" s="4"/>
    </row>
    <row r="38" spans="1:6" x14ac:dyDescent="0.25">
      <c r="B38" s="3" t="s">
        <v>54</v>
      </c>
      <c r="C38" s="4"/>
      <c r="D38" s="4"/>
      <c r="E38" s="4"/>
      <c r="F38" s="4"/>
    </row>
    <row r="40" spans="1:6" ht="30.75" customHeight="1" x14ac:dyDescent="0.25">
      <c r="A40" s="103" t="s">
        <v>5</v>
      </c>
      <c r="B40" s="103" t="s">
        <v>6</v>
      </c>
      <c r="C40" s="103" t="s">
        <v>7</v>
      </c>
      <c r="D40" s="103" t="s">
        <v>8</v>
      </c>
      <c r="E40" s="105" t="s">
        <v>9</v>
      </c>
      <c r="F40" s="106"/>
    </row>
    <row r="41" spans="1:6" ht="21.75" customHeight="1" x14ac:dyDescent="0.25">
      <c r="A41" s="104"/>
      <c r="B41" s="104"/>
      <c r="C41" s="104"/>
      <c r="D41" s="104"/>
      <c r="E41" s="5" t="s">
        <v>10</v>
      </c>
      <c r="F41" s="5" t="s">
        <v>11</v>
      </c>
    </row>
    <row r="42" spans="1:6" ht="21" customHeight="1" x14ac:dyDescent="0.25">
      <c r="A42" s="6" t="s">
        <v>12</v>
      </c>
      <c r="B42" s="7"/>
      <c r="C42" s="7"/>
      <c r="D42" s="7"/>
      <c r="E42" s="7"/>
      <c r="F42" s="7"/>
    </row>
    <row r="43" spans="1:6" ht="21" customHeight="1" x14ac:dyDescent="0.25">
      <c r="A43" s="16"/>
      <c r="B43" s="17"/>
      <c r="C43" s="17"/>
      <c r="D43" s="17"/>
      <c r="E43" s="17"/>
      <c r="F43" s="17"/>
    </row>
    <row r="44" spans="1:6" ht="21" customHeight="1" x14ac:dyDescent="0.25">
      <c r="A44" s="8" t="s">
        <v>13</v>
      </c>
      <c r="B44" s="9"/>
      <c r="C44" s="9"/>
      <c r="D44" s="9"/>
      <c r="E44" s="9"/>
      <c r="F44" s="9"/>
    </row>
    <row r="45" spans="1:6" ht="21" customHeight="1" x14ac:dyDescent="0.25">
      <c r="A45" s="8"/>
      <c r="B45" s="9"/>
      <c r="C45" s="9"/>
      <c r="D45" s="9"/>
      <c r="E45" s="9"/>
      <c r="F45" s="9"/>
    </row>
    <row r="46" spans="1:6" ht="21" customHeight="1" x14ac:dyDescent="0.25">
      <c r="A46" s="8" t="s">
        <v>14</v>
      </c>
      <c r="B46" s="9"/>
      <c r="C46" s="9"/>
      <c r="D46" s="9"/>
      <c r="E46" s="10"/>
      <c r="F46" s="10"/>
    </row>
    <row r="47" spans="1:6" ht="21" customHeight="1" x14ac:dyDescent="0.25">
      <c r="A47" s="18"/>
      <c r="B47" s="19"/>
      <c r="C47" s="19"/>
      <c r="D47" s="19"/>
      <c r="E47" s="20"/>
      <c r="F47" s="20"/>
    </row>
    <row r="48" spans="1:6" ht="21" customHeight="1" x14ac:dyDescent="0.25">
      <c r="A48" s="8" t="s">
        <v>0</v>
      </c>
      <c r="B48" s="9"/>
      <c r="C48" s="9"/>
      <c r="D48" s="9"/>
      <c r="E48" s="9"/>
      <c r="F48" s="9"/>
    </row>
    <row r="49" spans="1:6" ht="21" customHeight="1" x14ac:dyDescent="0.25">
      <c r="A49" s="23" t="s">
        <v>89</v>
      </c>
      <c r="B49" s="24"/>
      <c r="C49" s="24"/>
      <c r="D49" s="24">
        <f>B49-(B49/12)*2</f>
        <v>0</v>
      </c>
      <c r="E49" s="24">
        <f>B49+C49-D49</f>
        <v>0</v>
      </c>
      <c r="F49" s="24"/>
    </row>
    <row r="50" spans="1:6" ht="21" customHeight="1" x14ac:dyDescent="0.25">
      <c r="A50" s="21"/>
      <c r="B50" s="22"/>
      <c r="C50" s="22"/>
      <c r="D50" s="22"/>
      <c r="E50" s="22"/>
      <c r="F50" s="22"/>
    </row>
    <row r="51" spans="1:6" ht="21" customHeight="1" x14ac:dyDescent="0.25">
      <c r="A51" s="63" t="s">
        <v>15</v>
      </c>
      <c r="B51" s="64">
        <f>SUM(B49)</f>
        <v>0</v>
      </c>
      <c r="C51" s="64">
        <f>SUM(C49)</f>
        <v>0</v>
      </c>
      <c r="D51" s="64">
        <f>SUM(D49)</f>
        <v>0</v>
      </c>
      <c r="E51" s="64">
        <f>SUM(E49)</f>
        <v>0</v>
      </c>
      <c r="F51" s="64">
        <f>SUM(F49)</f>
        <v>0</v>
      </c>
    </row>
    <row r="52" spans="1:6" ht="21" customHeight="1" x14ac:dyDescent="0.25">
      <c r="A52" s="11"/>
      <c r="B52" s="12"/>
      <c r="C52" s="13"/>
      <c r="D52" s="13"/>
      <c r="E52" s="13"/>
      <c r="F52" s="13"/>
    </row>
    <row r="53" spans="1:6" ht="21" customHeight="1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ht="21" customHeight="1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  <mergeCell ref="E28:F28"/>
    <mergeCell ref="E29:F29"/>
    <mergeCell ref="E30:F30"/>
    <mergeCell ref="E31:F31"/>
    <mergeCell ref="A33:F33"/>
    <mergeCell ref="A34:F34"/>
    <mergeCell ref="A40:A41"/>
    <mergeCell ref="B40:B41"/>
    <mergeCell ref="C40:C41"/>
    <mergeCell ref="D40:D41"/>
    <mergeCell ref="E40:F40"/>
  </mergeCells>
  <pageMargins left="0.25" right="0.2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54"/>
  <sheetViews>
    <sheetView topLeftCell="A10" workbookViewId="0">
      <selection activeCell="C56" sqref="C56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107" t="s">
        <v>1</v>
      </c>
      <c r="F1" s="107"/>
    </row>
    <row r="2" spans="1:6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x14ac:dyDescent="0.25">
      <c r="E5" s="66"/>
      <c r="F5" s="66"/>
    </row>
    <row r="6" spans="1:6" ht="18" x14ac:dyDescent="0.25">
      <c r="A6" s="109" t="s">
        <v>4</v>
      </c>
      <c r="B6" s="109"/>
      <c r="C6" s="109"/>
      <c r="D6" s="109"/>
      <c r="E6" s="109"/>
      <c r="F6" s="109"/>
    </row>
    <row r="7" spans="1:6" x14ac:dyDescent="0.25">
      <c r="A7" s="102" t="s">
        <v>95</v>
      </c>
      <c r="B7" s="102"/>
      <c r="C7" s="102"/>
      <c r="D7" s="102"/>
      <c r="E7" s="102"/>
      <c r="F7" s="102"/>
    </row>
    <row r="8" spans="1:6" x14ac:dyDescent="0.25">
      <c r="B8" s="1" t="s">
        <v>90</v>
      </c>
      <c r="C8" s="56" t="s">
        <v>86</v>
      </c>
    </row>
    <row r="9" spans="1:6" x14ac:dyDescent="0.25">
      <c r="B9" s="3" t="s">
        <v>55</v>
      </c>
      <c r="C9" s="4"/>
      <c r="D9" s="4"/>
      <c r="E9" s="57"/>
      <c r="F9" s="4"/>
    </row>
    <row r="10" spans="1:6" x14ac:dyDescent="0.25">
      <c r="B10" s="3" t="s">
        <v>56</v>
      </c>
      <c r="C10" s="4"/>
      <c r="D10" s="4"/>
      <c r="E10" s="65">
        <f>' SL 2020'!C22</f>
        <v>8930</v>
      </c>
      <c r="F10" s="4"/>
    </row>
    <row r="11" spans="1:6" x14ac:dyDescent="0.25">
      <c r="B11" s="3" t="s">
        <v>54</v>
      </c>
      <c r="C11" s="4"/>
      <c r="D11" s="4"/>
      <c r="E11" s="4"/>
      <c r="F11" s="4"/>
    </row>
    <row r="13" spans="1:6" x14ac:dyDescent="0.25">
      <c r="A13" s="103" t="s">
        <v>5</v>
      </c>
      <c r="B13" s="103" t="s">
        <v>6</v>
      </c>
      <c r="C13" s="103" t="s">
        <v>7</v>
      </c>
      <c r="D13" s="103" t="s">
        <v>8</v>
      </c>
      <c r="E13" s="105" t="s">
        <v>9</v>
      </c>
      <c r="F13" s="106"/>
    </row>
    <row r="14" spans="1:6" x14ac:dyDescent="0.25">
      <c r="A14" s="104"/>
      <c r="B14" s="104"/>
      <c r="C14" s="104"/>
      <c r="D14" s="104"/>
      <c r="E14" s="5" t="s">
        <v>10</v>
      </c>
      <c r="F14" s="5" t="s">
        <v>11</v>
      </c>
    </row>
    <row r="15" spans="1:6" x14ac:dyDescent="0.25">
      <c r="A15" s="61" t="s">
        <v>12</v>
      </c>
      <c r="B15" s="62"/>
      <c r="C15" s="62"/>
      <c r="D15" s="62"/>
      <c r="E15" s="62"/>
      <c r="F15" s="62"/>
    </row>
    <row r="16" spans="1:6" x14ac:dyDescent="0.25">
      <c r="A16" s="16"/>
      <c r="B16" s="17"/>
      <c r="C16" s="17"/>
      <c r="D16" s="17"/>
      <c r="E16" s="17"/>
      <c r="F16" s="17"/>
    </row>
    <row r="17" spans="1:6" x14ac:dyDescent="0.25">
      <c r="A17" s="58" t="s">
        <v>13</v>
      </c>
      <c r="B17" s="59"/>
      <c r="C17" s="59"/>
      <c r="D17" s="59"/>
      <c r="E17" s="59"/>
      <c r="F17" s="59"/>
    </row>
    <row r="18" spans="1:6" x14ac:dyDescent="0.25">
      <c r="A18" s="8"/>
      <c r="B18" s="9"/>
      <c r="C18" s="9"/>
      <c r="D18" s="9"/>
      <c r="E18" s="9"/>
      <c r="F18" s="9"/>
    </row>
    <row r="19" spans="1:6" x14ac:dyDescent="0.25">
      <c r="A19" s="58" t="s">
        <v>14</v>
      </c>
      <c r="B19" s="59"/>
      <c r="C19" s="59"/>
      <c r="D19" s="59"/>
      <c r="E19" s="60"/>
      <c r="F19" s="60"/>
    </row>
    <row r="20" spans="1:6" x14ac:dyDescent="0.25">
      <c r="A20" s="18"/>
      <c r="B20" s="19"/>
      <c r="C20" s="19"/>
      <c r="D20" s="19"/>
      <c r="E20" s="20"/>
      <c r="F20" s="20"/>
    </row>
    <row r="21" spans="1:6" x14ac:dyDescent="0.25">
      <c r="A21" s="58" t="s">
        <v>0</v>
      </c>
      <c r="B21" s="59"/>
      <c r="C21" s="59"/>
      <c r="D21" s="59"/>
      <c r="E21" s="59"/>
      <c r="F21" s="59"/>
    </row>
    <row r="22" spans="1:6" x14ac:dyDescent="0.25">
      <c r="A22" s="23" t="s">
        <v>89</v>
      </c>
      <c r="B22" s="24"/>
      <c r="C22" s="24">
        <f>12823592+(B22/12)</f>
        <v>12823592</v>
      </c>
      <c r="D22" s="24">
        <f>B22-(B22/12)*2</f>
        <v>0</v>
      </c>
      <c r="E22" s="24">
        <f>B22+C22-D22</f>
        <v>12823592</v>
      </c>
      <c r="F22" s="24">
        <f>E22/E10</f>
        <v>1436.012541993281</v>
      </c>
    </row>
    <row r="23" spans="1:6" x14ac:dyDescent="0.25">
      <c r="A23" s="21"/>
      <c r="B23" s="22"/>
      <c r="C23" s="22"/>
      <c r="D23" s="22"/>
      <c r="E23" s="22"/>
      <c r="F23" s="22"/>
    </row>
    <row r="24" spans="1:6" x14ac:dyDescent="0.25">
      <c r="A24" s="63" t="s">
        <v>15</v>
      </c>
      <c r="B24" s="64">
        <f>B22</f>
        <v>0</v>
      </c>
      <c r="C24" s="64">
        <f>C22</f>
        <v>12823592</v>
      </c>
      <c r="D24" s="64">
        <f>D22</f>
        <v>0</v>
      </c>
      <c r="E24" s="64">
        <f>E22</f>
        <v>12823592</v>
      </c>
      <c r="F24" s="64">
        <f>F22</f>
        <v>1436.012541993281</v>
      </c>
    </row>
    <row r="26" spans="1:6" x14ac:dyDescent="0.25">
      <c r="A26" s="14" t="s">
        <v>16</v>
      </c>
      <c r="B26" s="14"/>
      <c r="C26" s="14" t="s">
        <v>17</v>
      </c>
      <c r="D26" s="14"/>
      <c r="E26" s="14" t="s">
        <v>18</v>
      </c>
      <c r="F26" s="14"/>
    </row>
    <row r="27" spans="1:6" x14ac:dyDescent="0.25">
      <c r="A27" s="15" t="s">
        <v>19</v>
      </c>
      <c r="B27" s="15"/>
      <c r="C27" s="15" t="s">
        <v>19</v>
      </c>
      <c r="D27" s="15"/>
      <c r="E27" s="15" t="s">
        <v>20</v>
      </c>
      <c r="F27" s="15"/>
    </row>
    <row r="28" spans="1:6" x14ac:dyDescent="0.25">
      <c r="A28" s="1" t="str">
        <f>A1</f>
        <v>Công ty TNHH Thuận An</v>
      </c>
      <c r="E28" s="107" t="s">
        <v>1</v>
      </c>
      <c r="F28" s="107"/>
    </row>
    <row r="29" spans="1:6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x14ac:dyDescent="0.25">
      <c r="E32" s="66"/>
      <c r="F32" s="66"/>
    </row>
    <row r="33" spans="1:6" ht="18" x14ac:dyDescent="0.25">
      <c r="A33" s="109" t="s">
        <v>4</v>
      </c>
      <c r="B33" s="109"/>
      <c r="C33" s="109"/>
      <c r="D33" s="109"/>
      <c r="E33" s="109"/>
      <c r="F33" s="109"/>
    </row>
    <row r="34" spans="1:6" x14ac:dyDescent="0.25">
      <c r="A34" s="102" t="s">
        <v>95</v>
      </c>
      <c r="B34" s="102"/>
      <c r="C34" s="102"/>
      <c r="D34" s="102"/>
      <c r="E34" s="102"/>
      <c r="F34" s="102"/>
    </row>
    <row r="35" spans="1:6" x14ac:dyDescent="0.25">
      <c r="B35" s="1" t="s">
        <v>90</v>
      </c>
      <c r="C35" s="56" t="s">
        <v>87</v>
      </c>
    </row>
    <row r="36" spans="1:6" x14ac:dyDescent="0.25">
      <c r="B36" s="3" t="s">
        <v>55</v>
      </c>
      <c r="C36" s="4"/>
      <c r="D36" s="4"/>
      <c r="E36" s="57"/>
      <c r="F36" s="4"/>
    </row>
    <row r="37" spans="1:6" x14ac:dyDescent="0.25">
      <c r="B37" s="3" t="s">
        <v>56</v>
      </c>
      <c r="C37" s="4"/>
      <c r="D37" s="4"/>
      <c r="E37" s="65">
        <f>' SL 2020'!C52</f>
        <v>14000</v>
      </c>
      <c r="F37" s="4"/>
    </row>
    <row r="38" spans="1:6" x14ac:dyDescent="0.25">
      <c r="B38" s="3" t="s">
        <v>54</v>
      </c>
      <c r="C38" s="4"/>
      <c r="D38" s="4"/>
      <c r="E38" s="4"/>
      <c r="F38" s="4"/>
    </row>
    <row r="40" spans="1:6" x14ac:dyDescent="0.25">
      <c r="A40" s="103" t="s">
        <v>5</v>
      </c>
      <c r="B40" s="103" t="s">
        <v>6</v>
      </c>
      <c r="C40" s="103" t="s">
        <v>7</v>
      </c>
      <c r="D40" s="103" t="s">
        <v>8</v>
      </c>
      <c r="E40" s="105" t="s">
        <v>9</v>
      </c>
      <c r="F40" s="106"/>
    </row>
    <row r="41" spans="1:6" x14ac:dyDescent="0.25">
      <c r="A41" s="104"/>
      <c r="B41" s="104"/>
      <c r="C41" s="104"/>
      <c r="D41" s="104"/>
      <c r="E41" s="5" t="s">
        <v>10</v>
      </c>
      <c r="F41" s="5" t="s">
        <v>11</v>
      </c>
    </row>
    <row r="42" spans="1:6" x14ac:dyDescent="0.25">
      <c r="A42" s="6" t="s">
        <v>12</v>
      </c>
      <c r="B42" s="7"/>
      <c r="C42" s="7"/>
      <c r="D42" s="7"/>
      <c r="E42" s="7"/>
      <c r="F42" s="7"/>
    </row>
    <row r="43" spans="1:6" x14ac:dyDescent="0.25">
      <c r="A43" s="16"/>
      <c r="B43" s="17"/>
      <c r="C43" s="17"/>
      <c r="D43" s="17"/>
      <c r="E43" s="17"/>
      <c r="F43" s="17"/>
    </row>
    <row r="44" spans="1:6" x14ac:dyDescent="0.25">
      <c r="A44" s="8" t="s">
        <v>13</v>
      </c>
      <c r="B44" s="9"/>
      <c r="C44" s="9"/>
      <c r="D44" s="9"/>
      <c r="E44" s="9"/>
      <c r="F44" s="9"/>
    </row>
    <row r="45" spans="1:6" x14ac:dyDescent="0.25">
      <c r="A45" s="8"/>
      <c r="B45" s="9"/>
      <c r="C45" s="9"/>
      <c r="D45" s="9"/>
      <c r="E45" s="9"/>
      <c r="F45" s="9"/>
    </row>
    <row r="46" spans="1:6" x14ac:dyDescent="0.25">
      <c r="A46" s="8" t="s">
        <v>14</v>
      </c>
      <c r="B46" s="9"/>
      <c r="C46" s="9"/>
      <c r="D46" s="9"/>
      <c r="E46" s="10"/>
      <c r="F46" s="10"/>
    </row>
    <row r="47" spans="1:6" x14ac:dyDescent="0.25">
      <c r="A47" s="18"/>
      <c r="B47" s="19"/>
      <c r="C47" s="19"/>
      <c r="D47" s="19"/>
      <c r="E47" s="20"/>
      <c r="F47" s="20"/>
    </row>
    <row r="48" spans="1:6" x14ac:dyDescent="0.25">
      <c r="A48" s="8" t="s">
        <v>0</v>
      </c>
      <c r="B48" s="9"/>
      <c r="C48" s="9"/>
      <c r="D48" s="9"/>
      <c r="E48" s="9"/>
      <c r="F48" s="9"/>
    </row>
    <row r="49" spans="1:6" x14ac:dyDescent="0.25">
      <c r="A49" s="23" t="s">
        <v>89</v>
      </c>
      <c r="B49" s="24"/>
      <c r="C49" s="24">
        <f>17159650+(B49/12)</f>
        <v>17159650</v>
      </c>
      <c r="D49" s="24">
        <f>B49-(B49/12)*2</f>
        <v>0</v>
      </c>
      <c r="E49" s="24">
        <f>B49+C49-D49</f>
        <v>17159650</v>
      </c>
      <c r="F49" s="24">
        <f>E49/E37</f>
        <v>1225.6892857142857</v>
      </c>
    </row>
    <row r="50" spans="1:6" x14ac:dyDescent="0.25">
      <c r="A50" s="21"/>
      <c r="B50" s="22"/>
      <c r="C50" s="22"/>
      <c r="D50" s="22"/>
      <c r="E50" s="22"/>
      <c r="F50" s="22"/>
    </row>
    <row r="51" spans="1:6" x14ac:dyDescent="0.25">
      <c r="A51" s="63" t="s">
        <v>15</v>
      </c>
      <c r="B51" s="64">
        <f>B49</f>
        <v>0</v>
      </c>
      <c r="C51" s="64">
        <f>C49</f>
        <v>17159650</v>
      </c>
      <c r="D51" s="64">
        <f>D49</f>
        <v>0</v>
      </c>
      <c r="E51" s="64">
        <f>E49</f>
        <v>17159650</v>
      </c>
      <c r="F51" s="64">
        <f>F49</f>
        <v>1225.6892857142857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6:F6"/>
    <mergeCell ref="A7:F7"/>
    <mergeCell ref="A13:A14"/>
    <mergeCell ref="B13:B14"/>
    <mergeCell ref="C13:C14"/>
    <mergeCell ref="D13:D14"/>
    <mergeCell ref="E13:F13"/>
    <mergeCell ref="A40:A41"/>
    <mergeCell ref="B40:B41"/>
    <mergeCell ref="C40:C41"/>
    <mergeCell ref="D40:D41"/>
    <mergeCell ref="E40:F40"/>
    <mergeCell ref="E29:F29"/>
    <mergeCell ref="E30:F30"/>
    <mergeCell ref="E31:F31"/>
    <mergeCell ref="A33:F33"/>
    <mergeCell ref="A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E8" sqref="E8"/>
    </sheetView>
  </sheetViews>
  <sheetFormatPr defaultRowHeight="15.75" x14ac:dyDescent="0.25"/>
  <cols>
    <col min="1" max="1" width="23" customWidth="1"/>
    <col min="2" max="2" width="2.625" customWidth="1"/>
    <col min="3" max="6" width="15.625" customWidth="1"/>
    <col min="8" max="8" width="18.375" customWidth="1"/>
    <col min="9" max="9" width="22.5" customWidth="1"/>
  </cols>
  <sheetData>
    <row r="1" spans="1:9" ht="33" customHeight="1" x14ac:dyDescent="0.25">
      <c r="A1" t="s">
        <v>21</v>
      </c>
      <c r="C1" t="str">
        <f>'THONG TIN'!C3</f>
        <v>Công ty TNHH Thuận An</v>
      </c>
    </row>
    <row r="2" spans="1:9" ht="27.75" customHeight="1" x14ac:dyDescent="0.25">
      <c r="A2" t="s">
        <v>24</v>
      </c>
      <c r="C2" t="str">
        <f>'THONG TIN'!C4</f>
        <v>Ấp Chồng Nô 3, Xã Hòa Tân, Huyện Cầu Kè, Tỉnh Trà Vinh</v>
      </c>
    </row>
    <row r="3" spans="1:9" ht="21.95" customHeight="1" x14ac:dyDescent="0.25">
      <c r="A3" s="100" t="s">
        <v>25</v>
      </c>
      <c r="B3" s="100"/>
      <c r="C3" s="100"/>
      <c r="D3" s="100"/>
      <c r="E3" s="100"/>
      <c r="F3" s="100"/>
    </row>
    <row r="4" spans="1:9" ht="21.95" customHeight="1" x14ac:dyDescent="0.25">
      <c r="A4" s="101" t="s">
        <v>86</v>
      </c>
      <c r="B4" s="101"/>
      <c r="C4" s="101"/>
      <c r="D4" s="101"/>
      <c r="E4" s="101"/>
      <c r="F4" s="101"/>
    </row>
    <row r="5" spans="1:9" ht="21.95" customHeight="1" x14ac:dyDescent="0.25">
      <c r="B5" t="s">
        <v>26</v>
      </c>
      <c r="D5" s="30" t="s">
        <v>85</v>
      </c>
      <c r="E5" s="25" t="s">
        <v>52</v>
      </c>
      <c r="F5" s="46">
        <v>2021</v>
      </c>
    </row>
    <row r="6" spans="1:9" ht="21.95" customHeight="1" x14ac:dyDescent="0.25"/>
    <row r="7" spans="1:9" ht="21.95" customHeight="1" x14ac:dyDescent="0.25">
      <c r="A7" s="99" t="s">
        <v>27</v>
      </c>
      <c r="B7" s="99"/>
      <c r="C7" s="47" t="s">
        <v>40</v>
      </c>
      <c r="D7" s="47" t="s">
        <v>41</v>
      </c>
      <c r="E7" s="47" t="s">
        <v>43</v>
      </c>
      <c r="F7" s="47" t="s">
        <v>42</v>
      </c>
      <c r="I7" s="68" t="s">
        <v>92</v>
      </c>
    </row>
    <row r="8" spans="1:9" ht="21.95" customHeight="1" x14ac:dyDescent="0.25">
      <c r="A8" s="75" t="s">
        <v>98</v>
      </c>
      <c r="B8" s="75"/>
      <c r="C8" s="76">
        <v>6430</v>
      </c>
      <c r="D8" s="73"/>
      <c r="E8" s="72"/>
      <c r="F8" s="72"/>
      <c r="I8" s="68"/>
    </row>
    <row r="9" spans="1:9" ht="21.95" customHeight="1" x14ac:dyDescent="0.25">
      <c r="A9" s="69" t="s">
        <v>28</v>
      </c>
      <c r="B9" s="70"/>
      <c r="C9" s="90">
        <v>11212.590299277606</v>
      </c>
      <c r="D9" s="91">
        <f>6430+2180</f>
        <v>8610</v>
      </c>
      <c r="E9" s="91">
        <v>30</v>
      </c>
      <c r="F9" s="91">
        <v>175</v>
      </c>
      <c r="G9" t="s">
        <v>118</v>
      </c>
      <c r="H9" s="50"/>
      <c r="I9" s="51">
        <f>'T1'!F23</f>
        <v>1263.4970123963258</v>
      </c>
    </row>
    <row r="10" spans="1:9" ht="21.95" customHeight="1" x14ac:dyDescent="0.25">
      <c r="A10" s="28" t="s">
        <v>29</v>
      </c>
      <c r="B10" s="29"/>
      <c r="C10" s="92">
        <v>11393.188854489164</v>
      </c>
      <c r="D10" s="93">
        <v>11170</v>
      </c>
      <c r="E10" s="94">
        <v>35</v>
      </c>
      <c r="F10" s="94">
        <v>185</v>
      </c>
      <c r="G10" t="s">
        <v>63</v>
      </c>
      <c r="H10" s="50"/>
      <c r="I10" s="51">
        <f>'T2'!F23</f>
        <v>1243.5348020714473</v>
      </c>
    </row>
    <row r="11" spans="1:9" ht="21.95" customHeight="1" x14ac:dyDescent="0.25">
      <c r="A11" s="31" t="s">
        <v>30</v>
      </c>
      <c r="B11" s="32"/>
      <c r="C11" s="92">
        <v>12848.297213622291</v>
      </c>
      <c r="D11" s="93">
        <v>12090</v>
      </c>
      <c r="E11" s="95">
        <v>40</v>
      </c>
      <c r="F11" s="95">
        <v>160</v>
      </c>
      <c r="G11" t="s">
        <v>66</v>
      </c>
      <c r="H11" s="50"/>
      <c r="I11" s="51">
        <f>'T3'!F23</f>
        <v>1102.7079701120797</v>
      </c>
    </row>
    <row r="12" spans="1:9" ht="21.95" customHeight="1" x14ac:dyDescent="0.25">
      <c r="A12" s="41" t="s">
        <v>44</v>
      </c>
      <c r="B12" s="42"/>
      <c r="C12" s="96">
        <f>SUM(C8:C11)</f>
        <v>41884.076367389061</v>
      </c>
      <c r="D12" s="96">
        <f>SUM(D9:D11)</f>
        <v>31870</v>
      </c>
      <c r="E12" s="97">
        <f>SUM(E9:E11)</f>
        <v>105</v>
      </c>
      <c r="F12" s="97">
        <f>SUM(F9:F11)</f>
        <v>520</v>
      </c>
      <c r="H12" s="50"/>
      <c r="I12" s="51"/>
    </row>
    <row r="13" spans="1:9" ht="21.95" customHeight="1" x14ac:dyDescent="0.25">
      <c r="A13" s="33" t="s">
        <v>31</v>
      </c>
      <c r="B13" s="34"/>
      <c r="C13" s="92">
        <v>8973.1682146542826</v>
      </c>
      <c r="D13" s="98">
        <v>11500</v>
      </c>
      <c r="E13" s="98">
        <v>30</v>
      </c>
      <c r="F13" s="98">
        <v>155</v>
      </c>
      <c r="G13" t="s">
        <v>65</v>
      </c>
      <c r="H13" s="50"/>
      <c r="I13" s="51">
        <f>'T4'!F23</f>
        <v>1578.9136297782236</v>
      </c>
    </row>
    <row r="14" spans="1:9" ht="21.95" customHeight="1" x14ac:dyDescent="0.25">
      <c r="A14" s="28" t="s">
        <v>32</v>
      </c>
      <c r="B14" s="29"/>
      <c r="C14" s="92">
        <v>7781.217750257998</v>
      </c>
      <c r="D14" s="94">
        <v>8430</v>
      </c>
      <c r="E14" s="94">
        <v>34</v>
      </c>
      <c r="F14" s="94">
        <v>150</v>
      </c>
      <c r="G14" t="s">
        <v>70</v>
      </c>
      <c r="H14" s="50"/>
      <c r="I14" s="51">
        <f>'T5'!F23</f>
        <v>1820.7932142398149</v>
      </c>
    </row>
    <row r="15" spans="1:9" ht="21.95" customHeight="1" x14ac:dyDescent="0.25">
      <c r="A15" s="31" t="s">
        <v>33</v>
      </c>
      <c r="B15" s="32"/>
      <c r="C15" s="92">
        <v>8034.0557275541796</v>
      </c>
      <c r="D15" s="95">
        <v>7510</v>
      </c>
      <c r="E15" s="95">
        <v>45</v>
      </c>
      <c r="F15" s="95">
        <v>170</v>
      </c>
      <c r="G15" t="s">
        <v>71</v>
      </c>
      <c r="H15" s="50"/>
      <c r="I15" s="51">
        <f>'T6'!F23</f>
        <v>1763.4543191436396</v>
      </c>
    </row>
    <row r="16" spans="1:9" ht="21.95" customHeight="1" x14ac:dyDescent="0.25">
      <c r="A16" s="41" t="s">
        <v>45</v>
      </c>
      <c r="B16" s="42"/>
      <c r="C16" s="96">
        <f>SUM(C13:C15)</f>
        <v>24788.441692466462</v>
      </c>
      <c r="D16" s="96">
        <f>SUM(D13:D15)</f>
        <v>27440</v>
      </c>
      <c r="E16" s="96">
        <f>SUM(E13:E15)</f>
        <v>109</v>
      </c>
      <c r="F16" s="96">
        <f>SUM(F13:F15)</f>
        <v>475</v>
      </c>
      <c r="H16" s="50"/>
      <c r="I16" s="51"/>
    </row>
    <row r="17" spans="1:9" ht="21.95" customHeight="1" x14ac:dyDescent="0.25">
      <c r="A17" s="33" t="s">
        <v>34</v>
      </c>
      <c r="B17" s="34"/>
      <c r="C17" s="92">
        <v>7254.9019607843138</v>
      </c>
      <c r="D17" s="98">
        <v>7870</v>
      </c>
      <c r="E17" s="98">
        <v>42</v>
      </c>
      <c r="F17" s="98">
        <v>150</v>
      </c>
      <c r="G17" t="s">
        <v>73</v>
      </c>
      <c r="H17" s="50"/>
      <c r="I17" s="51">
        <f>'T7'!F23</f>
        <v>1952.8038594073053</v>
      </c>
    </row>
    <row r="18" spans="1:9" ht="21.95" customHeight="1" x14ac:dyDescent="0.25">
      <c r="A18" s="28" t="s">
        <v>35</v>
      </c>
      <c r="B18" s="29"/>
      <c r="C18" s="92">
        <v>8271.4138286893703</v>
      </c>
      <c r="D18" s="94">
        <v>7090</v>
      </c>
      <c r="E18" s="94">
        <v>35</v>
      </c>
      <c r="F18" s="94">
        <v>200</v>
      </c>
      <c r="G18" t="s">
        <v>76</v>
      </c>
      <c r="H18" s="50"/>
      <c r="I18" s="51">
        <f>'T8'!F23</f>
        <v>1712.9237093459074</v>
      </c>
    </row>
    <row r="19" spans="1:9" ht="21.95" customHeight="1" x14ac:dyDescent="0.25">
      <c r="A19" s="31" t="s">
        <v>36</v>
      </c>
      <c r="B19" s="32"/>
      <c r="C19" s="92">
        <v>7105.2631578947367</v>
      </c>
      <c r="D19" s="95">
        <v>7090</v>
      </c>
      <c r="E19" s="95">
        <v>44</v>
      </c>
      <c r="F19" s="95">
        <v>196</v>
      </c>
      <c r="G19" t="s">
        <v>77</v>
      </c>
      <c r="H19" s="50"/>
      <c r="I19" s="51">
        <f>'T9'!F23</f>
        <v>1994.0312456016889</v>
      </c>
    </row>
    <row r="20" spans="1:9" ht="21.95" customHeight="1" x14ac:dyDescent="0.25">
      <c r="A20" s="41" t="s">
        <v>46</v>
      </c>
      <c r="B20" s="42"/>
      <c r="C20" s="96">
        <f>SUM(C17:C19)</f>
        <v>22631.57894736842</v>
      </c>
      <c r="D20" s="96">
        <f>SUM(D17:D19)</f>
        <v>22050</v>
      </c>
      <c r="E20" s="96">
        <f>SUM(E17:E19)</f>
        <v>121</v>
      </c>
      <c r="F20" s="96">
        <f>SUM(F17:F19)</f>
        <v>546</v>
      </c>
      <c r="H20" s="50"/>
      <c r="I20" s="51"/>
    </row>
    <row r="21" spans="1:9" ht="21.95" customHeight="1" x14ac:dyDescent="0.25">
      <c r="A21" s="33" t="s">
        <v>37</v>
      </c>
      <c r="B21" s="34"/>
      <c r="C21" s="92">
        <v>7285.8617131062947</v>
      </c>
      <c r="D21" s="98">
        <v>7830</v>
      </c>
      <c r="E21" s="98">
        <v>48</v>
      </c>
      <c r="F21" s="98">
        <v>202</v>
      </c>
      <c r="G21" t="s">
        <v>79</v>
      </c>
      <c r="H21" s="50"/>
      <c r="I21" s="51">
        <f>'T10'!F23</f>
        <v>1944.4951962668131</v>
      </c>
    </row>
    <row r="22" spans="1:9" ht="21.95" customHeight="1" x14ac:dyDescent="0.25">
      <c r="A22" s="28" t="s">
        <v>38</v>
      </c>
      <c r="B22" s="29"/>
      <c r="C22" s="92">
        <v>6744.0660474716205</v>
      </c>
      <c r="D22" s="94">
        <v>7680</v>
      </c>
      <c r="E22" s="94">
        <v>45</v>
      </c>
      <c r="F22" s="94">
        <v>200</v>
      </c>
      <c r="G22" t="s">
        <v>81</v>
      </c>
      <c r="H22" s="50"/>
      <c r="I22" s="51">
        <f>'T11'!F23</f>
        <v>2100.7698695136419</v>
      </c>
    </row>
    <row r="23" spans="1:9" ht="21.95" customHeight="1" x14ac:dyDescent="0.25">
      <c r="A23" s="31" t="s">
        <v>39</v>
      </c>
      <c r="B23" s="32"/>
      <c r="C23" s="92">
        <v>7621.2590299277608</v>
      </c>
      <c r="D23" s="95">
        <f>6330+5160</f>
        <v>11490</v>
      </c>
      <c r="E23" s="95">
        <v>43</v>
      </c>
      <c r="F23" s="95">
        <v>180</v>
      </c>
      <c r="G23" t="s">
        <v>83</v>
      </c>
      <c r="H23" s="50"/>
      <c r="I23" s="51">
        <f>'T12'!F23</f>
        <v>1859.020076105498</v>
      </c>
    </row>
    <row r="24" spans="1:9" ht="21.95" customHeight="1" x14ac:dyDescent="0.25">
      <c r="A24" s="41" t="s">
        <v>47</v>
      </c>
      <c r="B24" s="42"/>
      <c r="C24" s="96">
        <f>SUM(C21:C23)</f>
        <v>21651.186790505675</v>
      </c>
      <c r="D24" s="96">
        <f>SUM(D21:D23)</f>
        <v>27000</v>
      </c>
      <c r="E24" s="96">
        <f>SUM(E21:E23)</f>
        <v>136</v>
      </c>
      <c r="F24" s="96">
        <f>SUM(F21:F23)</f>
        <v>582</v>
      </c>
      <c r="H24" s="50"/>
      <c r="I24" s="54"/>
    </row>
    <row r="25" spans="1:9" ht="21.95" customHeight="1" x14ac:dyDescent="0.25">
      <c r="A25" s="74"/>
      <c r="C25" s="54">
        <f>C12+C16+C20+C24</f>
        <v>110955.28379772963</v>
      </c>
      <c r="D25" s="54">
        <f>D12+D16+D20+D24</f>
        <v>108360</v>
      </c>
      <c r="E25" s="55">
        <f>SUM(E12+E16+E20+E24)</f>
        <v>471</v>
      </c>
      <c r="F25" s="55">
        <f>SUM(F12+F16+F20+F24)</f>
        <v>2123</v>
      </c>
      <c r="G25" s="55">
        <f>E25+F25</f>
        <v>2594</v>
      </c>
      <c r="H25" s="54">
        <f>C25-D25</f>
        <v>2595.2837977296294</v>
      </c>
    </row>
    <row r="26" spans="1:9" ht="21.95" customHeight="1" x14ac:dyDescent="0.25">
      <c r="A26" s="40"/>
      <c r="C26" s="54"/>
      <c r="D26" s="54"/>
      <c r="F26" s="54"/>
    </row>
    <row r="27" spans="1:9" ht="21.95" customHeight="1" x14ac:dyDescent="0.25">
      <c r="A27" s="40" t="s">
        <v>48</v>
      </c>
      <c r="C27" s="44" t="s">
        <v>49</v>
      </c>
    </row>
    <row r="28" spans="1:9" ht="21.95" customHeight="1" x14ac:dyDescent="0.25">
      <c r="C28" s="44" t="s">
        <v>57</v>
      </c>
    </row>
    <row r="29" spans="1:9" ht="21.95" customHeight="1" x14ac:dyDescent="0.25">
      <c r="C29" s="44" t="s">
        <v>50</v>
      </c>
    </row>
    <row r="30" spans="1:9" ht="21.95" customHeight="1" x14ac:dyDescent="0.25">
      <c r="C30" s="45" t="s">
        <v>51</v>
      </c>
    </row>
    <row r="33" spans="1:9" x14ac:dyDescent="0.25">
      <c r="C33" s="45"/>
    </row>
    <row r="34" spans="1:9" ht="21.95" customHeight="1" x14ac:dyDescent="0.25">
      <c r="A34" t="s">
        <v>21</v>
      </c>
      <c r="C34" t="str">
        <f>'THONG TIN'!C3</f>
        <v>Công ty TNHH Thuận An</v>
      </c>
    </row>
    <row r="35" spans="1:9" ht="21.95" customHeight="1" x14ac:dyDescent="0.25">
      <c r="A35" t="s">
        <v>24</v>
      </c>
      <c r="C35" t="str">
        <f>'THONG TIN'!C4</f>
        <v>Ấp Chồng Nô 3, Xã Hòa Tân, Huyện Cầu Kè, Tỉnh Trà Vinh</v>
      </c>
    </row>
    <row r="36" spans="1:9" ht="21.95" customHeight="1" x14ac:dyDescent="0.25">
      <c r="A36" s="100" t="s">
        <v>25</v>
      </c>
      <c r="B36" s="100"/>
      <c r="C36" s="100"/>
      <c r="D36" s="100"/>
      <c r="E36" s="100"/>
      <c r="F36" s="100"/>
    </row>
    <row r="37" spans="1:9" ht="21.95" customHeight="1" x14ac:dyDescent="0.25">
      <c r="A37" s="101" t="s">
        <v>87</v>
      </c>
      <c r="B37" s="101"/>
      <c r="C37" s="101"/>
      <c r="D37" s="101"/>
      <c r="E37" s="101"/>
      <c r="F37" s="101"/>
    </row>
    <row r="38" spans="1:9" ht="21.95" customHeight="1" x14ac:dyDescent="0.25">
      <c r="A38" s="45"/>
      <c r="B38" t="s">
        <v>26</v>
      </c>
      <c r="D38" s="30" t="s">
        <v>88</v>
      </c>
      <c r="E38" s="25" t="s">
        <v>52</v>
      </c>
      <c r="F38" s="46">
        <v>2021</v>
      </c>
    </row>
    <row r="39" spans="1:9" ht="21.95" customHeight="1" x14ac:dyDescent="0.25"/>
    <row r="40" spans="1:9" ht="21.95" customHeight="1" x14ac:dyDescent="0.25">
      <c r="A40" s="99" t="s">
        <v>27</v>
      </c>
      <c r="B40" s="99"/>
      <c r="C40" s="49" t="s">
        <v>40</v>
      </c>
      <c r="D40" s="49" t="s">
        <v>41</v>
      </c>
      <c r="E40" s="49" t="s">
        <v>43</v>
      </c>
      <c r="F40" s="49" t="s">
        <v>42</v>
      </c>
      <c r="I40" s="68" t="s">
        <v>92</v>
      </c>
    </row>
    <row r="41" spans="1:9" ht="21.95" customHeight="1" x14ac:dyDescent="0.25">
      <c r="A41" s="75" t="s">
        <v>98</v>
      </c>
      <c r="B41" s="88"/>
      <c r="C41" s="89">
        <v>14000</v>
      </c>
      <c r="D41" s="89"/>
      <c r="E41" s="88"/>
      <c r="F41" s="88"/>
      <c r="I41" s="68"/>
    </row>
    <row r="42" spans="1:9" ht="21.95" customHeight="1" x14ac:dyDescent="0.25">
      <c r="A42" s="26" t="s">
        <v>28</v>
      </c>
      <c r="B42" s="27"/>
      <c r="C42" s="36">
        <v>18500</v>
      </c>
      <c r="D42" s="36">
        <f>9124+4674</f>
        <v>13798</v>
      </c>
      <c r="E42" s="71">
        <v>50</v>
      </c>
      <c r="F42" s="36"/>
      <c r="G42" t="s">
        <v>119</v>
      </c>
      <c r="I42" s="51">
        <f>'T1'!F50</f>
        <v>1062.4675675675676</v>
      </c>
    </row>
    <row r="43" spans="1:9" ht="21.95" customHeight="1" x14ac:dyDescent="0.25">
      <c r="A43" s="28" t="s">
        <v>29</v>
      </c>
      <c r="B43" s="29"/>
      <c r="C43" s="36">
        <v>19000</v>
      </c>
      <c r="D43" s="36">
        <v>18336</v>
      </c>
      <c r="E43" s="37">
        <v>45</v>
      </c>
      <c r="F43" s="36"/>
      <c r="G43" t="s">
        <v>64</v>
      </c>
      <c r="I43" s="51">
        <f>'T2'!F50</f>
        <v>1034.5078947368422</v>
      </c>
    </row>
    <row r="44" spans="1:9" ht="21.95" customHeight="1" x14ac:dyDescent="0.25">
      <c r="A44" s="31" t="s">
        <v>30</v>
      </c>
      <c r="B44" s="32"/>
      <c r="C44" s="36">
        <v>17000</v>
      </c>
      <c r="D44" s="36">
        <v>16631</v>
      </c>
      <c r="E44" s="38">
        <v>60</v>
      </c>
      <c r="F44" s="36"/>
      <c r="G44" t="s">
        <v>67</v>
      </c>
      <c r="I44" s="51">
        <f>'T3'!F51</f>
        <v>1204.8016470588236</v>
      </c>
    </row>
    <row r="45" spans="1:9" ht="21.95" customHeight="1" x14ac:dyDescent="0.25">
      <c r="A45" s="41" t="s">
        <v>44</v>
      </c>
      <c r="B45" s="42"/>
      <c r="C45" s="43">
        <f>SUM(C41:C44)</f>
        <v>68500</v>
      </c>
      <c r="D45" s="43">
        <f>SUM(D41:D44)</f>
        <v>48765</v>
      </c>
      <c r="E45" s="43">
        <f>SUM(E42:E44)</f>
        <v>155</v>
      </c>
      <c r="F45" s="43"/>
      <c r="I45" s="51"/>
    </row>
    <row r="46" spans="1:9" ht="21.95" customHeight="1" x14ac:dyDescent="0.25">
      <c r="A46" s="33" t="s">
        <v>31</v>
      </c>
      <c r="B46" s="34"/>
      <c r="C46" s="39">
        <f>6540+3690</f>
        <v>10230</v>
      </c>
      <c r="D46" s="39">
        <v>22267</v>
      </c>
      <c r="E46" s="39">
        <v>54</v>
      </c>
      <c r="F46" s="39"/>
      <c r="G46" t="s">
        <v>68</v>
      </c>
      <c r="I46" s="51">
        <f>'T4'!F51</f>
        <v>2002.1141739980451</v>
      </c>
    </row>
    <row r="47" spans="1:9" ht="21.95" customHeight="1" x14ac:dyDescent="0.25">
      <c r="A47" s="28" t="s">
        <v>32</v>
      </c>
      <c r="B47" s="29"/>
      <c r="C47" s="37">
        <f>11050+6390</f>
        <v>17440</v>
      </c>
      <c r="D47" s="37">
        <v>17487</v>
      </c>
      <c r="E47" s="37">
        <v>58</v>
      </c>
      <c r="F47" s="37"/>
      <c r="G47" t="s">
        <v>69</v>
      </c>
      <c r="I47" s="51">
        <f>'T5'!F51</f>
        <v>1174.4052752293578</v>
      </c>
    </row>
    <row r="48" spans="1:9" ht="21.95" customHeight="1" x14ac:dyDescent="0.25">
      <c r="A48" s="31" t="s">
        <v>33</v>
      </c>
      <c r="B48" s="32"/>
      <c r="C48" s="38">
        <f>11160+6360</f>
        <v>17520</v>
      </c>
      <c r="D48" s="38">
        <v>16297</v>
      </c>
      <c r="E48" s="38">
        <v>65</v>
      </c>
      <c r="F48" s="38"/>
      <c r="G48" t="s">
        <v>72</v>
      </c>
      <c r="I48" s="51">
        <f>'T6'!F51</f>
        <v>1169.0426940639268</v>
      </c>
    </row>
    <row r="49" spans="1:9" ht="21.95" customHeight="1" x14ac:dyDescent="0.25">
      <c r="A49" s="41" t="s">
        <v>45</v>
      </c>
      <c r="B49" s="42"/>
      <c r="C49" s="43">
        <f>SUM(C46:C48)</f>
        <v>45190</v>
      </c>
      <c r="D49" s="43">
        <f>SUM(D46:D48)</f>
        <v>56051</v>
      </c>
      <c r="E49" s="52">
        <f>SUM(E46:E48)</f>
        <v>177</v>
      </c>
      <c r="F49" s="43"/>
      <c r="I49" s="51"/>
    </row>
    <row r="50" spans="1:9" ht="21.95" customHeight="1" x14ac:dyDescent="0.25">
      <c r="A50" s="33" t="s">
        <v>34</v>
      </c>
      <c r="B50" s="34"/>
      <c r="C50" s="39">
        <f>10070+5570</f>
        <v>15640</v>
      </c>
      <c r="D50" s="39">
        <v>16818</v>
      </c>
      <c r="E50" s="39">
        <v>62</v>
      </c>
      <c r="F50" s="39"/>
      <c r="G50" t="s">
        <v>74</v>
      </c>
      <c r="I50" s="51">
        <f>'T7'!F51</f>
        <v>1309.5670076726342</v>
      </c>
    </row>
    <row r="51" spans="1:9" ht="21.95" customHeight="1" x14ac:dyDescent="0.25">
      <c r="A51" s="28" t="s">
        <v>35</v>
      </c>
      <c r="B51" s="29"/>
      <c r="C51" s="37">
        <f>11600+6460</f>
        <v>18060</v>
      </c>
      <c r="D51" s="37">
        <v>28020</v>
      </c>
      <c r="E51" s="37">
        <v>65</v>
      </c>
      <c r="F51" s="37"/>
      <c r="G51" t="s">
        <v>75</v>
      </c>
      <c r="I51" s="51">
        <f>'T8'!F51</f>
        <v>1134.0879291251385</v>
      </c>
    </row>
    <row r="52" spans="1:9" ht="21.95" customHeight="1" x14ac:dyDescent="0.25">
      <c r="A52" s="31" t="s">
        <v>36</v>
      </c>
      <c r="B52" s="32"/>
      <c r="C52" s="38">
        <f>9420+5190</f>
        <v>14610</v>
      </c>
      <c r="D52" s="38">
        <v>14507</v>
      </c>
      <c r="E52" s="38">
        <v>50</v>
      </c>
      <c r="F52" s="38"/>
      <c r="G52" t="s">
        <v>78</v>
      </c>
      <c r="I52" s="51">
        <f>'T9'!F51</f>
        <v>1401.8910335386722</v>
      </c>
    </row>
    <row r="53" spans="1:9" ht="21.95" customHeight="1" x14ac:dyDescent="0.25">
      <c r="A53" s="41" t="s">
        <v>46</v>
      </c>
      <c r="B53" s="42"/>
      <c r="C53" s="43">
        <f>SUM(C50:C52)</f>
        <v>48310</v>
      </c>
      <c r="D53" s="43">
        <f>SUM(D50:D52)</f>
        <v>59345</v>
      </c>
      <c r="E53" s="52">
        <f>SUM(E50:E52)</f>
        <v>177</v>
      </c>
      <c r="F53" s="43"/>
      <c r="I53" s="51"/>
    </row>
    <row r="54" spans="1:9" ht="21.95" customHeight="1" x14ac:dyDescent="0.25">
      <c r="A54" s="33" t="s">
        <v>37</v>
      </c>
      <c r="B54" s="34"/>
      <c r="C54" s="39">
        <f>9720+5360</f>
        <v>15080</v>
      </c>
      <c r="D54" s="39">
        <v>14566</v>
      </c>
      <c r="E54" s="39">
        <v>50</v>
      </c>
      <c r="F54" s="39"/>
      <c r="G54" t="s">
        <v>80</v>
      </c>
      <c r="I54" s="51">
        <f>'T10'!F51</f>
        <v>1358.1981432360742</v>
      </c>
    </row>
    <row r="55" spans="1:9" ht="21.95" customHeight="1" x14ac:dyDescent="0.25">
      <c r="A55" s="28" t="s">
        <v>38</v>
      </c>
      <c r="B55" s="29"/>
      <c r="C55" s="37">
        <f>8550+4730</f>
        <v>13280</v>
      </c>
      <c r="D55" s="37">
        <v>12816</v>
      </c>
      <c r="E55" s="37">
        <v>45</v>
      </c>
      <c r="F55" s="37"/>
      <c r="G55" t="s">
        <v>82</v>
      </c>
      <c r="I55" s="51">
        <f>'T11'!F51</f>
        <v>1542.2912650602411</v>
      </c>
    </row>
    <row r="56" spans="1:9" ht="21.95" customHeight="1" x14ac:dyDescent="0.25">
      <c r="A56" s="31" t="s">
        <v>39</v>
      </c>
      <c r="B56" s="32"/>
      <c r="C56" s="38">
        <f>9920+5460</f>
        <v>15380</v>
      </c>
      <c r="D56" s="38">
        <v>13563</v>
      </c>
      <c r="E56" s="38">
        <v>30</v>
      </c>
      <c r="F56" s="38"/>
      <c r="G56" t="s">
        <v>84</v>
      </c>
      <c r="I56" s="51">
        <f>'T12'!F51</f>
        <v>1331.7053315994799</v>
      </c>
    </row>
    <row r="57" spans="1:9" ht="21.95" customHeight="1" x14ac:dyDescent="0.25">
      <c r="A57" s="41" t="s">
        <v>47</v>
      </c>
      <c r="B57" s="42"/>
      <c r="C57" s="43">
        <f>SUM(C54:C56)</f>
        <v>43740</v>
      </c>
      <c r="D57" s="43">
        <f>SUM(D54:D56)</f>
        <v>40945</v>
      </c>
      <c r="E57" s="52">
        <f>SUM(E54:E56)</f>
        <v>125</v>
      </c>
      <c r="F57" s="43"/>
    </row>
    <row r="58" spans="1:9" ht="21.95" customHeight="1" x14ac:dyDescent="0.25">
      <c r="C58" s="55">
        <f>C45+C49+C53+C57</f>
        <v>205740</v>
      </c>
      <c r="D58" s="55">
        <f>D45+D49+D53+D57</f>
        <v>205106</v>
      </c>
      <c r="E58" s="55">
        <f>SUM(E45+E49+E53+E57)</f>
        <v>634</v>
      </c>
      <c r="F58" s="55">
        <f>C58-D58</f>
        <v>634</v>
      </c>
    </row>
    <row r="59" spans="1:9" ht="21.95" customHeight="1" x14ac:dyDescent="0.25">
      <c r="C59" s="55"/>
      <c r="D59" s="55"/>
      <c r="E59" s="55"/>
      <c r="F59" s="55"/>
      <c r="H59" s="54"/>
    </row>
    <row r="60" spans="1:9" ht="21.95" customHeight="1" x14ac:dyDescent="0.25">
      <c r="A60" s="40" t="s">
        <v>48</v>
      </c>
      <c r="C60" s="44" t="s">
        <v>49</v>
      </c>
    </row>
    <row r="61" spans="1:9" ht="21.95" customHeight="1" x14ac:dyDescent="0.25">
      <c r="C61" s="44" t="s">
        <v>57</v>
      </c>
    </row>
    <row r="62" spans="1:9" ht="21.95" customHeight="1" x14ac:dyDescent="0.25">
      <c r="C62" s="44" t="s">
        <v>50</v>
      </c>
    </row>
    <row r="63" spans="1:9" ht="21.95" customHeight="1" x14ac:dyDescent="0.25">
      <c r="C63" s="45" t="s">
        <v>51</v>
      </c>
    </row>
  </sheetData>
  <mergeCells count="6">
    <mergeCell ref="A3:F3"/>
    <mergeCell ref="A7:B7"/>
    <mergeCell ref="A36:F36"/>
    <mergeCell ref="A40:B40"/>
    <mergeCell ref="A4:F4"/>
    <mergeCell ref="A37:F3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46" workbookViewId="0">
      <selection activeCell="D53" sqref="D53"/>
    </sheetView>
  </sheetViews>
  <sheetFormatPr defaultRowHeight="18" customHeight="1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8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8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8" customHeight="1" x14ac:dyDescent="0.25">
      <c r="E3" s="108" t="s">
        <v>53</v>
      </c>
      <c r="F3" s="108"/>
    </row>
    <row r="4" spans="1:6" ht="18" customHeight="1" x14ac:dyDescent="0.25">
      <c r="E4" s="108" t="s">
        <v>3</v>
      </c>
      <c r="F4" s="108"/>
    </row>
    <row r="5" spans="1:6" ht="18" customHeight="1" x14ac:dyDescent="0.25">
      <c r="A5" s="109" t="s">
        <v>4</v>
      </c>
      <c r="B5" s="109"/>
      <c r="C5" s="109"/>
      <c r="D5" s="109"/>
      <c r="E5" s="109"/>
      <c r="F5" s="109"/>
    </row>
    <row r="6" spans="1:6" ht="18" customHeight="1" x14ac:dyDescent="0.25">
      <c r="A6" s="102" t="s">
        <v>96</v>
      </c>
      <c r="B6" s="102"/>
      <c r="C6" s="102"/>
      <c r="D6" s="102"/>
      <c r="E6" s="102"/>
      <c r="F6" s="102"/>
    </row>
    <row r="7" spans="1:6" ht="18" customHeight="1" x14ac:dyDescent="0.25">
      <c r="B7" s="1" t="s">
        <v>90</v>
      </c>
      <c r="C7" s="56" t="s">
        <v>86</v>
      </c>
    </row>
    <row r="8" spans="1:6" ht="18" customHeight="1" x14ac:dyDescent="0.25">
      <c r="B8" s="3" t="s">
        <v>55</v>
      </c>
      <c r="C8" s="4"/>
      <c r="D8" s="4"/>
      <c r="E8" s="57"/>
      <c r="F8" s="4"/>
    </row>
    <row r="9" spans="1:6" ht="18" customHeight="1" x14ac:dyDescent="0.25">
      <c r="B9" s="3" t="s">
        <v>56</v>
      </c>
      <c r="C9" s="4"/>
      <c r="D9" s="4"/>
      <c r="E9" s="67">
        <v>11213</v>
      </c>
      <c r="F9" s="4"/>
    </row>
    <row r="10" spans="1:6" ht="18" customHeight="1" x14ac:dyDescent="0.25">
      <c r="B10" s="3" t="s">
        <v>54</v>
      </c>
      <c r="C10" s="4"/>
      <c r="D10" s="4"/>
      <c r="E10" s="4"/>
      <c r="F10" s="4"/>
    </row>
    <row r="12" spans="1:6" ht="29.2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ht="32.25" customHeight="1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ht="18" customHeight="1" x14ac:dyDescent="0.25">
      <c r="A14" s="6" t="s">
        <v>12</v>
      </c>
      <c r="B14" s="7"/>
      <c r="C14" s="7"/>
      <c r="D14" s="7"/>
      <c r="E14" s="7"/>
      <c r="F14" s="7"/>
    </row>
    <row r="15" spans="1:6" ht="18" customHeight="1" x14ac:dyDescent="0.25">
      <c r="A15" s="16"/>
      <c r="B15" s="17"/>
      <c r="C15" s="17"/>
      <c r="D15" s="17"/>
      <c r="E15" s="17"/>
      <c r="F15" s="17"/>
    </row>
    <row r="16" spans="1:6" ht="18" customHeight="1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119.86087576919647</v>
      </c>
    </row>
    <row r="17" spans="1:6" ht="18" customHeight="1" x14ac:dyDescent="0.25">
      <c r="A17" s="8"/>
      <c r="B17" s="9"/>
      <c r="C17" s="9"/>
      <c r="D17" s="9"/>
      <c r="E17" s="9"/>
      <c r="F17" s="9"/>
    </row>
    <row r="18" spans="1:6" ht="18" customHeight="1" x14ac:dyDescent="0.25">
      <c r="A18" s="8" t="s">
        <v>14</v>
      </c>
      <c r="B18" s="9"/>
      <c r="C18" s="9"/>
      <c r="D18" s="9"/>
      <c r="E18" s="10"/>
      <c r="F18" s="10"/>
    </row>
    <row r="19" spans="1:6" ht="18" customHeight="1" x14ac:dyDescent="0.25">
      <c r="A19" s="18"/>
      <c r="B19" s="19"/>
      <c r="C19" s="19"/>
      <c r="D19" s="19"/>
      <c r="E19" s="20"/>
      <c r="F19" s="20"/>
    </row>
    <row r="20" spans="1:6" ht="18" customHeight="1" x14ac:dyDescent="0.25">
      <c r="A20" s="8" t="s">
        <v>0</v>
      </c>
      <c r="B20" s="9"/>
      <c r="C20" s="9"/>
      <c r="D20" s="9"/>
      <c r="E20" s="9"/>
      <c r="F20" s="9"/>
    </row>
    <row r="21" spans="1:6" ht="18" customHeight="1" x14ac:dyDescent="0.25">
      <c r="A21" s="23" t="s">
        <v>89</v>
      </c>
      <c r="B21" s="24"/>
      <c r="C21" s="24">
        <f>12823592+(B21/12)</f>
        <v>12823592</v>
      </c>
      <c r="D21" s="24">
        <f>B21-(B21/12)</f>
        <v>0</v>
      </c>
      <c r="E21" s="24">
        <f>B21+C21-D21</f>
        <v>12823592</v>
      </c>
      <c r="F21" s="24">
        <f>E21/E9</f>
        <v>1143.6361366271292</v>
      </c>
    </row>
    <row r="22" spans="1:6" ht="18" customHeight="1" x14ac:dyDescent="0.25">
      <c r="A22" s="21"/>
      <c r="B22" s="22"/>
      <c r="C22" s="22"/>
      <c r="D22" s="22"/>
      <c r="E22" s="22"/>
      <c r="F22" s="22"/>
    </row>
    <row r="23" spans="1:6" ht="18" customHeight="1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1263.4970123963258</v>
      </c>
    </row>
    <row r="25" spans="1:6" ht="18" customHeight="1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ht="18" customHeight="1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ht="18" customHeight="1" x14ac:dyDescent="0.25">
      <c r="A27" s="15"/>
      <c r="B27" s="15"/>
      <c r="C27" s="15"/>
      <c r="D27" s="15"/>
      <c r="E27" s="15"/>
      <c r="F27" s="15"/>
    </row>
    <row r="28" spans="1:6" ht="18" customHeight="1" x14ac:dyDescent="0.25">
      <c r="A28" s="1" t="str">
        <f>A1</f>
        <v>Công ty TNHH Thuận An</v>
      </c>
      <c r="E28" s="107" t="s">
        <v>1</v>
      </c>
      <c r="F28" s="107"/>
    </row>
    <row r="29" spans="1:6" ht="18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8" customHeight="1" x14ac:dyDescent="0.25">
      <c r="E30" s="108" t="s">
        <v>53</v>
      </c>
      <c r="F30" s="108"/>
    </row>
    <row r="31" spans="1:6" ht="18" customHeight="1" x14ac:dyDescent="0.25">
      <c r="E31" s="108" t="s">
        <v>3</v>
      </c>
      <c r="F31" s="108"/>
    </row>
    <row r="32" spans="1:6" ht="18" customHeight="1" x14ac:dyDescent="0.25">
      <c r="A32" s="109" t="s">
        <v>4</v>
      </c>
      <c r="B32" s="109"/>
      <c r="C32" s="109"/>
      <c r="D32" s="109"/>
      <c r="E32" s="109"/>
      <c r="F32" s="109"/>
    </row>
    <row r="33" spans="1:6" ht="18" customHeight="1" x14ac:dyDescent="0.25">
      <c r="A33" s="102" t="s">
        <v>96</v>
      </c>
      <c r="B33" s="102"/>
      <c r="C33" s="102"/>
      <c r="D33" s="102"/>
      <c r="E33" s="102"/>
      <c r="F33" s="102"/>
    </row>
    <row r="34" spans="1:6" ht="18" customHeight="1" x14ac:dyDescent="0.25">
      <c r="B34" s="1" t="s">
        <v>90</v>
      </c>
      <c r="C34" s="56" t="s">
        <v>87</v>
      </c>
    </row>
    <row r="35" spans="1:6" ht="18" customHeight="1" x14ac:dyDescent="0.25">
      <c r="B35" s="3" t="s">
        <v>55</v>
      </c>
      <c r="C35" s="4"/>
      <c r="D35" s="4"/>
      <c r="E35" s="57"/>
      <c r="F35" s="4"/>
    </row>
    <row r="36" spans="1:6" ht="18" customHeight="1" x14ac:dyDescent="0.25">
      <c r="B36" s="3" t="s">
        <v>56</v>
      </c>
      <c r="C36" s="4"/>
      <c r="D36" s="4"/>
      <c r="E36" s="67">
        <v>18500</v>
      </c>
      <c r="F36" s="4"/>
    </row>
    <row r="37" spans="1:6" ht="18" customHeight="1" x14ac:dyDescent="0.25">
      <c r="B37" s="3" t="s">
        <v>54</v>
      </c>
      <c r="C37" s="4"/>
      <c r="D37" s="4"/>
      <c r="E37" s="4"/>
      <c r="F37" s="4"/>
    </row>
    <row r="39" spans="1:6" ht="30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ht="24.75" customHeight="1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ht="18" customHeight="1" x14ac:dyDescent="0.25">
      <c r="A41" s="6" t="s">
        <v>12</v>
      </c>
      <c r="B41" s="7"/>
      <c r="C41" s="7"/>
      <c r="D41" s="7"/>
      <c r="E41" s="7"/>
      <c r="F41" s="7"/>
    </row>
    <row r="42" spans="1:6" ht="18" customHeight="1" x14ac:dyDescent="0.25">
      <c r="A42" s="16"/>
      <c r="B42" s="17"/>
      <c r="C42" s="17"/>
      <c r="D42" s="17"/>
      <c r="E42" s="17"/>
      <c r="F42" s="17"/>
    </row>
    <row r="43" spans="1:6" ht="18" customHeight="1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134.91891891891891</v>
      </c>
    </row>
    <row r="44" spans="1:6" ht="18" customHeight="1" x14ac:dyDescent="0.25">
      <c r="A44" s="8"/>
      <c r="B44" s="9"/>
      <c r="C44" s="9"/>
      <c r="D44" s="9"/>
      <c r="E44" s="9"/>
      <c r="F44" s="9"/>
    </row>
    <row r="45" spans="1:6" ht="18" customHeight="1" x14ac:dyDescent="0.25">
      <c r="A45" s="8" t="s">
        <v>14</v>
      </c>
      <c r="B45" s="9"/>
      <c r="C45" s="9"/>
      <c r="D45" s="9"/>
      <c r="E45" s="10"/>
      <c r="F45" s="10"/>
    </row>
    <row r="46" spans="1:6" ht="18" customHeight="1" x14ac:dyDescent="0.25">
      <c r="A46" s="18"/>
      <c r="B46" s="19"/>
      <c r="C46" s="19"/>
      <c r="D46" s="19"/>
      <c r="E46" s="20"/>
      <c r="F46" s="20"/>
    </row>
    <row r="47" spans="1:6" ht="18" customHeight="1" x14ac:dyDescent="0.25">
      <c r="A47" s="8" t="s">
        <v>0</v>
      </c>
      <c r="B47" s="9"/>
      <c r="C47" s="9"/>
      <c r="D47" s="9"/>
      <c r="E47" s="9"/>
      <c r="F47" s="9"/>
    </row>
    <row r="48" spans="1:6" ht="18" customHeight="1" x14ac:dyDescent="0.25">
      <c r="A48" s="23" t="s">
        <v>89</v>
      </c>
      <c r="B48" s="24"/>
      <c r="C48" s="24">
        <f>17159650+(B48/12)</f>
        <v>17159650</v>
      </c>
      <c r="D48" s="24">
        <f>B48-(B48/12)*3</f>
        <v>0</v>
      </c>
      <c r="E48" s="24">
        <f>B48+C48-D48</f>
        <v>17159650</v>
      </c>
      <c r="F48" s="24">
        <f>E48/E36</f>
        <v>927.54864864864862</v>
      </c>
    </row>
    <row r="49" spans="1:6" ht="18" customHeight="1" x14ac:dyDescent="0.25">
      <c r="A49" s="21" t="s">
        <v>91</v>
      </c>
      <c r="B49" s="22"/>
      <c r="C49" s="22">
        <f>(0*1)+(B49/12)*1</f>
        <v>0</v>
      </c>
      <c r="D49" s="22"/>
      <c r="E49" s="24">
        <f>B49+C49-D49</f>
        <v>0</v>
      </c>
      <c r="F49" s="24">
        <f>E49/E36</f>
        <v>0</v>
      </c>
    </row>
    <row r="50" spans="1:6" ht="18" customHeight="1" x14ac:dyDescent="0.25">
      <c r="A50" s="5" t="s">
        <v>15</v>
      </c>
      <c r="B50" s="64">
        <f>B48+B49</f>
        <v>0</v>
      </c>
      <c r="C50" s="64">
        <f>C48+C49</f>
        <v>17159650</v>
      </c>
      <c r="D50" s="64">
        <f>D48+D49</f>
        <v>0</v>
      </c>
      <c r="E50" s="64">
        <f>E48+E49</f>
        <v>17159650</v>
      </c>
      <c r="F50" s="64">
        <f>F43+F48+F49</f>
        <v>1062.4675675675676</v>
      </c>
    </row>
    <row r="51" spans="1:6" ht="18" customHeight="1" x14ac:dyDescent="0.25">
      <c r="A51" s="11"/>
      <c r="B51" s="12"/>
      <c r="C51" s="13"/>
      <c r="D51" s="13"/>
      <c r="E51" s="13"/>
      <c r="F51" s="13"/>
    </row>
    <row r="52" spans="1:6" ht="18" customHeight="1" x14ac:dyDescent="0.25">
      <c r="A52" s="14" t="s">
        <v>16</v>
      </c>
      <c r="B52" s="14"/>
      <c r="C52" s="14" t="s">
        <v>17</v>
      </c>
      <c r="D52" s="14"/>
      <c r="E52" s="14" t="s">
        <v>18</v>
      </c>
      <c r="F52" s="14"/>
    </row>
    <row r="53" spans="1:6" ht="18" customHeight="1" x14ac:dyDescent="0.25">
      <c r="A53" s="15" t="s">
        <v>19</v>
      </c>
      <c r="B53" s="15"/>
      <c r="C53" s="15" t="s">
        <v>19</v>
      </c>
      <c r="D53" s="15"/>
      <c r="E53" s="15" t="s">
        <v>20</v>
      </c>
      <c r="F53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37" workbookViewId="0">
      <selection activeCell="D49" sqref="D49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107" t="s">
        <v>1</v>
      </c>
      <c r="F1" s="107"/>
    </row>
    <row r="2" spans="1:6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97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11393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117.96717282541911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1125.5676292460282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1243.5348020714473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x14ac:dyDescent="0.25">
      <c r="A28" s="1" t="str">
        <f>A1</f>
        <v>Công ty TNHH Thuận An</v>
      </c>
      <c r="E28" s="107" t="s">
        <v>1</v>
      </c>
      <c r="F28" s="107"/>
    </row>
    <row r="29" spans="1:6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97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19000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131.36842105263159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9"/>
      <c r="D47" s="9"/>
      <c r="E47" s="9"/>
      <c r="F47" s="9"/>
    </row>
    <row r="48" spans="1:6" x14ac:dyDescent="0.25">
      <c r="A48" s="23" t="s">
        <v>89</v>
      </c>
      <c r="B48" s="24"/>
      <c r="C48" s="24">
        <f>17159650+(B48/12)</f>
        <v>17159650</v>
      </c>
      <c r="D48" s="24">
        <f>B48-(B48/12)*3</f>
        <v>0</v>
      </c>
      <c r="E48" s="24">
        <f>B48+C48-D48</f>
        <v>17159650</v>
      </c>
      <c r="F48" s="24">
        <f>E48/E36</f>
        <v>903.13947368421054</v>
      </c>
    </row>
    <row r="49" spans="1:6" x14ac:dyDescent="0.25">
      <c r="A49" s="21" t="s">
        <v>91</v>
      </c>
      <c r="B49" s="22"/>
      <c r="C49" s="22">
        <f>(0*1)+(B49/12)*1</f>
        <v>0</v>
      </c>
      <c r="D49" s="22"/>
      <c r="E49" s="24">
        <f>B49+C49-D49</f>
        <v>0</v>
      </c>
      <c r="F49" s="24">
        <f>E49/E36</f>
        <v>0</v>
      </c>
    </row>
    <row r="50" spans="1:6" x14ac:dyDescent="0.25">
      <c r="A50" s="5" t="s">
        <v>15</v>
      </c>
      <c r="B50" s="64">
        <f>B48+B49</f>
        <v>0</v>
      </c>
      <c r="C50" s="64">
        <f>C48+C49</f>
        <v>17159650</v>
      </c>
      <c r="D50" s="64">
        <f>D48+D49</f>
        <v>0</v>
      </c>
      <c r="E50" s="64">
        <f>E48+E49</f>
        <v>17159650</v>
      </c>
      <c r="F50" s="64">
        <f>F43+F48+F49</f>
        <v>1034.5078947368422</v>
      </c>
    </row>
    <row r="51" spans="1:6" x14ac:dyDescent="0.25">
      <c r="A51" s="11"/>
      <c r="B51" s="12"/>
      <c r="C51" s="13"/>
      <c r="D51" s="13"/>
      <c r="E51" s="13"/>
      <c r="F51" s="13"/>
    </row>
    <row r="52" spans="1:6" x14ac:dyDescent="0.25">
      <c r="A52" s="14" t="s">
        <v>16</v>
      </c>
      <c r="B52" s="14"/>
      <c r="C52" s="14" t="s">
        <v>17</v>
      </c>
      <c r="D52" s="14"/>
      <c r="E52" s="14" t="s">
        <v>18</v>
      </c>
      <c r="F52" s="14"/>
    </row>
    <row r="53" spans="1:6" x14ac:dyDescent="0.25">
      <c r="A53" s="15" t="s">
        <v>19</v>
      </c>
      <c r="B53" s="15"/>
      <c r="C53" s="15" t="s">
        <v>19</v>
      </c>
      <c r="D53" s="15"/>
      <c r="E53" s="15" t="s">
        <v>20</v>
      </c>
      <c r="F53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1" workbookViewId="0">
      <selection activeCell="E44" sqref="E44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107" t="s">
        <v>1</v>
      </c>
      <c r="F1" s="107"/>
    </row>
    <row r="2" spans="1:6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99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12848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104.60772104607722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998.10024906600245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SUM(F16+F21)</f>
        <v>1102.7079701120797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x14ac:dyDescent="0.25">
      <c r="A28" s="1" t="str">
        <f>A1</f>
        <v>Công ty TNHH Thuận An</v>
      </c>
      <c r="E28" s="107" t="s">
        <v>1</v>
      </c>
      <c r="F28" s="107"/>
    </row>
    <row r="29" spans="1:6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99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17000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146.8235294117647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9"/>
      <c r="D47" s="9"/>
      <c r="E47" s="9"/>
      <c r="F47" s="9"/>
    </row>
    <row r="48" spans="1:6" x14ac:dyDescent="0.25">
      <c r="A48" s="79" t="s">
        <v>89</v>
      </c>
      <c r="B48" s="9"/>
      <c r="C48" s="9">
        <f>17159650+(B48/12)</f>
        <v>17159650</v>
      </c>
      <c r="D48" s="80">
        <f>B48-(B48/12)*3</f>
        <v>0</v>
      </c>
      <c r="E48" s="9">
        <f>B48+C48-D48</f>
        <v>17159650</v>
      </c>
      <c r="F48" s="80">
        <f>E48/E36</f>
        <v>1009.3911764705882</v>
      </c>
    </row>
    <row r="49" spans="1:6" x14ac:dyDescent="0.25">
      <c r="A49" s="79" t="s">
        <v>91</v>
      </c>
      <c r="B49" s="9"/>
      <c r="C49" s="9">
        <f>825978+(B49/12)</f>
        <v>825978</v>
      </c>
      <c r="D49" s="80"/>
      <c r="E49" s="9">
        <f>B49+C49-D49</f>
        <v>825978</v>
      </c>
      <c r="F49" s="80">
        <f>E49/E36</f>
        <v>48.586941176470589</v>
      </c>
    </row>
    <row r="50" spans="1:6" x14ac:dyDescent="0.25">
      <c r="A50" s="81"/>
      <c r="B50" s="82"/>
      <c r="C50" s="82"/>
      <c r="D50" s="83"/>
      <c r="E50" s="82"/>
      <c r="F50" s="83"/>
    </row>
    <row r="51" spans="1:6" x14ac:dyDescent="0.25">
      <c r="A51" s="77" t="s">
        <v>15</v>
      </c>
      <c r="B51" s="78">
        <f>B48+B49</f>
        <v>0</v>
      </c>
      <c r="C51" s="78">
        <f>C48+C49</f>
        <v>17985628</v>
      </c>
      <c r="D51" s="78">
        <f>D48+D49</f>
        <v>0</v>
      </c>
      <c r="E51" s="78">
        <f>E48+E49</f>
        <v>17985628</v>
      </c>
      <c r="F51" s="78">
        <f>F43+F48+F49</f>
        <v>1204.8016470588236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B52" sqref="B52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100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8973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ht="15.75" customHeight="1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149.78268137746574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1429.1309484007579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1578.9136297782236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100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10230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ht="15.75" customHeight="1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243.98826979472142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1677.3851417399806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80.740762463343103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F43+F48+F49+F50</f>
        <v>2002.1141739980451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1:F1"/>
    <mergeCell ref="E2:F2"/>
    <mergeCell ref="E3:F3"/>
    <mergeCell ref="E4:F4"/>
    <mergeCell ref="A6:F6"/>
    <mergeCell ref="A5:F5"/>
    <mergeCell ref="E12:F12"/>
    <mergeCell ref="A32:F32"/>
    <mergeCell ref="A39:A40"/>
    <mergeCell ref="B39:B40"/>
    <mergeCell ref="C39:C40"/>
    <mergeCell ref="D39:D40"/>
    <mergeCell ref="E39:F39"/>
    <mergeCell ref="E29:F29"/>
    <mergeCell ref="E30:F30"/>
    <mergeCell ref="E31:F31"/>
    <mergeCell ref="A33:F33"/>
    <mergeCell ref="E28:F28"/>
    <mergeCell ref="A12:A13"/>
    <mergeCell ref="B12:B13"/>
    <mergeCell ref="C12:C13"/>
    <mergeCell ref="D12:D13"/>
  </mergeCells>
  <pageMargins left="0.25" right="0.25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C45" sqref="C45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101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7781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172.72844107441202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1648.0647731654028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1820.7932142398149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104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17440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143.11926605504587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983.92488532110087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47.361123853211012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1174.4052752293578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G47" sqref="G47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102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8034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167.2890216579537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1596.1652974856859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1763.4543191436396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103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17520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142.46575342465752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979.43207762557074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47.144863013698632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1169.0426940639268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A43" sqref="A43:F43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105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7255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185.25155065472089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1767.5523087525844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1952.8038594073053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106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15640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159.59079283887468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1097.1643222506393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52.811892583120205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1309.5670076726342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A43" sqref="A43:F43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107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8271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162.49546608632571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1550.4282432595817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1712.9237093459074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108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18060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138.20598006644519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950.14673311184936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45.735215946843851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1134.0879291251385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A43" sqref="A43:F43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109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7105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189.16256157635468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1804.8686840253342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1994.0312456016889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110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14610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170.84188911704311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1174.514031485284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56.535112936344966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1401.8910335386722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A43" sqref="A43:F43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ht="15.75" customHeight="1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111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7286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184.46335437825968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1760.0318418885533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1944.4951962668131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ht="15.75" customHeight="1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112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15080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165.51724137931035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1137.9078249336869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54.773076923076921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1358.1981432360742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A43" sqref="A43:F43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113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6744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199.28825622775801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1901.4816132858837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2100.7698695136419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114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13280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187.95180722891567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1292.1423192771085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62.19713855421687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1542.2912650602411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7" workbookViewId="0">
      <selection activeCell="D41" sqref="D41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7" t="s">
        <v>1</v>
      </c>
      <c r="F1" s="107"/>
    </row>
    <row r="2" spans="1:6" ht="15.75" customHeight="1" x14ac:dyDescent="0.25">
      <c r="A2" s="1" t="str">
        <f>'THONG TIN'!C4</f>
        <v>Ấp Chồng Nô 3, Xã Hòa Tân, Huyện Cầu Kè, Tỉnh Trà Vinh</v>
      </c>
      <c r="E2" s="108" t="s">
        <v>2</v>
      </c>
      <c r="F2" s="108"/>
    </row>
    <row r="3" spans="1:6" ht="15.75" customHeight="1" x14ac:dyDescent="0.25">
      <c r="E3" s="108" t="s">
        <v>53</v>
      </c>
      <c r="F3" s="108"/>
    </row>
    <row r="4" spans="1:6" x14ac:dyDescent="0.25">
      <c r="E4" s="108" t="s">
        <v>3</v>
      </c>
      <c r="F4" s="108"/>
    </row>
    <row r="5" spans="1:6" ht="18" x14ac:dyDescent="0.25">
      <c r="A5" s="109" t="s">
        <v>4</v>
      </c>
      <c r="B5" s="109"/>
      <c r="C5" s="109"/>
      <c r="D5" s="109"/>
      <c r="E5" s="109"/>
      <c r="F5" s="109"/>
    </row>
    <row r="6" spans="1:6" x14ac:dyDescent="0.25">
      <c r="A6" s="102" t="s">
        <v>115</v>
      </c>
      <c r="B6" s="102"/>
      <c r="C6" s="102"/>
      <c r="D6" s="102"/>
      <c r="E6" s="102"/>
      <c r="F6" s="102"/>
    </row>
    <row r="7" spans="1:6" x14ac:dyDescent="0.25">
      <c r="B7" s="1" t="s">
        <v>90</v>
      </c>
      <c r="C7" s="56" t="s">
        <v>86</v>
      </c>
    </row>
    <row r="8" spans="1:6" x14ac:dyDescent="0.25">
      <c r="B8" s="3" t="s">
        <v>55</v>
      </c>
      <c r="C8" s="4"/>
      <c r="D8" s="4"/>
      <c r="E8" s="57"/>
      <c r="F8" s="4"/>
    </row>
    <row r="9" spans="1:6" x14ac:dyDescent="0.25">
      <c r="B9" s="3" t="s">
        <v>56</v>
      </c>
      <c r="C9" s="4"/>
      <c r="D9" s="4"/>
      <c r="E9" s="67">
        <v>7621</v>
      </c>
      <c r="F9" s="4"/>
    </row>
    <row r="10" spans="1:6" x14ac:dyDescent="0.25">
      <c r="B10" s="3" t="s">
        <v>54</v>
      </c>
      <c r="C10" s="4"/>
      <c r="D10" s="4"/>
      <c r="E10" s="4"/>
      <c r="F10" s="4"/>
    </row>
    <row r="12" spans="1:6" ht="15.75" customHeight="1" x14ac:dyDescent="0.25">
      <c r="A12" s="103" t="s">
        <v>5</v>
      </c>
      <c r="B12" s="103" t="s">
        <v>6</v>
      </c>
      <c r="C12" s="103" t="s">
        <v>7</v>
      </c>
      <c r="D12" s="103" t="s">
        <v>8</v>
      </c>
      <c r="E12" s="105" t="s">
        <v>9</v>
      </c>
      <c r="F12" s="106"/>
    </row>
    <row r="13" spans="1:6" x14ac:dyDescent="0.25">
      <c r="A13" s="104"/>
      <c r="B13" s="104"/>
      <c r="C13" s="104"/>
      <c r="D13" s="104"/>
      <c r="E13" s="5" t="s">
        <v>10</v>
      </c>
      <c r="F13" s="5" t="s">
        <v>11</v>
      </c>
    </row>
    <row r="14" spans="1:6" x14ac:dyDescent="0.25">
      <c r="A14" s="6" t="s">
        <v>12</v>
      </c>
      <c r="B14" s="7"/>
      <c r="C14" s="7"/>
      <c r="D14" s="7"/>
      <c r="E14" s="7"/>
      <c r="F14" s="7"/>
    </row>
    <row r="15" spans="1:6" x14ac:dyDescent="0.25">
      <c r="A15" s="16"/>
      <c r="B15" s="17"/>
      <c r="C15" s="17"/>
      <c r="D15" s="17"/>
      <c r="E15" s="17"/>
      <c r="F15" s="17"/>
    </row>
    <row r="16" spans="1:6" x14ac:dyDescent="0.25">
      <c r="A16" s="8" t="s">
        <v>13</v>
      </c>
      <c r="B16" s="9"/>
      <c r="C16" s="9">
        <f>16128000/12</f>
        <v>1344000</v>
      </c>
      <c r="D16" s="9"/>
      <c r="E16" s="9">
        <f>C16</f>
        <v>1344000</v>
      </c>
      <c r="F16" s="9">
        <f>E16/E9</f>
        <v>176.3548090801732</v>
      </c>
    </row>
    <row r="17" spans="1:6" x14ac:dyDescent="0.25">
      <c r="A17" s="8"/>
      <c r="B17" s="9"/>
      <c r="C17" s="9"/>
      <c r="D17" s="9"/>
      <c r="E17" s="9"/>
      <c r="F17" s="9"/>
    </row>
    <row r="18" spans="1:6" x14ac:dyDescent="0.25">
      <c r="A18" s="8" t="s">
        <v>14</v>
      </c>
      <c r="B18" s="9"/>
      <c r="C18" s="9"/>
      <c r="D18" s="9"/>
      <c r="E18" s="10"/>
      <c r="F18" s="10"/>
    </row>
    <row r="19" spans="1:6" x14ac:dyDescent="0.25">
      <c r="A19" s="18"/>
      <c r="B19" s="19"/>
      <c r="C19" s="19"/>
      <c r="D19" s="19"/>
      <c r="E19" s="20"/>
      <c r="F19" s="20"/>
    </row>
    <row r="20" spans="1:6" x14ac:dyDescent="0.25">
      <c r="A20" s="8" t="s">
        <v>0</v>
      </c>
      <c r="B20" s="9"/>
      <c r="C20" s="9"/>
      <c r="D20" s="9"/>
      <c r="E20" s="9"/>
      <c r="F20" s="9"/>
    </row>
    <row r="21" spans="1:6" x14ac:dyDescent="0.25">
      <c r="A21" s="23" t="s">
        <v>89</v>
      </c>
      <c r="B21" s="24"/>
      <c r="C21" s="24">
        <f>12823592+(B21/12)</f>
        <v>12823592</v>
      </c>
      <c r="D21" s="24">
        <f>B21-(B21/12)*3</f>
        <v>0</v>
      </c>
      <c r="E21" s="24">
        <f>B21+C21-D21</f>
        <v>12823592</v>
      </c>
      <c r="F21" s="24">
        <f>E21/E9</f>
        <v>1682.6652670253247</v>
      </c>
    </row>
    <row r="22" spans="1:6" x14ac:dyDescent="0.25">
      <c r="A22" s="21"/>
      <c r="B22" s="22"/>
      <c r="C22" s="22"/>
      <c r="D22" s="22"/>
      <c r="E22" s="22"/>
      <c r="F22" s="22"/>
    </row>
    <row r="23" spans="1:6" x14ac:dyDescent="0.25">
      <c r="A23" s="63" t="s">
        <v>15</v>
      </c>
      <c r="B23" s="64">
        <f>B21+B22</f>
        <v>0</v>
      </c>
      <c r="C23" s="64">
        <f>C21+C22</f>
        <v>12823592</v>
      </c>
      <c r="D23" s="64">
        <f>D21+D22</f>
        <v>0</v>
      </c>
      <c r="E23" s="64">
        <f>E21+E22</f>
        <v>12823592</v>
      </c>
      <c r="F23" s="64">
        <f>F16+F21</f>
        <v>1859.020076105498</v>
      </c>
    </row>
    <row r="25" spans="1:6" x14ac:dyDescent="0.25">
      <c r="A25" s="14" t="s">
        <v>16</v>
      </c>
      <c r="B25" s="14"/>
      <c r="C25" s="14" t="s">
        <v>17</v>
      </c>
      <c r="D25" s="14"/>
      <c r="E25" s="14" t="s">
        <v>18</v>
      </c>
      <c r="F25" s="14"/>
    </row>
    <row r="26" spans="1:6" x14ac:dyDescent="0.25">
      <c r="A26" s="15" t="s">
        <v>19</v>
      </c>
      <c r="B26" s="15"/>
      <c r="C26" s="15" t="s">
        <v>19</v>
      </c>
      <c r="D26" s="15"/>
      <c r="E26" s="15" t="s">
        <v>20</v>
      </c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ht="15.75" customHeight="1" x14ac:dyDescent="0.25">
      <c r="A28" s="1" t="str">
        <f>A1</f>
        <v>Công ty TNHH Thuận An</v>
      </c>
      <c r="E28" s="107" t="s">
        <v>1</v>
      </c>
      <c r="F28" s="107"/>
    </row>
    <row r="29" spans="1:6" ht="15.75" customHeight="1" x14ac:dyDescent="0.25">
      <c r="A29" s="1" t="str">
        <f>A2</f>
        <v>Ấp Chồng Nô 3, Xã Hòa Tân, Huyện Cầu Kè, Tỉnh Trà Vinh</v>
      </c>
      <c r="E29" s="108" t="s">
        <v>2</v>
      </c>
      <c r="F29" s="108"/>
    </row>
    <row r="30" spans="1:6" ht="15.75" customHeight="1" x14ac:dyDescent="0.25">
      <c r="E30" s="108" t="s">
        <v>53</v>
      </c>
      <c r="F30" s="108"/>
    </row>
    <row r="31" spans="1:6" x14ac:dyDescent="0.25">
      <c r="E31" s="108" t="s">
        <v>3</v>
      </c>
      <c r="F31" s="108"/>
    </row>
    <row r="32" spans="1:6" ht="18" x14ac:dyDescent="0.25">
      <c r="A32" s="109" t="s">
        <v>4</v>
      </c>
      <c r="B32" s="109"/>
      <c r="C32" s="109"/>
      <c r="D32" s="109"/>
      <c r="E32" s="109"/>
      <c r="F32" s="109"/>
    </row>
    <row r="33" spans="1:6" x14ac:dyDescent="0.25">
      <c r="A33" s="102" t="s">
        <v>116</v>
      </c>
      <c r="B33" s="102"/>
      <c r="C33" s="102"/>
      <c r="D33" s="102"/>
      <c r="E33" s="102"/>
      <c r="F33" s="102"/>
    </row>
    <row r="34" spans="1:6" x14ac:dyDescent="0.25">
      <c r="B34" s="1" t="s">
        <v>90</v>
      </c>
      <c r="C34" s="56" t="s">
        <v>87</v>
      </c>
    </row>
    <row r="35" spans="1:6" x14ac:dyDescent="0.25">
      <c r="B35" s="3" t="s">
        <v>55</v>
      </c>
      <c r="C35" s="4"/>
      <c r="D35" s="4"/>
      <c r="E35" s="57"/>
      <c r="F35" s="4"/>
    </row>
    <row r="36" spans="1:6" x14ac:dyDescent="0.25">
      <c r="B36" s="3" t="s">
        <v>56</v>
      </c>
      <c r="C36" s="4"/>
      <c r="D36" s="4"/>
      <c r="E36" s="67">
        <v>15380</v>
      </c>
      <c r="F36" s="4"/>
    </row>
    <row r="37" spans="1:6" x14ac:dyDescent="0.25">
      <c r="B37" s="3" t="s">
        <v>54</v>
      </c>
      <c r="C37" s="4"/>
      <c r="D37" s="4"/>
      <c r="E37" s="4"/>
      <c r="F37" s="4"/>
    </row>
    <row r="39" spans="1:6" ht="15.75" customHeight="1" x14ac:dyDescent="0.25">
      <c r="A39" s="103" t="s">
        <v>5</v>
      </c>
      <c r="B39" s="103" t="s">
        <v>6</v>
      </c>
      <c r="C39" s="103" t="s">
        <v>7</v>
      </c>
      <c r="D39" s="103" t="s">
        <v>8</v>
      </c>
      <c r="E39" s="105" t="s">
        <v>9</v>
      </c>
      <c r="F39" s="106"/>
    </row>
    <row r="40" spans="1:6" x14ac:dyDescent="0.25">
      <c r="A40" s="104"/>
      <c r="B40" s="104"/>
      <c r="C40" s="104"/>
      <c r="D40" s="104"/>
      <c r="E40" s="5" t="s">
        <v>10</v>
      </c>
      <c r="F40" s="5" t="s">
        <v>11</v>
      </c>
    </row>
    <row r="41" spans="1:6" x14ac:dyDescent="0.25">
      <c r="A41" s="6" t="s">
        <v>12</v>
      </c>
      <c r="B41" s="7"/>
      <c r="C41" s="7"/>
      <c r="D41" s="7"/>
      <c r="E41" s="7"/>
      <c r="F41" s="7"/>
    </row>
    <row r="42" spans="1:6" x14ac:dyDescent="0.25">
      <c r="A42" s="16"/>
      <c r="B42" s="17"/>
      <c r="C42" s="17"/>
      <c r="D42" s="17"/>
      <c r="E42" s="17"/>
      <c r="F42" s="17"/>
    </row>
    <row r="43" spans="1:6" x14ac:dyDescent="0.25">
      <c r="A43" s="8" t="s">
        <v>13</v>
      </c>
      <c r="B43" s="9"/>
      <c r="C43" s="9">
        <f>29952000/12</f>
        <v>2496000</v>
      </c>
      <c r="D43" s="9"/>
      <c r="E43" s="9">
        <f>C43</f>
        <v>2496000</v>
      </c>
      <c r="F43" s="9">
        <f>E43/E36</f>
        <v>162.28868660598178</v>
      </c>
    </row>
    <row r="44" spans="1:6" x14ac:dyDescent="0.25">
      <c r="A44" s="8"/>
      <c r="B44" s="9"/>
      <c r="C44" s="9"/>
      <c r="D44" s="9"/>
      <c r="E44" s="9"/>
      <c r="F44" s="9"/>
    </row>
    <row r="45" spans="1:6" x14ac:dyDescent="0.25">
      <c r="A45" s="8" t="s">
        <v>14</v>
      </c>
      <c r="B45" s="9"/>
      <c r="C45" s="9"/>
      <c r="D45" s="9"/>
      <c r="E45" s="10"/>
      <c r="F45" s="10"/>
    </row>
    <row r="46" spans="1:6" x14ac:dyDescent="0.25">
      <c r="A46" s="18"/>
      <c r="B46" s="19"/>
      <c r="C46" s="19"/>
      <c r="D46" s="19"/>
      <c r="E46" s="20"/>
      <c r="F46" s="20"/>
    </row>
    <row r="47" spans="1:6" x14ac:dyDescent="0.25">
      <c r="A47" s="8" t="s">
        <v>0</v>
      </c>
      <c r="B47" s="9"/>
      <c r="C47" s="86"/>
      <c r="D47" s="86"/>
      <c r="E47" s="9"/>
      <c r="F47" s="9"/>
    </row>
    <row r="48" spans="1:6" x14ac:dyDescent="0.25">
      <c r="A48" s="84" t="s">
        <v>89</v>
      </c>
      <c r="B48" s="86"/>
      <c r="C48" s="86">
        <f>17159650+(B48/12)</f>
        <v>17159650</v>
      </c>
      <c r="D48" s="86">
        <f>B48-(B48/12)*3</f>
        <v>0</v>
      </c>
      <c r="E48" s="86">
        <f>B48+C48-D48</f>
        <v>17159650</v>
      </c>
      <c r="F48" s="9">
        <f>E48/E36</f>
        <v>1115.7119635890767</v>
      </c>
    </row>
    <row r="49" spans="1:6" x14ac:dyDescent="0.25">
      <c r="A49" s="84" t="s">
        <v>91</v>
      </c>
      <c r="B49" s="86"/>
      <c r="C49" s="86">
        <f>825978+(B49/12)</f>
        <v>825978</v>
      </c>
      <c r="D49" s="86"/>
      <c r="E49" s="86">
        <f>B49+C49-D49</f>
        <v>825978</v>
      </c>
      <c r="F49" s="9">
        <f>E49/E36</f>
        <v>53.704681404421329</v>
      </c>
    </row>
    <row r="50" spans="1:6" x14ac:dyDescent="0.25">
      <c r="A50" s="85"/>
      <c r="B50" s="87"/>
      <c r="C50" s="87"/>
      <c r="D50" s="87"/>
      <c r="E50" s="87"/>
      <c r="F50" s="82"/>
    </row>
    <row r="51" spans="1:6" x14ac:dyDescent="0.25">
      <c r="A51" s="5" t="s">
        <v>15</v>
      </c>
      <c r="B51" s="64">
        <f>B48+B49</f>
        <v>0</v>
      </c>
      <c r="C51" s="64">
        <f>C48+C49+C50</f>
        <v>17985628</v>
      </c>
      <c r="D51" s="64">
        <f>D48+D49</f>
        <v>0</v>
      </c>
      <c r="E51" s="64">
        <f>E48+E49+E50</f>
        <v>17985628</v>
      </c>
      <c r="F51" s="64">
        <f>F43+F48+F49</f>
        <v>1331.7053315994799</v>
      </c>
    </row>
    <row r="52" spans="1:6" x14ac:dyDescent="0.25">
      <c r="A52" s="11"/>
      <c r="B52" s="12"/>
      <c r="C52" s="13"/>
      <c r="D52" s="13"/>
      <c r="E52" s="13"/>
      <c r="F52" s="13"/>
    </row>
    <row r="53" spans="1:6" x14ac:dyDescent="0.25">
      <c r="A53" s="14" t="s">
        <v>16</v>
      </c>
      <c r="B53" s="14"/>
      <c r="C53" s="14" t="s">
        <v>17</v>
      </c>
      <c r="D53" s="14"/>
      <c r="E53" s="14" t="s">
        <v>18</v>
      </c>
      <c r="F53" s="14"/>
    </row>
    <row r="54" spans="1:6" x14ac:dyDescent="0.25">
      <c r="A54" s="15" t="s">
        <v>19</v>
      </c>
      <c r="B54" s="15"/>
      <c r="C54" s="15" t="s">
        <v>19</v>
      </c>
      <c r="D54" s="15"/>
      <c r="E54" s="15" t="s">
        <v>20</v>
      </c>
      <c r="F54" s="15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THONG TIN</vt:lpstr>
      <vt:lpstr> SL 2020</vt:lpstr>
      <vt:lpstr>11 2020</vt:lpstr>
      <vt:lpstr>12 2020</vt:lpstr>
      <vt:lpstr>SL 2021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YamiViet</cp:lastModifiedBy>
  <cp:lastPrinted>2022-03-13T07:47:02Z</cp:lastPrinted>
  <dcterms:created xsi:type="dcterms:W3CDTF">2016-04-11T03:39:34Z</dcterms:created>
  <dcterms:modified xsi:type="dcterms:W3CDTF">2022-03-22T01:21:21Z</dcterms:modified>
</cp:coreProperties>
</file>