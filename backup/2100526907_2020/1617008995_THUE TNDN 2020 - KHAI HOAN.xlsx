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14" i="1" l="1"/>
  <c r="F7" i="1"/>
  <c r="F12" i="1"/>
  <c r="F9" i="1"/>
  <c r="C9" i="1"/>
  <c r="D12" i="1"/>
  <c r="D9" i="1" l="1"/>
  <c r="D7" i="1"/>
  <c r="B12" i="1" l="1"/>
  <c r="B9" i="1"/>
  <c r="C14" i="1"/>
  <c r="B7" i="1" s="1"/>
  <c r="C12" i="1"/>
  <c r="C7" i="1"/>
  <c r="F14" i="1" l="1"/>
  <c r="B14" i="1"/>
</calcChain>
</file>

<file path=xl/sharedStrings.xml><?xml version="1.0" encoding="utf-8"?>
<sst xmlns="http://schemas.openxmlformats.org/spreadsheetml/2006/main" count="18" uniqueCount="18">
  <si>
    <t xml:space="preserve">Doanh thu </t>
  </si>
  <si>
    <t>Tỉ lệ/DT</t>
  </si>
  <si>
    <t>DTT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</si>
  <si>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</si>
  <si>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</si>
  <si>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</si>
  <si>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</si>
  <si>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</si>
  <si>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</si>
  <si>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</si>
  <si>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đặc biệt khó khăn</t>
  </si>
  <si>
    <t>Tổng cộng</t>
  </si>
  <si>
    <t>Giám đốc</t>
  </si>
  <si>
    <t>BẢNG XÁC ĐỊNH THU NHẬP CHỊU THUẾ TNDN NĂM 2020</t>
  </si>
  <si>
    <t>CÔNG TY TNHH MTV XD CẦU ĐƯỜNG KHẢI HOÀN</t>
  </si>
  <si>
    <t>MST: 2100526907</t>
  </si>
  <si>
    <t xml:space="preserve">Trà Vinh, ngày    tháng    năm     </t>
  </si>
  <si>
    <t>30% Theo
 Nghị Định 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</si>
</sst>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/>
    <xf numFmtId="164" fontId="4" fillId="0" borderId="0" xfId="1" applyNumberFormat="1" applyFont="1"/>
    <xf numFmtId="164" fontId="2" fillId="0" borderId="0" xfId="1" applyNumberFormat="1" applyFont="1"/>
    <xf numFmtId="0" fontId="6" fillId="0" borderId="1" xfId="0" applyFont="1" applyBorder="1" applyAlignment="1">
      <alignment horizontal="center"/>
    </xf>
    <xf numFmtId="9" fontId="6" fillId="0" borderId="1" xfId="2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0" fontId="6" fillId="3" borderId="1" xfId="0" applyFont="1" applyFill="1" applyBorder="1"/>
    <xf numFmtId="165" fontId="6" fillId="0" borderId="1" xfId="2" applyNumberFormat="1" applyFont="1" applyBorder="1" applyAlignment="1">
      <alignment horizontal="center"/>
    </xf>
    <xf numFmtId="164" fontId="6" fillId="0" borderId="1" xfId="1" applyNumberFormat="1" applyFont="1" applyBorder="1"/>
    <xf numFmtId="164" fontId="6" fillId="0" borderId="1" xfId="0" applyNumberFormat="1" applyFont="1" applyBorder="1"/>
    <xf numFmtId="9" fontId="6" fillId="0" borderId="1" xfId="2" applyNumberFormat="1" applyFont="1" applyBorder="1"/>
    <xf numFmtId="164" fontId="3" fillId="0" borderId="0" xfId="1" applyNumberFormat="1" applyFont="1"/>
    <xf numFmtId="164" fontId="3" fillId="0" borderId="0" xfId="1" applyNumberFormat="1" applyFont="1" applyFill="1"/>
    <xf numFmtId="0" fontId="7" fillId="0" borderId="1" xfId="0" applyFont="1" applyBorder="1"/>
    <xf numFmtId="165" fontId="7" fillId="0" borderId="1" xfId="2" applyNumberFormat="1" applyFont="1" applyBorder="1" applyAlignment="1">
      <alignment horizontal="center"/>
    </xf>
    <xf numFmtId="164" fontId="7" fillId="0" borderId="1" xfId="1" applyNumberFormat="1" applyFont="1" applyBorder="1"/>
    <xf numFmtId="9" fontId="7" fillId="0" borderId="1" xfId="2" applyFont="1" applyBorder="1"/>
    <xf numFmtId="164" fontId="4" fillId="0" borderId="0" xfId="1" applyNumberFormat="1" applyFont="1" applyFill="1"/>
    <xf numFmtId="0" fontId="6" fillId="2" borderId="1" xfId="0" applyFont="1" applyFill="1" applyBorder="1"/>
    <xf numFmtId="9" fontId="6" fillId="0" borderId="1" xfId="2" applyFont="1" applyBorder="1"/>
    <xf numFmtId="0" fontId="6" fillId="4" borderId="1" xfId="0" applyFont="1" applyFill="1" applyBorder="1"/>
    <xf numFmtId="9" fontId="7" fillId="0" borderId="1" xfId="2" applyFont="1" applyBorder="1" applyAlignment="1">
      <alignment horizontal="center"/>
    </xf>
    <xf numFmtId="164" fontId="7" fillId="0" borderId="1" xfId="0" applyNumberFormat="1" applyFont="1" applyBorder="1"/>
    <xf numFmtId="164" fontId="4" fillId="0" borderId="0" xfId="2" applyNumberFormat="1" applyFont="1"/>
    <xf numFmtId="164" fontId="4" fillId="0" borderId="0" xfId="0" applyNumberFormat="1" applyFont="1"/>
    <xf numFmtId="9" fontId="4" fillId="0" borderId="0" xfId="2" applyFont="1" applyFill="1"/>
    <xf numFmtId="0" fontId="4" fillId="0" borderId="0" xfId="0" applyFont="1" applyFill="1"/>
    <xf numFmtId="0" fontId="5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workbookViewId="0">
      <selection activeCell="K15" sqref="K15"/>
    </sheetView>
  </sheetViews>
  <sheetFormatPr defaultRowHeight="15" x14ac:dyDescent="0.25"/>
  <cols>
    <col min="1" max="1" width="26.140625" customWidth="1"/>
    <col min="3" max="3" width="18.28515625" customWidth="1"/>
    <col min="4" max="4" width="14.85546875" customWidth="1"/>
    <col min="6" max="6" width="16.140625" customWidth="1"/>
    <col min="7" max="8" width="22" customWidth="1"/>
  </cols>
  <sheetData>
    <row r="1" spans="1:14" ht="16.5" x14ac:dyDescent="0.25">
      <c r="A1" s="3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6.5" x14ac:dyDescent="0.25">
      <c r="A2" s="3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2.5" x14ac:dyDescent="0.3">
      <c r="A4" s="31" t="s">
        <v>13</v>
      </c>
      <c r="B4" s="31"/>
      <c r="C4" s="31"/>
      <c r="D4" s="31"/>
      <c r="E4" s="31"/>
      <c r="F4" s="31"/>
      <c r="G4" s="31"/>
      <c r="H4" s="31"/>
      <c r="I4" s="5"/>
      <c r="J4" s="5"/>
      <c r="K4" s="5"/>
      <c r="L4" s="5"/>
      <c r="M4" s="5"/>
      <c r="N4" s="5"/>
    </row>
    <row r="5" spans="1:14" ht="16.5" x14ac:dyDescent="0.25">
      <c r="A5" s="2"/>
      <c r="B5" s="2"/>
      <c r="C5" s="2"/>
      <c r="D5" s="2"/>
      <c r="E5" s="2"/>
      <c r="F5" s="2"/>
      <c r="G5" s="2"/>
      <c r="H5" s="2"/>
      <c r="I5" s="2"/>
      <c r="J5" s="4"/>
      <c r="K5" s="4"/>
      <c r="L5" s="4"/>
      <c r="M5" s="4"/>
      <c r="N5" s="4"/>
    </row>
    <row r="6" spans="1:14" ht="16.5" x14ac:dyDescent="0.25">
      <c r="A6" s="6" t="s">
        <v>0</v>
      </c>
      <c r="B6" s="7" t="s">
        <v>1</v>
      </c>
      <c r="C6" s="8" t="s">
        <v>2</v>
      </c>
      <c r="D6" s="6" t="s">
        <v>3</v>
      </c>
      <c r="E6" s="7" t="s">
        <v>4</v>
      </c>
      <c r="F6" s="8" t="s">
        <v>5</v>
      </c>
      <c r="G6" s="6" t="s">
        <v>6</v>
      </c>
      <c r="H6" s="6" t="s">
        <v>7</v>
      </c>
      <c r="I6" s="9"/>
      <c r="J6" s="9"/>
      <c r="K6" s="9"/>
      <c r="L6" s="9"/>
      <c r="M6" s="9"/>
      <c r="N6" s="9"/>
    </row>
    <row r="7" spans="1:14" ht="16.5" x14ac:dyDescent="0.25">
      <c r="A7" s="10" t="s">
        <v>8</v>
      </c>
      <c r="B7" s="11">
        <f>C7/C14</f>
        <v>0.49159053057246571</v>
      </c>
      <c r="C7" s="12">
        <f>C8</f>
        <v>414388795</v>
      </c>
      <c r="D7" s="13">
        <f>B7*D14</f>
        <v>44836522.101449408</v>
      </c>
      <c r="E7" s="14">
        <v>0.2</v>
      </c>
      <c r="F7" s="12">
        <f>E7*D7</f>
        <v>8967304.4202898815</v>
      </c>
      <c r="G7" s="37" t="s">
        <v>17</v>
      </c>
      <c r="H7" s="13"/>
      <c r="I7" s="15"/>
      <c r="J7" s="16"/>
      <c r="K7" s="16"/>
      <c r="L7" s="15"/>
      <c r="M7" s="15"/>
      <c r="N7" s="15"/>
    </row>
    <row r="8" spans="1:14" ht="16.5" x14ac:dyDescent="0.25">
      <c r="A8" s="17">
        <v>5113</v>
      </c>
      <c r="B8" s="18"/>
      <c r="C8" s="19">
        <v>414388795</v>
      </c>
      <c r="D8" s="13">
        <v>0</v>
      </c>
      <c r="E8" s="20"/>
      <c r="F8" s="19"/>
      <c r="G8" s="35"/>
      <c r="H8" s="17"/>
      <c r="I8" s="2"/>
      <c r="J8" s="21"/>
      <c r="K8" s="21"/>
      <c r="L8" s="4"/>
      <c r="M8" s="4"/>
      <c r="N8" s="4"/>
    </row>
    <row r="9" spans="1:14" ht="16.5" x14ac:dyDescent="0.25">
      <c r="A9" s="22" t="s">
        <v>9</v>
      </c>
      <c r="B9" s="11">
        <f>C9/C14</f>
        <v>0.35458601986301047</v>
      </c>
      <c r="C9" s="12">
        <f>C10+C11</f>
        <v>298900130</v>
      </c>
      <c r="D9" s="13">
        <f>B9*D14</f>
        <v>32340744.842946589</v>
      </c>
      <c r="E9" s="23">
        <v>0.17</v>
      </c>
      <c r="F9" s="12">
        <f>E9*D9</f>
        <v>5497926.6233009202</v>
      </c>
      <c r="G9" s="35"/>
      <c r="H9" s="13"/>
      <c r="I9" s="15"/>
      <c r="J9" s="16"/>
      <c r="K9" s="16"/>
      <c r="L9" s="15"/>
      <c r="M9" s="15"/>
      <c r="N9" s="15"/>
    </row>
    <row r="10" spans="1:14" ht="16.5" x14ac:dyDescent="0.25">
      <c r="A10" s="17">
        <v>5113</v>
      </c>
      <c r="B10" s="18"/>
      <c r="C10" s="19">
        <v>298885454</v>
      </c>
      <c r="D10" s="13"/>
      <c r="E10" s="20"/>
      <c r="F10" s="19"/>
      <c r="G10" s="35"/>
      <c r="H10" s="17"/>
      <c r="I10" s="2"/>
      <c r="J10" s="21"/>
      <c r="K10" s="21"/>
      <c r="L10" s="4"/>
      <c r="M10" s="4"/>
      <c r="N10" s="4"/>
    </row>
    <row r="11" spans="1:14" s="2" customFormat="1" ht="16.5" x14ac:dyDescent="0.25">
      <c r="A11" s="17">
        <v>515</v>
      </c>
      <c r="B11" s="18"/>
      <c r="C11" s="19">
        <v>14676</v>
      </c>
      <c r="D11" s="13"/>
      <c r="E11" s="20"/>
      <c r="F11" s="19"/>
      <c r="G11" s="35"/>
      <c r="H11" s="17"/>
      <c r="J11" s="21"/>
      <c r="K11" s="21"/>
      <c r="L11" s="4"/>
      <c r="M11" s="4"/>
      <c r="N11" s="4"/>
    </row>
    <row r="12" spans="1:14" ht="16.5" x14ac:dyDescent="0.25">
      <c r="A12" s="24" t="s">
        <v>10</v>
      </c>
      <c r="B12" s="11">
        <f>C12/C14</f>
        <v>0.15382344956452385</v>
      </c>
      <c r="C12" s="12">
        <f>C13</f>
        <v>129666277</v>
      </c>
      <c r="D12" s="13">
        <f>B12*D14</f>
        <v>14029783.055604005</v>
      </c>
      <c r="E12" s="23">
        <v>0.17</v>
      </c>
      <c r="F12" s="12">
        <f>E12*D12</f>
        <v>2385063.1194526809</v>
      </c>
      <c r="G12" s="35"/>
      <c r="H12" s="13"/>
      <c r="I12" s="15"/>
      <c r="J12" s="16"/>
      <c r="K12" s="16"/>
      <c r="L12" s="15"/>
      <c r="M12" s="15"/>
      <c r="N12" s="15"/>
    </row>
    <row r="13" spans="1:14" ht="16.5" x14ac:dyDescent="0.25">
      <c r="A13" s="17">
        <v>5113</v>
      </c>
      <c r="B13" s="25"/>
      <c r="C13" s="19">
        <v>129666277</v>
      </c>
      <c r="D13" s="26"/>
      <c r="E13" s="20"/>
      <c r="F13" s="19"/>
      <c r="G13" s="35"/>
      <c r="H13" s="17"/>
      <c r="I13" s="2"/>
      <c r="J13" s="21"/>
      <c r="K13" s="21"/>
      <c r="L13" s="4"/>
      <c r="M13" s="4"/>
      <c r="N13" s="4"/>
    </row>
    <row r="14" spans="1:14" ht="16.5" x14ac:dyDescent="0.25">
      <c r="A14" s="6" t="s">
        <v>11</v>
      </c>
      <c r="B14" s="23">
        <f>B7+B9+B12</f>
        <v>1</v>
      </c>
      <c r="C14" s="12">
        <f>C7+C9+C12</f>
        <v>842955202</v>
      </c>
      <c r="D14" s="12">
        <v>91207050</v>
      </c>
      <c r="E14" s="12"/>
      <c r="F14" s="12">
        <f>F7+F9+F12</f>
        <v>16850294.163043484</v>
      </c>
      <c r="G14" s="36"/>
      <c r="H14" s="12">
        <f>F14*70%</f>
        <v>11795205.914130438</v>
      </c>
      <c r="I14" s="15"/>
      <c r="J14" s="16"/>
      <c r="K14" s="16"/>
      <c r="L14" s="15"/>
      <c r="M14" s="15"/>
      <c r="N14" s="15"/>
    </row>
    <row r="15" spans="1:14" ht="16.5" x14ac:dyDescent="0.25">
      <c r="A15" s="2"/>
      <c r="B15" s="2"/>
      <c r="C15" s="27"/>
      <c r="D15" s="28"/>
      <c r="E15" s="2"/>
      <c r="F15" s="2"/>
      <c r="G15" s="28"/>
      <c r="H15" s="2"/>
      <c r="I15" s="2"/>
      <c r="J15" s="21"/>
      <c r="K15" s="21"/>
      <c r="L15" s="4"/>
      <c r="M15" s="4"/>
      <c r="N15" s="4"/>
    </row>
    <row r="16" spans="1:14" ht="16.5" x14ac:dyDescent="0.25">
      <c r="A16" s="2"/>
      <c r="B16" s="2"/>
      <c r="C16" s="2"/>
      <c r="D16" s="32" t="s">
        <v>16</v>
      </c>
      <c r="E16" s="32"/>
      <c r="F16" s="32"/>
      <c r="G16" s="32"/>
      <c r="H16" s="2"/>
      <c r="I16" s="4"/>
      <c r="J16" s="21"/>
      <c r="K16" s="21"/>
      <c r="L16" s="4"/>
      <c r="M16" s="4"/>
      <c r="N16" s="2"/>
    </row>
    <row r="17" spans="1:14" ht="16.5" x14ac:dyDescent="0.25">
      <c r="A17" s="33"/>
      <c r="B17" s="33"/>
      <c r="C17" s="2"/>
      <c r="D17" s="34" t="s">
        <v>12</v>
      </c>
      <c r="E17" s="34"/>
      <c r="F17" s="34"/>
      <c r="G17" s="34"/>
      <c r="H17" s="28"/>
      <c r="I17" s="4"/>
      <c r="J17" s="21"/>
      <c r="K17" s="21"/>
      <c r="L17" s="4"/>
      <c r="M17" s="4"/>
      <c r="N17" s="1"/>
    </row>
    <row r="18" spans="1:14" ht="16.5" x14ac:dyDescent="0.25">
      <c r="A18" s="2"/>
      <c r="B18" s="2"/>
      <c r="C18" s="2"/>
      <c r="D18" s="28"/>
      <c r="E18" s="2"/>
      <c r="F18" s="2"/>
      <c r="G18" s="4"/>
      <c r="H18" s="2"/>
      <c r="I18" s="2"/>
      <c r="J18" s="21"/>
      <c r="K18" s="21"/>
      <c r="L18" s="4"/>
      <c r="M18" s="4"/>
      <c r="N18" s="1"/>
    </row>
    <row r="19" spans="1:14" ht="16.5" x14ac:dyDescent="0.25">
      <c r="A19" s="2"/>
      <c r="B19" s="2"/>
      <c r="C19" s="2"/>
      <c r="D19" s="28"/>
      <c r="E19" s="2"/>
      <c r="F19" s="2"/>
      <c r="G19" s="2"/>
      <c r="H19" s="2"/>
      <c r="I19" s="2"/>
      <c r="J19" s="21"/>
      <c r="K19" s="21"/>
      <c r="L19" s="4"/>
      <c r="M19" s="4"/>
      <c r="N19" s="1"/>
    </row>
    <row r="20" spans="1:14" ht="16.5" x14ac:dyDescent="0.25">
      <c r="A20" s="2"/>
      <c r="B20" s="2"/>
      <c r="C20" s="2"/>
      <c r="D20" s="2"/>
      <c r="E20" s="2"/>
      <c r="F20" s="2"/>
      <c r="G20" s="4"/>
      <c r="H20" s="4"/>
      <c r="I20" s="2"/>
      <c r="J20" s="21"/>
      <c r="K20" s="21"/>
      <c r="L20" s="4"/>
      <c r="M20" s="4"/>
      <c r="N20" s="1"/>
    </row>
    <row r="21" spans="1:14" ht="16.5" x14ac:dyDescent="0.25">
      <c r="A21" s="2"/>
      <c r="B21" s="2"/>
      <c r="C21" s="2"/>
      <c r="D21" s="4"/>
      <c r="E21" s="4"/>
      <c r="F21" s="2"/>
      <c r="G21" s="2"/>
      <c r="H21" s="4"/>
      <c r="I21" s="2"/>
      <c r="J21" s="21"/>
      <c r="K21" s="21"/>
      <c r="L21" s="4"/>
      <c r="M21" s="4"/>
      <c r="N21" s="1"/>
    </row>
    <row r="22" spans="1:14" ht="16.5" x14ac:dyDescent="0.25">
      <c r="A22" s="2"/>
      <c r="B22" s="2"/>
      <c r="C22" s="2"/>
      <c r="D22" s="4"/>
      <c r="E22" s="4"/>
      <c r="F22" s="2"/>
      <c r="G22" s="28"/>
      <c r="H22" s="4"/>
      <c r="I22" s="2"/>
      <c r="J22" s="4"/>
      <c r="K22" s="4"/>
      <c r="L22" s="4"/>
      <c r="M22" s="4"/>
      <c r="N22" s="1"/>
    </row>
    <row r="23" spans="1:14" ht="16.5" x14ac:dyDescent="0.25">
      <c r="A23" s="2"/>
      <c r="B23" s="2"/>
      <c r="C23" s="2"/>
      <c r="D23" s="4"/>
      <c r="E23" s="4"/>
      <c r="F23" s="2"/>
      <c r="G23" s="2"/>
      <c r="H23" s="4"/>
      <c r="I23" s="2"/>
      <c r="J23" s="28"/>
      <c r="K23" s="2"/>
      <c r="L23" s="2"/>
      <c r="M23" s="2"/>
      <c r="N23" s="1"/>
    </row>
    <row r="24" spans="1:14" ht="16.5" x14ac:dyDescent="0.25">
      <c r="A24" s="2"/>
      <c r="B24" s="2"/>
      <c r="C24" s="2"/>
      <c r="D24" s="4"/>
      <c r="E24" s="4"/>
      <c r="F24" s="2"/>
      <c r="G24" s="2"/>
      <c r="H24" s="4"/>
      <c r="I24" s="2"/>
      <c r="J24" s="28"/>
      <c r="K24" s="2"/>
      <c r="L24" s="2"/>
      <c r="M24" s="2"/>
      <c r="N24" s="1"/>
    </row>
    <row r="25" spans="1:14" ht="16.5" x14ac:dyDescent="0.25">
      <c r="A25" s="2"/>
      <c r="B25" s="2"/>
      <c r="C25" s="2"/>
      <c r="D25" s="4"/>
      <c r="E25" s="4"/>
      <c r="F25" s="2"/>
      <c r="G25" s="2"/>
      <c r="H25" s="4"/>
      <c r="I25" s="2"/>
      <c r="J25" s="28"/>
      <c r="K25" s="2"/>
      <c r="L25" s="2"/>
      <c r="M25" s="2"/>
      <c r="N25" s="1"/>
    </row>
    <row r="26" spans="1:14" ht="16.5" x14ac:dyDescent="0.25">
      <c r="A26" s="2"/>
      <c r="B26" s="2"/>
      <c r="C26" s="2"/>
      <c r="D26" s="4"/>
      <c r="E26" s="4"/>
      <c r="F26" s="2"/>
      <c r="G26" s="2"/>
      <c r="H26" s="4"/>
      <c r="I26" s="2"/>
      <c r="J26" s="28"/>
      <c r="K26" s="2"/>
      <c r="L26" s="2"/>
      <c r="M26" s="2"/>
      <c r="N26" s="1"/>
    </row>
    <row r="27" spans="1:14" ht="16.5" x14ac:dyDescent="0.25">
      <c r="A27" s="2"/>
      <c r="B27" s="2"/>
      <c r="C27" s="2"/>
      <c r="D27" s="4"/>
      <c r="E27" s="4"/>
      <c r="F27" s="2"/>
      <c r="G27" s="2"/>
      <c r="H27" s="4"/>
      <c r="I27" s="2"/>
      <c r="J27" s="28"/>
      <c r="K27" s="2"/>
      <c r="L27" s="2"/>
      <c r="M27" s="2"/>
      <c r="N27" s="1"/>
    </row>
    <row r="28" spans="1:14" ht="16.5" x14ac:dyDescent="0.25">
      <c r="A28" s="2"/>
      <c r="B28" s="2"/>
      <c r="C28" s="2"/>
      <c r="D28" s="21"/>
      <c r="E28" s="29"/>
      <c r="F28" s="21"/>
      <c r="G28" s="28"/>
      <c r="H28" s="4"/>
      <c r="I28" s="2"/>
      <c r="J28" s="28"/>
      <c r="K28" s="2"/>
      <c r="L28" s="2"/>
      <c r="M28" s="2"/>
      <c r="N28" s="1"/>
    </row>
    <row r="29" spans="1:14" ht="16.5" x14ac:dyDescent="0.25">
      <c r="A29" s="2"/>
      <c r="B29" s="2"/>
      <c r="C29" s="2"/>
      <c r="D29" s="21"/>
      <c r="E29" s="29"/>
      <c r="F29" s="21"/>
      <c r="G29" s="28"/>
      <c r="H29" s="2"/>
      <c r="I29" s="2"/>
      <c r="J29" s="28"/>
      <c r="K29" s="2"/>
      <c r="L29" s="2"/>
      <c r="M29" s="2"/>
      <c r="N29" s="1"/>
    </row>
    <row r="30" spans="1:14" ht="16.5" x14ac:dyDescent="0.25">
      <c r="A30" s="2"/>
      <c r="B30" s="2"/>
      <c r="C30" s="2"/>
      <c r="D30" s="21"/>
      <c r="E30" s="29"/>
      <c r="F30" s="21"/>
      <c r="G30" s="2"/>
      <c r="H30" s="2"/>
      <c r="I30" s="2"/>
      <c r="J30" s="28"/>
      <c r="K30" s="2"/>
      <c r="L30" s="2"/>
      <c r="M30" s="2"/>
      <c r="N30" s="1"/>
    </row>
    <row r="31" spans="1:14" ht="16.5" x14ac:dyDescent="0.25">
      <c r="A31" s="2"/>
      <c r="B31" s="2"/>
      <c r="C31" s="2"/>
      <c r="D31" s="21"/>
      <c r="E31" s="29"/>
      <c r="F31" s="21"/>
      <c r="G31" s="28"/>
      <c r="H31" s="28"/>
      <c r="I31" s="2"/>
      <c r="J31" s="2"/>
      <c r="K31" s="2"/>
      <c r="L31" s="2"/>
      <c r="M31" s="2"/>
      <c r="N31" s="1"/>
    </row>
    <row r="32" spans="1:14" ht="16.5" x14ac:dyDescent="0.25">
      <c r="A32" s="2"/>
      <c r="B32" s="2"/>
      <c r="C32" s="2"/>
      <c r="D32" s="21"/>
      <c r="E32" s="29"/>
      <c r="F32" s="21"/>
      <c r="G32" s="2"/>
      <c r="H32" s="2"/>
      <c r="I32" s="2"/>
      <c r="J32" s="28"/>
      <c r="K32" s="2"/>
      <c r="L32" s="2"/>
      <c r="M32" s="2"/>
      <c r="N32" s="1"/>
    </row>
    <row r="33" spans="1:14" ht="16.5" x14ac:dyDescent="0.25">
      <c r="A33" s="1"/>
      <c r="B33" s="1"/>
      <c r="C33" s="1"/>
      <c r="D33" s="21"/>
      <c r="E33" s="29"/>
      <c r="F33" s="21"/>
      <c r="G33" s="2"/>
      <c r="H33" s="2"/>
      <c r="I33" s="2"/>
      <c r="J33" s="2"/>
      <c r="K33" s="1"/>
      <c r="L33" s="1"/>
      <c r="M33" s="1"/>
      <c r="N33" s="1"/>
    </row>
    <row r="34" spans="1:14" ht="16.5" x14ac:dyDescent="0.25">
      <c r="A34" s="1"/>
      <c r="B34" s="1"/>
      <c r="C34" s="1"/>
      <c r="D34" s="21"/>
      <c r="E34" s="29"/>
      <c r="F34" s="21"/>
      <c r="G34" s="2"/>
      <c r="H34" s="2"/>
      <c r="I34" s="2"/>
      <c r="J34" s="28"/>
      <c r="K34" s="1"/>
      <c r="L34" s="1"/>
      <c r="M34" s="1"/>
      <c r="N34" s="1"/>
    </row>
    <row r="35" spans="1:14" ht="16.5" x14ac:dyDescent="0.25">
      <c r="A35" s="1"/>
      <c r="B35" s="1"/>
      <c r="C35" s="1"/>
      <c r="D35" s="30"/>
      <c r="E35" s="29"/>
      <c r="F35" s="21"/>
      <c r="G35" s="2"/>
      <c r="H35" s="2"/>
      <c r="I35" s="2"/>
      <c r="J35" s="2"/>
      <c r="K35" s="1"/>
      <c r="L35" s="1"/>
      <c r="M35" s="1"/>
      <c r="N35" s="1"/>
    </row>
    <row r="36" spans="1:14" ht="16.5" x14ac:dyDescent="0.25">
      <c r="A36" s="1"/>
      <c r="B36" s="1"/>
      <c r="C36" s="1"/>
      <c r="D36" s="30"/>
      <c r="E36" s="29"/>
      <c r="F36" s="21"/>
      <c r="G36" s="2"/>
      <c r="H36" s="2"/>
      <c r="I36" s="2"/>
      <c r="J36" s="2"/>
      <c r="K36" s="1"/>
      <c r="L36" s="1"/>
      <c r="M36" s="1"/>
      <c r="N36" s="1"/>
    </row>
  </sheetData>
  <mergeCells count="5">
    <mergeCell ref="A4:H4"/>
    <mergeCell ref="D16:G16"/>
    <mergeCell ref="A17:B17"/>
    <mergeCell ref="D17:G17"/>
    <mergeCell ref="G7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THANH</cp:lastModifiedBy>
  <dcterms:created xsi:type="dcterms:W3CDTF">2021-03-23T11:54:54Z</dcterms:created>
  <dcterms:modified xsi:type="dcterms:W3CDTF">2021-03-29T09:09:13Z</dcterms:modified>
</cp:coreProperties>
</file>