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8" windowWidth="14808" windowHeight="7896"/>
  </bookViews>
  <sheets>
    <sheet name="BANG KE DOANH THU CT 2022" sheetId="6" r:id="rId1"/>
    <sheet name="TINH THUE TNDN" sheetId="9" r:id="rId2"/>
  </sheets>
  <calcPr calcId="145621"/>
</workbook>
</file>

<file path=xl/calcChain.xml><?xml version="1.0" encoding="utf-8"?>
<calcChain xmlns="http://schemas.openxmlformats.org/spreadsheetml/2006/main">
  <c r="F5" i="6" l="1"/>
  <c r="F4" i="6"/>
  <c r="F8" i="6"/>
  <c r="F7" i="6"/>
  <c r="D6" i="6" l="1"/>
  <c r="D9" i="6" s="1"/>
  <c r="F6" i="6"/>
  <c r="E3" i="6"/>
  <c r="D3" i="6"/>
  <c r="D17" i="9" l="1"/>
  <c r="D14" i="9" s="1"/>
  <c r="F3" i="6"/>
  <c r="F9" i="6" s="1"/>
  <c r="O9" i="9" l="1"/>
  <c r="O11" i="9"/>
  <c r="O12" i="9"/>
  <c r="O13" i="9"/>
  <c r="E6" i="6"/>
  <c r="E17" i="9" s="1"/>
  <c r="E11" i="9" l="1"/>
  <c r="E8" i="9" s="1"/>
  <c r="E9" i="6"/>
  <c r="D11" i="9"/>
  <c r="D8" i="9" s="1"/>
  <c r="E14" i="9"/>
  <c r="D18" i="9" l="1"/>
  <c r="E18" i="9"/>
  <c r="D23" i="9"/>
  <c r="D6" i="9"/>
  <c r="C14" i="9" l="1"/>
  <c r="H14" i="9" l="1"/>
  <c r="F14" i="9"/>
  <c r="G14" i="9"/>
  <c r="C6" i="9"/>
  <c r="I19" i="9"/>
  <c r="C8" i="9"/>
  <c r="I14" i="9" l="1"/>
  <c r="H8" i="9"/>
  <c r="F8" i="9"/>
  <c r="I8" i="9" s="1"/>
  <c r="G8" i="9"/>
  <c r="C18" i="9"/>
  <c r="K14" i="9" l="1"/>
  <c r="M14" i="9" s="1"/>
  <c r="N14" i="9" s="1"/>
  <c r="O14" i="9" l="1"/>
  <c r="I18" i="9"/>
  <c r="K8" i="9"/>
  <c r="M8" i="9" s="1"/>
  <c r="I6" i="9"/>
  <c r="M6" i="9" s="1"/>
  <c r="K18" i="9" l="1"/>
  <c r="I21" i="9"/>
  <c r="O8" i="9"/>
  <c r="O6" i="9"/>
  <c r="M23" i="9"/>
  <c r="M18" i="9" l="1"/>
  <c r="N18" i="9"/>
  <c r="O18" i="9"/>
  <c r="N21" i="9" s="1"/>
</calcChain>
</file>

<file path=xl/sharedStrings.xml><?xml version="1.0" encoding="utf-8"?>
<sst xmlns="http://schemas.openxmlformats.org/spreadsheetml/2006/main" count="39" uniqueCount="38">
  <si>
    <t>Doanh thu</t>
  </si>
  <si>
    <t xml:space="preserve">Doanh thu </t>
  </si>
  <si>
    <t>Tỉ lệ / DT</t>
  </si>
  <si>
    <t>Lợi nhuận</t>
  </si>
  <si>
    <t>TS</t>
  </si>
  <si>
    <t>Thuế TNDN</t>
  </si>
  <si>
    <t>Địa bàn không ưu đãi</t>
  </si>
  <si>
    <t>Tổng cộng</t>
  </si>
  <si>
    <t>LẬP BẢNG</t>
  </si>
  <si>
    <t>GIÁM ĐỐC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</si>
  <si>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</si>
  <si>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</si>
  <si>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</si>
  <si>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</si>
  <si>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</si>
  <si>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GIÁ THÀNH</t>
  </si>
  <si>
    <t>Số thuế 
phải nộp</t>
  </si>
  <si>
    <t>LỢI NHUẬN TRƯỚC 
PHÂN BỔ CPQL</t>
  </si>
  <si>
    <t>Giá Vốn</t>
  </si>
  <si>
    <t>Trà Vinh, ngày 31 tháng 12 năm 2022</t>
  </si>
  <si>
    <t>Kết chuyển lỗ</t>
  </si>
  <si>
    <t>LN sau 
kết chuyển</t>
  </si>
  <si>
    <t>Chi Phí 
Quản Lý</t>
  </si>
  <si>
    <t xml:space="preserve">MIỄN </t>
  </si>
  <si>
    <t>ĐỊA BÀN ĐẶC BIỆT KHÓ KHĂN</t>
  </si>
  <si>
    <t>DT ĐỊA BÀN ĐẶC BIỆT KHÓ KHĂN</t>
  </si>
  <si>
    <t>DT ĐỊA BÀN KHÓ KHĂN</t>
  </si>
  <si>
    <t>CHI PHÍ KHÁC</t>
  </si>
  <si>
    <t>Quan trắc môi trường định kỳ năm 2021 theo HĐ số 18/2021/HDDV-MEKONG ngày 29/07/2021</t>
  </si>
  <si>
    <t>Quan trắc chất thải trong quá trình vận hành thử nghiệm xử lý chất thải năm 2022 theo HĐ số 01/2022/HĐ-TV ngày 11/07/2022</t>
  </si>
  <si>
    <t>HĐ số 325/HDDV-2022 ngày 28/04/2022 về việc trồng cây Bằng Lăng tại bệnh viện mới</t>
  </si>
  <si>
    <t xml:space="preserve"> Hợp đồng số 340/HĐDV-2022 ngày 31/08/2022 về việc thuê trồng cây dầu tại bệnh viện mới</t>
  </si>
  <si>
    <t>CHI PHÍ KHÔNG ĐƯỢC TRỪ</t>
  </si>
  <si>
    <t>MST: 2100654472</t>
  </si>
  <si>
    <t>CÔNG TY TNHH MTV SẢN XUẤT THƯƠNG MẠI MEKONG</t>
  </si>
  <si>
    <t>BẢNG XÁC ĐỊNH THU NHẬP CHỊU THUẾ TNDN NĂM 2022</t>
  </si>
  <si>
    <t>BẢNG KÊ DOANH THU CÁC CÔNG TRÌNH NĂM 2022</t>
  </si>
  <si>
    <t>ĐỊA BÀN KHÓ KHĂN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</si>
</sst>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-* #,##0_-;\-* #,##0_-;_-* &quot;-&quot;??_-;_-@_-"/>
    <numFmt numFmtId="168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6" fontId="2" fillId="0" borderId="1" xfId="1" applyNumberFormat="1" applyFont="1" applyBorder="1"/>
    <xf numFmtId="166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6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166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0" xfId="0" applyFont="1" applyFill="1"/>
    <xf numFmtId="165" fontId="6" fillId="0" borderId="0" xfId="1" applyNumberFormat="1" applyFont="1" applyFill="1" applyAlignment="1"/>
    <xf numFmtId="166" fontId="3" fillId="0" borderId="0" xfId="1" applyNumberFormat="1" applyFont="1" applyAlignment="1"/>
    <xf numFmtId="165" fontId="5" fillId="0" borderId="0" xfId="1" applyNumberFormat="1" applyFont="1" applyFill="1"/>
    <xf numFmtId="165" fontId="6" fillId="0" borderId="0" xfId="1" applyNumberFormat="1" applyFont="1" applyFill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5" fontId="5" fillId="0" borderId="0" xfId="1" applyNumberFormat="1" applyFont="1" applyFill="1" applyAlignment="1"/>
    <xf numFmtId="0" fontId="2" fillId="0" borderId="0" xfId="0" applyFont="1" applyAlignment="1">
      <alignment horizontal="center"/>
    </xf>
    <xf numFmtId="166" fontId="2" fillId="0" borderId="0" xfId="1" applyNumberFormat="1" applyFont="1" applyAlignment="1"/>
    <xf numFmtId="0" fontId="7" fillId="0" borderId="1" xfId="0" applyFont="1" applyFill="1" applyBorder="1" applyAlignment="1">
      <alignment horizontal="left" vertical="center"/>
    </xf>
    <xf numFmtId="168" fontId="2" fillId="0" borderId="1" xfId="2" applyNumberFormat="1" applyFont="1" applyBorder="1"/>
    <xf numFmtId="9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/>
    <xf numFmtId="3" fontId="9" fillId="0" borderId="1" xfId="0" applyNumberFormat="1" applyFont="1" applyBorder="1" applyAlignment="1">
      <alignment horizontal="center" vertical="center" wrapText="1"/>
    </xf>
    <xf numFmtId="165" fontId="3" fillId="0" borderId="0" xfId="1" applyNumberFormat="1" applyFont="1"/>
    <xf numFmtId="166" fontId="3" fillId="0" borderId="0" xfId="1" applyNumberFormat="1" applyFont="1" applyFill="1"/>
    <xf numFmtId="166" fontId="3" fillId="0" borderId="0" xfId="0" applyNumberFormat="1" applyFont="1" applyFill="1"/>
    <xf numFmtId="166" fontId="3" fillId="0" borderId="0" xfId="1" applyNumberFormat="1" applyFont="1" applyFill="1" applyAlignment="1">
      <alignment horizontal="right"/>
    </xf>
    <xf numFmtId="166" fontId="2" fillId="0" borderId="0" xfId="1" applyNumberFormat="1" applyFont="1" applyAlignment="1">
      <alignment horizontal="right"/>
    </xf>
    <xf numFmtId="10" fontId="2" fillId="0" borderId="0" xfId="2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66" fontId="2" fillId="0" borderId="1" xfId="1" applyNumberFormat="1" applyFont="1" applyBorder="1" applyAlignment="1">
      <alignment horizontal="center" wrapText="1"/>
    </xf>
    <xf numFmtId="167" fontId="3" fillId="0" borderId="0" xfId="0" applyNumberFormat="1" applyFont="1"/>
    <xf numFmtId="0" fontId="7" fillId="4" borderId="1" xfId="0" applyFont="1" applyFill="1" applyBorder="1" applyAlignment="1">
      <alignment horizontal="left" vertical="center"/>
    </xf>
    <xf numFmtId="165" fontId="5" fillId="0" borderId="3" xfId="1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65" fontId="7" fillId="4" borderId="1" xfId="1" applyNumberFormat="1" applyFont="1" applyFill="1" applyBorder="1" applyAlignment="1">
      <alignment horizontal="center" vertical="center"/>
    </xf>
    <xf numFmtId="167" fontId="9" fillId="0" borderId="2" xfId="1" applyNumberFormat="1" applyFont="1" applyBorder="1" applyAlignment="1">
      <alignment horizontal="center" vertical="center"/>
    </xf>
    <xf numFmtId="167" fontId="10" fillId="4" borderId="2" xfId="1" applyNumberFormat="1" applyFont="1" applyFill="1" applyBorder="1" applyAlignment="1">
      <alignment horizontal="center" vertical="center"/>
    </xf>
    <xf numFmtId="167" fontId="10" fillId="4" borderId="1" xfId="1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2" fillId="0" borderId="1" xfId="0" applyFont="1" applyFill="1" applyBorder="1"/>
    <xf numFmtId="0" fontId="2" fillId="0" borderId="0" xfId="0" applyFont="1" applyAlignment="1">
      <alignment horizontal="center"/>
    </xf>
    <xf numFmtId="0" fontId="4" fillId="0" borderId="4" xfId="0" applyFont="1" applyFill="1" applyBorder="1" applyAlignment="1">
      <alignment horizontal="center" vertical="center"/>
    </xf>
    <xf numFmtId="166" fontId="2" fillId="0" borderId="0" xfId="1" applyNumberFormat="1" applyFont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166" fontId="3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9"/>
  <sheetViews>
    <sheetView tabSelected="1" topLeftCell="A13" workbookViewId="0">
      <selection activeCell="H6" sqref="H6"/>
    </sheetView>
  </sheetViews>
  <sheetFormatPr defaultColWidth="8" defaultRowHeight="13.8" x14ac:dyDescent="0.25"/>
  <cols>
    <col min="1" max="1" width="8" style="24"/>
    <col min="2" max="2" width="32.109375" style="24" hidden="1" customWidth="1"/>
    <col min="3" max="3" width="57.44140625" style="24" customWidth="1"/>
    <col min="4" max="4" width="20.44140625" style="26" customWidth="1"/>
    <col min="5" max="5" width="17.6640625" style="24" customWidth="1"/>
    <col min="6" max="6" width="24.33203125" style="29" customWidth="1"/>
    <col min="7" max="16384" width="8" style="24"/>
  </cols>
  <sheetData>
    <row r="1" spans="1:6" s="23" customFormat="1" ht="20.399999999999999" x14ac:dyDescent="0.35">
      <c r="A1" s="68" t="s">
        <v>36</v>
      </c>
      <c r="B1" s="68"/>
      <c r="C1" s="68"/>
      <c r="D1" s="68"/>
      <c r="E1" s="68"/>
      <c r="F1" s="68"/>
    </row>
    <row r="2" spans="1:6" s="30" customFormat="1" ht="39" customHeight="1" x14ac:dyDescent="0.3">
      <c r="A2" s="53" t="s">
        <v>11</v>
      </c>
      <c r="B2" s="35"/>
      <c r="C2" s="35" t="s">
        <v>12</v>
      </c>
      <c r="D2" s="54" t="s">
        <v>13</v>
      </c>
      <c r="E2" s="53" t="s">
        <v>15</v>
      </c>
      <c r="F2" s="55" t="s">
        <v>17</v>
      </c>
    </row>
    <row r="3" spans="1:6" s="31" customFormat="1" ht="27.75" customHeight="1" x14ac:dyDescent="0.3">
      <c r="A3" s="56"/>
      <c r="B3" s="51"/>
      <c r="C3" s="51" t="s">
        <v>37</v>
      </c>
      <c r="D3" s="59">
        <f>SUM(D4:D5)</f>
        <v>76640000</v>
      </c>
      <c r="E3" s="59">
        <f>SUM(E4:E5)</f>
        <v>45900000</v>
      </c>
      <c r="F3" s="60">
        <f>SUM(F4:F5)</f>
        <v>30740000</v>
      </c>
    </row>
    <row r="4" spans="1:6" s="31" customFormat="1" ht="56.25" customHeight="1" x14ac:dyDescent="0.3">
      <c r="A4" s="53">
        <v>1</v>
      </c>
      <c r="B4" s="35"/>
      <c r="C4" s="64" t="s">
        <v>30</v>
      </c>
      <c r="D4" s="58">
        <v>30400000</v>
      </c>
      <c r="E4" s="40">
        <v>18200000</v>
      </c>
      <c r="F4" s="61">
        <f t="shared" ref="F4:F5" si="0">D4-E4</f>
        <v>12200000</v>
      </c>
    </row>
    <row r="5" spans="1:6" s="31" customFormat="1" ht="56.25" customHeight="1" x14ac:dyDescent="0.3">
      <c r="A5" s="53">
        <v>2</v>
      </c>
      <c r="B5" s="35"/>
      <c r="C5" s="65" t="s">
        <v>31</v>
      </c>
      <c r="D5" s="58">
        <v>46240000</v>
      </c>
      <c r="E5" s="40">
        <v>27700000</v>
      </c>
      <c r="F5" s="52">
        <f t="shared" si="0"/>
        <v>18540000</v>
      </c>
    </row>
    <row r="6" spans="1:6" s="31" customFormat="1" ht="27.75" customHeight="1" x14ac:dyDescent="0.3">
      <c r="A6" s="56"/>
      <c r="B6" s="51"/>
      <c r="C6" s="51" t="s">
        <v>24</v>
      </c>
      <c r="D6" s="59">
        <f>SUM(D7:D8)</f>
        <v>217714815</v>
      </c>
      <c r="E6" s="59">
        <f>SUM(E7:E8)</f>
        <v>122785287</v>
      </c>
      <c r="F6" s="60">
        <f>SUM(F7:F8)</f>
        <v>94929528</v>
      </c>
    </row>
    <row r="7" spans="1:6" s="31" customFormat="1" ht="51.75" customHeight="1" x14ac:dyDescent="0.3">
      <c r="A7" s="53">
        <v>3</v>
      </c>
      <c r="B7" s="35"/>
      <c r="C7" s="63" t="s">
        <v>28</v>
      </c>
      <c r="D7" s="58">
        <v>29751852</v>
      </c>
      <c r="E7" s="40">
        <v>26326000</v>
      </c>
      <c r="F7" s="61">
        <f>D7-E7</f>
        <v>3425852</v>
      </c>
    </row>
    <row r="8" spans="1:6" s="31" customFormat="1" ht="50.25" customHeight="1" x14ac:dyDescent="0.3">
      <c r="A8" s="53">
        <v>4</v>
      </c>
      <c r="B8" s="35"/>
      <c r="C8" s="63" t="s">
        <v>29</v>
      </c>
      <c r="D8" s="58">
        <v>187962963</v>
      </c>
      <c r="E8" s="62">
        <v>96459287</v>
      </c>
      <c r="F8" s="61">
        <f>D8-E8</f>
        <v>91503676</v>
      </c>
    </row>
    <row r="9" spans="1:6" s="30" customFormat="1" ht="36" customHeight="1" x14ac:dyDescent="0.3">
      <c r="A9" s="56"/>
      <c r="B9" s="70" t="s">
        <v>10</v>
      </c>
      <c r="C9" s="70"/>
      <c r="D9" s="57">
        <f>D6+D3</f>
        <v>294354815</v>
      </c>
      <c r="E9" s="57">
        <f t="shared" ref="E9" si="1">E6+E3</f>
        <v>168685287</v>
      </c>
      <c r="F9" s="57">
        <f>F6+F3</f>
        <v>125669528</v>
      </c>
    </row>
    <row r="10" spans="1:6" s="25" customFormat="1" ht="19.5" customHeight="1" x14ac:dyDescent="0.3">
      <c r="C10" s="71" t="s">
        <v>19</v>
      </c>
      <c r="D10" s="71"/>
      <c r="E10" s="27"/>
      <c r="F10" s="28"/>
    </row>
    <row r="11" spans="1:6" s="25" customFormat="1" ht="19.5" customHeight="1" x14ac:dyDescent="0.3">
      <c r="C11" s="69" t="s">
        <v>14</v>
      </c>
      <c r="D11" s="69"/>
      <c r="E11" s="34"/>
      <c r="F11" s="28"/>
    </row>
    <row r="12" spans="1:6" s="25" customFormat="1" ht="19.5" customHeight="1" x14ac:dyDescent="0.3">
      <c r="C12" s="6"/>
      <c r="D12" s="4"/>
      <c r="E12" s="50"/>
      <c r="F12" s="28"/>
    </row>
    <row r="13" spans="1:6" s="25" customFormat="1" ht="19.5" customHeight="1" x14ac:dyDescent="0.3">
      <c r="C13" s="6"/>
      <c r="D13" s="4"/>
      <c r="E13" s="4"/>
      <c r="F13" s="28"/>
    </row>
    <row r="14" spans="1:6" s="25" customFormat="1" ht="19.5" customHeight="1" x14ac:dyDescent="0.3">
      <c r="C14" s="6"/>
      <c r="D14" s="4"/>
      <c r="E14" s="4"/>
      <c r="F14" s="28"/>
    </row>
    <row r="15" spans="1:6" s="25" customFormat="1" ht="19.5" customHeight="1" x14ac:dyDescent="0.3">
      <c r="C15" s="6"/>
      <c r="D15" s="4"/>
      <c r="E15" s="4"/>
      <c r="F15" s="28"/>
    </row>
    <row r="16" spans="1:6" s="25" customFormat="1" ht="19.5" customHeight="1" x14ac:dyDescent="0.3">
      <c r="C16" s="6"/>
      <c r="D16" s="4"/>
      <c r="E16" s="4"/>
      <c r="F16" s="28"/>
    </row>
    <row r="17" spans="3:6" s="25" customFormat="1" ht="19.5" customHeight="1" x14ac:dyDescent="0.3">
      <c r="C17" s="6"/>
      <c r="D17" s="4"/>
      <c r="E17" s="4"/>
      <c r="F17" s="28"/>
    </row>
    <row r="18" spans="3:6" s="25" customFormat="1" ht="19.5" customHeight="1" x14ac:dyDescent="0.3">
      <c r="C18" s="69"/>
      <c r="D18" s="69"/>
      <c r="E18" s="34"/>
      <c r="F18" s="28"/>
    </row>
    <row r="19" spans="3:6" s="25" customFormat="1" ht="19.5" customHeight="1" x14ac:dyDescent="0.3">
      <c r="D19" s="32"/>
      <c r="F19" s="28"/>
    </row>
    <row r="20" spans="3:6" s="25" customFormat="1" ht="19.5" customHeight="1" x14ac:dyDescent="0.3">
      <c r="D20" s="32"/>
      <c r="F20" s="28"/>
    </row>
    <row r="21" spans="3:6" s="25" customFormat="1" ht="19.5" customHeight="1" x14ac:dyDescent="0.3">
      <c r="D21" s="32"/>
      <c r="F21" s="28"/>
    </row>
    <row r="22" spans="3:6" s="25" customFormat="1" ht="19.5" customHeight="1" x14ac:dyDescent="0.3">
      <c r="D22" s="32"/>
      <c r="F22" s="28"/>
    </row>
    <row r="23" spans="3:6" s="25" customFormat="1" ht="19.5" customHeight="1" x14ac:dyDescent="0.3">
      <c r="D23" s="32"/>
      <c r="F23" s="28"/>
    </row>
    <row r="24" spans="3:6" ht="19.5" customHeight="1" x14ac:dyDescent="0.25"/>
    <row r="25" spans="3:6" ht="19.5" customHeight="1" x14ac:dyDescent="0.25"/>
    <row r="26" spans="3:6" ht="19.5" customHeight="1" x14ac:dyDescent="0.25"/>
    <row r="27" spans="3:6" ht="19.5" customHeight="1" x14ac:dyDescent="0.25"/>
    <row r="28" spans="3:6" ht="19.5" customHeight="1" x14ac:dyDescent="0.25"/>
    <row r="29" spans="3:6" ht="19.5" customHeight="1" x14ac:dyDescent="0.25"/>
    <row r="30" spans="3:6" ht="19.5" customHeight="1" x14ac:dyDescent="0.25"/>
    <row r="31" spans="3:6" ht="19.5" customHeight="1" x14ac:dyDescent="0.25"/>
    <row r="32" spans="3: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</sheetData>
  <mergeCells count="5">
    <mergeCell ref="A1:F1"/>
    <mergeCell ref="C18:D18"/>
    <mergeCell ref="B9:C9"/>
    <mergeCell ref="C10:D10"/>
    <mergeCell ref="C11:D11"/>
  </mergeCells>
  <pageMargins left="0.19685039370078741" right="0.19685039370078741" top="0.39370078740157483" bottom="0.19685039370078741" header="0.31496062992125984" footer="0.31496062992125984"/>
  <pageSetup paperSize="9" scale="7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32"/>
  <sheetViews>
    <sheetView topLeftCell="A4" zoomScale="80" zoomScaleNormal="80" workbookViewId="0">
      <selection activeCell="M28" sqref="M28"/>
    </sheetView>
  </sheetViews>
  <sheetFormatPr defaultRowHeight="16.8" x14ac:dyDescent="0.3"/>
  <cols>
    <col min="1" max="1" width="2.109375" style="4" customWidth="1"/>
    <col min="2" max="2" width="32.6640625" style="4" customWidth="1"/>
    <col min="3" max="3" width="9.88671875" style="5" customWidth="1"/>
    <col min="4" max="4" width="19.44140625" style="6" customWidth="1"/>
    <col min="5" max="5" width="19.33203125" style="6" customWidth="1"/>
    <col min="6" max="6" width="16" style="6" customWidth="1"/>
    <col min="7" max="7" width="13.21875" style="6" customWidth="1"/>
    <col min="8" max="8" width="15.5546875" style="6" customWidth="1"/>
    <col min="9" max="9" width="16.88671875" style="4" customWidth="1"/>
    <col min="10" max="10" width="14.5546875" style="4" customWidth="1"/>
    <col min="11" max="11" width="16" style="4" customWidth="1"/>
    <col min="12" max="12" width="6.88671875" style="5" customWidth="1"/>
    <col min="13" max="13" width="15.5546875" style="6" customWidth="1"/>
    <col min="14" max="14" width="14.88671875" style="4" customWidth="1"/>
    <col min="15" max="15" width="16" style="4" customWidth="1"/>
    <col min="16" max="259" width="9.109375" style="4"/>
    <col min="260" max="260" width="28.88671875" style="4" customWidth="1"/>
    <col min="261" max="261" width="11" style="4" customWidth="1"/>
    <col min="262" max="262" width="18.6640625" style="4" customWidth="1"/>
    <col min="263" max="263" width="20.88671875" style="4" customWidth="1"/>
    <col min="264" max="264" width="0" style="4" hidden="1" customWidth="1"/>
    <col min="265" max="265" width="17" style="4" customWidth="1"/>
    <col min="266" max="266" width="15.6640625" style="4" customWidth="1"/>
    <col min="267" max="267" width="6.88671875" style="4" customWidth="1"/>
    <col min="268" max="269" width="15.33203125" style="4" customWidth="1"/>
    <col min="270" max="270" width="18.44140625" style="4" customWidth="1"/>
    <col min="271" max="271" width="0" style="4" hidden="1" customWidth="1"/>
    <col min="272" max="515" width="9.109375" style="4"/>
    <col min="516" max="516" width="28.88671875" style="4" customWidth="1"/>
    <col min="517" max="517" width="11" style="4" customWidth="1"/>
    <col min="518" max="518" width="18.6640625" style="4" customWidth="1"/>
    <col min="519" max="519" width="20.88671875" style="4" customWidth="1"/>
    <col min="520" max="520" width="0" style="4" hidden="1" customWidth="1"/>
    <col min="521" max="521" width="17" style="4" customWidth="1"/>
    <col min="522" max="522" width="15.6640625" style="4" customWidth="1"/>
    <col min="523" max="523" width="6.88671875" style="4" customWidth="1"/>
    <col min="524" max="525" width="15.33203125" style="4" customWidth="1"/>
    <col min="526" max="526" width="18.44140625" style="4" customWidth="1"/>
    <col min="527" max="527" width="0" style="4" hidden="1" customWidth="1"/>
    <col min="528" max="771" width="9.109375" style="4"/>
    <col min="772" max="772" width="28.88671875" style="4" customWidth="1"/>
    <col min="773" max="773" width="11" style="4" customWidth="1"/>
    <col min="774" max="774" width="18.6640625" style="4" customWidth="1"/>
    <col min="775" max="775" width="20.88671875" style="4" customWidth="1"/>
    <col min="776" max="776" width="0" style="4" hidden="1" customWidth="1"/>
    <col min="777" max="777" width="17" style="4" customWidth="1"/>
    <col min="778" max="778" width="15.6640625" style="4" customWidth="1"/>
    <col min="779" max="779" width="6.88671875" style="4" customWidth="1"/>
    <col min="780" max="781" width="15.33203125" style="4" customWidth="1"/>
    <col min="782" max="782" width="18.44140625" style="4" customWidth="1"/>
    <col min="783" max="783" width="0" style="4" hidden="1" customWidth="1"/>
    <col min="784" max="1027" width="9.109375" style="4"/>
    <col min="1028" max="1028" width="28.88671875" style="4" customWidth="1"/>
    <col min="1029" max="1029" width="11" style="4" customWidth="1"/>
    <col min="1030" max="1030" width="18.6640625" style="4" customWidth="1"/>
    <col min="1031" max="1031" width="20.88671875" style="4" customWidth="1"/>
    <col min="1032" max="1032" width="0" style="4" hidden="1" customWidth="1"/>
    <col min="1033" max="1033" width="17" style="4" customWidth="1"/>
    <col min="1034" max="1034" width="15.6640625" style="4" customWidth="1"/>
    <col min="1035" max="1035" width="6.88671875" style="4" customWidth="1"/>
    <col min="1036" max="1037" width="15.33203125" style="4" customWidth="1"/>
    <col min="1038" max="1038" width="18.44140625" style="4" customWidth="1"/>
    <col min="1039" max="1039" width="0" style="4" hidden="1" customWidth="1"/>
    <col min="1040" max="1283" width="9.109375" style="4"/>
    <col min="1284" max="1284" width="28.88671875" style="4" customWidth="1"/>
    <col min="1285" max="1285" width="11" style="4" customWidth="1"/>
    <col min="1286" max="1286" width="18.6640625" style="4" customWidth="1"/>
    <col min="1287" max="1287" width="20.88671875" style="4" customWidth="1"/>
    <col min="1288" max="1288" width="0" style="4" hidden="1" customWidth="1"/>
    <col min="1289" max="1289" width="17" style="4" customWidth="1"/>
    <col min="1290" max="1290" width="15.6640625" style="4" customWidth="1"/>
    <col min="1291" max="1291" width="6.88671875" style="4" customWidth="1"/>
    <col min="1292" max="1293" width="15.33203125" style="4" customWidth="1"/>
    <col min="1294" max="1294" width="18.44140625" style="4" customWidth="1"/>
    <col min="1295" max="1295" width="0" style="4" hidden="1" customWidth="1"/>
    <col min="1296" max="1539" width="9.109375" style="4"/>
    <col min="1540" max="1540" width="28.88671875" style="4" customWidth="1"/>
    <col min="1541" max="1541" width="11" style="4" customWidth="1"/>
    <col min="1542" max="1542" width="18.6640625" style="4" customWidth="1"/>
    <col min="1543" max="1543" width="20.88671875" style="4" customWidth="1"/>
    <col min="1544" max="1544" width="0" style="4" hidden="1" customWidth="1"/>
    <col min="1545" max="1545" width="17" style="4" customWidth="1"/>
    <col min="1546" max="1546" width="15.6640625" style="4" customWidth="1"/>
    <col min="1547" max="1547" width="6.88671875" style="4" customWidth="1"/>
    <col min="1548" max="1549" width="15.33203125" style="4" customWidth="1"/>
    <col min="1550" max="1550" width="18.44140625" style="4" customWidth="1"/>
    <col min="1551" max="1551" width="0" style="4" hidden="1" customWidth="1"/>
    <col min="1552" max="1795" width="9.109375" style="4"/>
    <col min="1796" max="1796" width="28.88671875" style="4" customWidth="1"/>
    <col min="1797" max="1797" width="11" style="4" customWidth="1"/>
    <col min="1798" max="1798" width="18.6640625" style="4" customWidth="1"/>
    <col min="1799" max="1799" width="20.88671875" style="4" customWidth="1"/>
    <col min="1800" max="1800" width="0" style="4" hidden="1" customWidth="1"/>
    <col min="1801" max="1801" width="17" style="4" customWidth="1"/>
    <col min="1802" max="1802" width="15.6640625" style="4" customWidth="1"/>
    <col min="1803" max="1803" width="6.88671875" style="4" customWidth="1"/>
    <col min="1804" max="1805" width="15.33203125" style="4" customWidth="1"/>
    <col min="1806" max="1806" width="18.44140625" style="4" customWidth="1"/>
    <col min="1807" max="1807" width="0" style="4" hidden="1" customWidth="1"/>
    <col min="1808" max="2051" width="9.109375" style="4"/>
    <col min="2052" max="2052" width="28.88671875" style="4" customWidth="1"/>
    <col min="2053" max="2053" width="11" style="4" customWidth="1"/>
    <col min="2054" max="2054" width="18.6640625" style="4" customWidth="1"/>
    <col min="2055" max="2055" width="20.88671875" style="4" customWidth="1"/>
    <col min="2056" max="2056" width="0" style="4" hidden="1" customWidth="1"/>
    <col min="2057" max="2057" width="17" style="4" customWidth="1"/>
    <col min="2058" max="2058" width="15.6640625" style="4" customWidth="1"/>
    <col min="2059" max="2059" width="6.88671875" style="4" customWidth="1"/>
    <col min="2060" max="2061" width="15.33203125" style="4" customWidth="1"/>
    <col min="2062" max="2062" width="18.44140625" style="4" customWidth="1"/>
    <col min="2063" max="2063" width="0" style="4" hidden="1" customWidth="1"/>
    <col min="2064" max="2307" width="9.109375" style="4"/>
    <col min="2308" max="2308" width="28.88671875" style="4" customWidth="1"/>
    <col min="2309" max="2309" width="11" style="4" customWidth="1"/>
    <col min="2310" max="2310" width="18.6640625" style="4" customWidth="1"/>
    <col min="2311" max="2311" width="20.88671875" style="4" customWidth="1"/>
    <col min="2312" max="2312" width="0" style="4" hidden="1" customWidth="1"/>
    <col min="2313" max="2313" width="17" style="4" customWidth="1"/>
    <col min="2314" max="2314" width="15.6640625" style="4" customWidth="1"/>
    <col min="2315" max="2315" width="6.88671875" style="4" customWidth="1"/>
    <col min="2316" max="2317" width="15.33203125" style="4" customWidth="1"/>
    <col min="2318" max="2318" width="18.44140625" style="4" customWidth="1"/>
    <col min="2319" max="2319" width="0" style="4" hidden="1" customWidth="1"/>
    <col min="2320" max="2563" width="9.109375" style="4"/>
    <col min="2564" max="2564" width="28.88671875" style="4" customWidth="1"/>
    <col min="2565" max="2565" width="11" style="4" customWidth="1"/>
    <col min="2566" max="2566" width="18.6640625" style="4" customWidth="1"/>
    <col min="2567" max="2567" width="20.88671875" style="4" customWidth="1"/>
    <col min="2568" max="2568" width="0" style="4" hidden="1" customWidth="1"/>
    <col min="2569" max="2569" width="17" style="4" customWidth="1"/>
    <col min="2570" max="2570" width="15.6640625" style="4" customWidth="1"/>
    <col min="2571" max="2571" width="6.88671875" style="4" customWidth="1"/>
    <col min="2572" max="2573" width="15.33203125" style="4" customWidth="1"/>
    <col min="2574" max="2574" width="18.44140625" style="4" customWidth="1"/>
    <col min="2575" max="2575" width="0" style="4" hidden="1" customWidth="1"/>
    <col min="2576" max="2819" width="9.109375" style="4"/>
    <col min="2820" max="2820" width="28.88671875" style="4" customWidth="1"/>
    <col min="2821" max="2821" width="11" style="4" customWidth="1"/>
    <col min="2822" max="2822" width="18.6640625" style="4" customWidth="1"/>
    <col min="2823" max="2823" width="20.88671875" style="4" customWidth="1"/>
    <col min="2824" max="2824" width="0" style="4" hidden="1" customWidth="1"/>
    <col min="2825" max="2825" width="17" style="4" customWidth="1"/>
    <col min="2826" max="2826" width="15.6640625" style="4" customWidth="1"/>
    <col min="2827" max="2827" width="6.88671875" style="4" customWidth="1"/>
    <col min="2828" max="2829" width="15.33203125" style="4" customWidth="1"/>
    <col min="2830" max="2830" width="18.44140625" style="4" customWidth="1"/>
    <col min="2831" max="2831" width="0" style="4" hidden="1" customWidth="1"/>
    <col min="2832" max="3075" width="9.109375" style="4"/>
    <col min="3076" max="3076" width="28.88671875" style="4" customWidth="1"/>
    <col min="3077" max="3077" width="11" style="4" customWidth="1"/>
    <col min="3078" max="3078" width="18.6640625" style="4" customWidth="1"/>
    <col min="3079" max="3079" width="20.88671875" style="4" customWidth="1"/>
    <col min="3080" max="3080" width="0" style="4" hidden="1" customWidth="1"/>
    <col min="3081" max="3081" width="17" style="4" customWidth="1"/>
    <col min="3082" max="3082" width="15.6640625" style="4" customWidth="1"/>
    <col min="3083" max="3083" width="6.88671875" style="4" customWidth="1"/>
    <col min="3084" max="3085" width="15.33203125" style="4" customWidth="1"/>
    <col min="3086" max="3086" width="18.44140625" style="4" customWidth="1"/>
    <col min="3087" max="3087" width="0" style="4" hidden="1" customWidth="1"/>
    <col min="3088" max="3331" width="9.109375" style="4"/>
    <col min="3332" max="3332" width="28.88671875" style="4" customWidth="1"/>
    <col min="3333" max="3333" width="11" style="4" customWidth="1"/>
    <col min="3334" max="3334" width="18.6640625" style="4" customWidth="1"/>
    <col min="3335" max="3335" width="20.88671875" style="4" customWidth="1"/>
    <col min="3336" max="3336" width="0" style="4" hidden="1" customWidth="1"/>
    <col min="3337" max="3337" width="17" style="4" customWidth="1"/>
    <col min="3338" max="3338" width="15.6640625" style="4" customWidth="1"/>
    <col min="3339" max="3339" width="6.88671875" style="4" customWidth="1"/>
    <col min="3340" max="3341" width="15.33203125" style="4" customWidth="1"/>
    <col min="3342" max="3342" width="18.44140625" style="4" customWidth="1"/>
    <col min="3343" max="3343" width="0" style="4" hidden="1" customWidth="1"/>
    <col min="3344" max="3587" width="9.109375" style="4"/>
    <col min="3588" max="3588" width="28.88671875" style="4" customWidth="1"/>
    <col min="3589" max="3589" width="11" style="4" customWidth="1"/>
    <col min="3590" max="3590" width="18.6640625" style="4" customWidth="1"/>
    <col min="3591" max="3591" width="20.88671875" style="4" customWidth="1"/>
    <col min="3592" max="3592" width="0" style="4" hidden="1" customWidth="1"/>
    <col min="3593" max="3593" width="17" style="4" customWidth="1"/>
    <col min="3594" max="3594" width="15.6640625" style="4" customWidth="1"/>
    <col min="3595" max="3595" width="6.88671875" style="4" customWidth="1"/>
    <col min="3596" max="3597" width="15.33203125" style="4" customWidth="1"/>
    <col min="3598" max="3598" width="18.44140625" style="4" customWidth="1"/>
    <col min="3599" max="3599" width="0" style="4" hidden="1" customWidth="1"/>
    <col min="3600" max="3843" width="9.109375" style="4"/>
    <col min="3844" max="3844" width="28.88671875" style="4" customWidth="1"/>
    <col min="3845" max="3845" width="11" style="4" customWidth="1"/>
    <col min="3846" max="3846" width="18.6640625" style="4" customWidth="1"/>
    <col min="3847" max="3847" width="20.88671875" style="4" customWidth="1"/>
    <col min="3848" max="3848" width="0" style="4" hidden="1" customWidth="1"/>
    <col min="3849" max="3849" width="17" style="4" customWidth="1"/>
    <col min="3850" max="3850" width="15.6640625" style="4" customWidth="1"/>
    <col min="3851" max="3851" width="6.88671875" style="4" customWidth="1"/>
    <col min="3852" max="3853" width="15.33203125" style="4" customWidth="1"/>
    <col min="3854" max="3854" width="18.44140625" style="4" customWidth="1"/>
    <col min="3855" max="3855" width="0" style="4" hidden="1" customWidth="1"/>
    <col min="3856" max="4099" width="9.109375" style="4"/>
    <col min="4100" max="4100" width="28.88671875" style="4" customWidth="1"/>
    <col min="4101" max="4101" width="11" style="4" customWidth="1"/>
    <col min="4102" max="4102" width="18.6640625" style="4" customWidth="1"/>
    <col min="4103" max="4103" width="20.88671875" style="4" customWidth="1"/>
    <col min="4104" max="4104" width="0" style="4" hidden="1" customWidth="1"/>
    <col min="4105" max="4105" width="17" style="4" customWidth="1"/>
    <col min="4106" max="4106" width="15.6640625" style="4" customWidth="1"/>
    <col min="4107" max="4107" width="6.88671875" style="4" customWidth="1"/>
    <col min="4108" max="4109" width="15.33203125" style="4" customWidth="1"/>
    <col min="4110" max="4110" width="18.44140625" style="4" customWidth="1"/>
    <col min="4111" max="4111" width="0" style="4" hidden="1" customWidth="1"/>
    <col min="4112" max="4355" width="9.109375" style="4"/>
    <col min="4356" max="4356" width="28.88671875" style="4" customWidth="1"/>
    <col min="4357" max="4357" width="11" style="4" customWidth="1"/>
    <col min="4358" max="4358" width="18.6640625" style="4" customWidth="1"/>
    <col min="4359" max="4359" width="20.88671875" style="4" customWidth="1"/>
    <col min="4360" max="4360" width="0" style="4" hidden="1" customWidth="1"/>
    <col min="4361" max="4361" width="17" style="4" customWidth="1"/>
    <col min="4362" max="4362" width="15.6640625" style="4" customWidth="1"/>
    <col min="4363" max="4363" width="6.88671875" style="4" customWidth="1"/>
    <col min="4364" max="4365" width="15.33203125" style="4" customWidth="1"/>
    <col min="4366" max="4366" width="18.44140625" style="4" customWidth="1"/>
    <col min="4367" max="4367" width="0" style="4" hidden="1" customWidth="1"/>
    <col min="4368" max="4611" width="9.109375" style="4"/>
    <col min="4612" max="4612" width="28.88671875" style="4" customWidth="1"/>
    <col min="4613" max="4613" width="11" style="4" customWidth="1"/>
    <col min="4614" max="4614" width="18.6640625" style="4" customWidth="1"/>
    <col min="4615" max="4615" width="20.88671875" style="4" customWidth="1"/>
    <col min="4616" max="4616" width="0" style="4" hidden="1" customWidth="1"/>
    <col min="4617" max="4617" width="17" style="4" customWidth="1"/>
    <col min="4618" max="4618" width="15.6640625" style="4" customWidth="1"/>
    <col min="4619" max="4619" width="6.88671875" style="4" customWidth="1"/>
    <col min="4620" max="4621" width="15.33203125" style="4" customWidth="1"/>
    <col min="4622" max="4622" width="18.44140625" style="4" customWidth="1"/>
    <col min="4623" max="4623" width="0" style="4" hidden="1" customWidth="1"/>
    <col min="4624" max="4867" width="9.109375" style="4"/>
    <col min="4868" max="4868" width="28.88671875" style="4" customWidth="1"/>
    <col min="4869" max="4869" width="11" style="4" customWidth="1"/>
    <col min="4870" max="4870" width="18.6640625" style="4" customWidth="1"/>
    <col min="4871" max="4871" width="20.88671875" style="4" customWidth="1"/>
    <col min="4872" max="4872" width="0" style="4" hidden="1" customWidth="1"/>
    <col min="4873" max="4873" width="17" style="4" customWidth="1"/>
    <col min="4874" max="4874" width="15.6640625" style="4" customWidth="1"/>
    <col min="4875" max="4875" width="6.88671875" style="4" customWidth="1"/>
    <col min="4876" max="4877" width="15.33203125" style="4" customWidth="1"/>
    <col min="4878" max="4878" width="18.44140625" style="4" customWidth="1"/>
    <col min="4879" max="4879" width="0" style="4" hidden="1" customWidth="1"/>
    <col min="4880" max="5123" width="9.109375" style="4"/>
    <col min="5124" max="5124" width="28.88671875" style="4" customWidth="1"/>
    <col min="5125" max="5125" width="11" style="4" customWidth="1"/>
    <col min="5126" max="5126" width="18.6640625" style="4" customWidth="1"/>
    <col min="5127" max="5127" width="20.88671875" style="4" customWidth="1"/>
    <col min="5128" max="5128" width="0" style="4" hidden="1" customWidth="1"/>
    <col min="5129" max="5129" width="17" style="4" customWidth="1"/>
    <col min="5130" max="5130" width="15.6640625" style="4" customWidth="1"/>
    <col min="5131" max="5131" width="6.88671875" style="4" customWidth="1"/>
    <col min="5132" max="5133" width="15.33203125" style="4" customWidth="1"/>
    <col min="5134" max="5134" width="18.44140625" style="4" customWidth="1"/>
    <col min="5135" max="5135" width="0" style="4" hidden="1" customWidth="1"/>
    <col min="5136" max="5379" width="9.109375" style="4"/>
    <col min="5380" max="5380" width="28.88671875" style="4" customWidth="1"/>
    <col min="5381" max="5381" width="11" style="4" customWidth="1"/>
    <col min="5382" max="5382" width="18.6640625" style="4" customWidth="1"/>
    <col min="5383" max="5383" width="20.88671875" style="4" customWidth="1"/>
    <col min="5384" max="5384" width="0" style="4" hidden="1" customWidth="1"/>
    <col min="5385" max="5385" width="17" style="4" customWidth="1"/>
    <col min="5386" max="5386" width="15.6640625" style="4" customWidth="1"/>
    <col min="5387" max="5387" width="6.88671875" style="4" customWidth="1"/>
    <col min="5388" max="5389" width="15.33203125" style="4" customWidth="1"/>
    <col min="5390" max="5390" width="18.44140625" style="4" customWidth="1"/>
    <col min="5391" max="5391" width="0" style="4" hidden="1" customWidth="1"/>
    <col min="5392" max="5635" width="9.109375" style="4"/>
    <col min="5636" max="5636" width="28.88671875" style="4" customWidth="1"/>
    <col min="5637" max="5637" width="11" style="4" customWidth="1"/>
    <col min="5638" max="5638" width="18.6640625" style="4" customWidth="1"/>
    <col min="5639" max="5639" width="20.88671875" style="4" customWidth="1"/>
    <col min="5640" max="5640" width="0" style="4" hidden="1" customWidth="1"/>
    <col min="5641" max="5641" width="17" style="4" customWidth="1"/>
    <col min="5642" max="5642" width="15.6640625" style="4" customWidth="1"/>
    <col min="5643" max="5643" width="6.88671875" style="4" customWidth="1"/>
    <col min="5644" max="5645" width="15.33203125" style="4" customWidth="1"/>
    <col min="5646" max="5646" width="18.44140625" style="4" customWidth="1"/>
    <col min="5647" max="5647" width="0" style="4" hidden="1" customWidth="1"/>
    <col min="5648" max="5891" width="9.109375" style="4"/>
    <col min="5892" max="5892" width="28.88671875" style="4" customWidth="1"/>
    <col min="5893" max="5893" width="11" style="4" customWidth="1"/>
    <col min="5894" max="5894" width="18.6640625" style="4" customWidth="1"/>
    <col min="5895" max="5895" width="20.88671875" style="4" customWidth="1"/>
    <col min="5896" max="5896" width="0" style="4" hidden="1" customWidth="1"/>
    <col min="5897" max="5897" width="17" style="4" customWidth="1"/>
    <col min="5898" max="5898" width="15.6640625" style="4" customWidth="1"/>
    <col min="5899" max="5899" width="6.88671875" style="4" customWidth="1"/>
    <col min="5900" max="5901" width="15.33203125" style="4" customWidth="1"/>
    <col min="5902" max="5902" width="18.44140625" style="4" customWidth="1"/>
    <col min="5903" max="5903" width="0" style="4" hidden="1" customWidth="1"/>
    <col min="5904" max="6147" width="9.109375" style="4"/>
    <col min="6148" max="6148" width="28.88671875" style="4" customWidth="1"/>
    <col min="6149" max="6149" width="11" style="4" customWidth="1"/>
    <col min="6150" max="6150" width="18.6640625" style="4" customWidth="1"/>
    <col min="6151" max="6151" width="20.88671875" style="4" customWidth="1"/>
    <col min="6152" max="6152" width="0" style="4" hidden="1" customWidth="1"/>
    <col min="6153" max="6153" width="17" style="4" customWidth="1"/>
    <col min="6154" max="6154" width="15.6640625" style="4" customWidth="1"/>
    <col min="6155" max="6155" width="6.88671875" style="4" customWidth="1"/>
    <col min="6156" max="6157" width="15.33203125" style="4" customWidth="1"/>
    <col min="6158" max="6158" width="18.44140625" style="4" customWidth="1"/>
    <col min="6159" max="6159" width="0" style="4" hidden="1" customWidth="1"/>
    <col min="6160" max="6403" width="9.109375" style="4"/>
    <col min="6404" max="6404" width="28.88671875" style="4" customWidth="1"/>
    <col min="6405" max="6405" width="11" style="4" customWidth="1"/>
    <col min="6406" max="6406" width="18.6640625" style="4" customWidth="1"/>
    <col min="6407" max="6407" width="20.88671875" style="4" customWidth="1"/>
    <col min="6408" max="6408" width="0" style="4" hidden="1" customWidth="1"/>
    <col min="6409" max="6409" width="17" style="4" customWidth="1"/>
    <col min="6410" max="6410" width="15.6640625" style="4" customWidth="1"/>
    <col min="6411" max="6411" width="6.88671875" style="4" customWidth="1"/>
    <col min="6412" max="6413" width="15.33203125" style="4" customWidth="1"/>
    <col min="6414" max="6414" width="18.44140625" style="4" customWidth="1"/>
    <col min="6415" max="6415" width="0" style="4" hidden="1" customWidth="1"/>
    <col min="6416" max="6659" width="9.109375" style="4"/>
    <col min="6660" max="6660" width="28.88671875" style="4" customWidth="1"/>
    <col min="6661" max="6661" width="11" style="4" customWidth="1"/>
    <col min="6662" max="6662" width="18.6640625" style="4" customWidth="1"/>
    <col min="6663" max="6663" width="20.88671875" style="4" customWidth="1"/>
    <col min="6664" max="6664" width="0" style="4" hidden="1" customWidth="1"/>
    <col min="6665" max="6665" width="17" style="4" customWidth="1"/>
    <col min="6666" max="6666" width="15.6640625" style="4" customWidth="1"/>
    <col min="6667" max="6667" width="6.88671875" style="4" customWidth="1"/>
    <col min="6668" max="6669" width="15.33203125" style="4" customWidth="1"/>
    <col min="6670" max="6670" width="18.44140625" style="4" customWidth="1"/>
    <col min="6671" max="6671" width="0" style="4" hidden="1" customWidth="1"/>
    <col min="6672" max="6915" width="9.109375" style="4"/>
    <col min="6916" max="6916" width="28.88671875" style="4" customWidth="1"/>
    <col min="6917" max="6917" width="11" style="4" customWidth="1"/>
    <col min="6918" max="6918" width="18.6640625" style="4" customWidth="1"/>
    <col min="6919" max="6919" width="20.88671875" style="4" customWidth="1"/>
    <col min="6920" max="6920" width="0" style="4" hidden="1" customWidth="1"/>
    <col min="6921" max="6921" width="17" style="4" customWidth="1"/>
    <col min="6922" max="6922" width="15.6640625" style="4" customWidth="1"/>
    <col min="6923" max="6923" width="6.88671875" style="4" customWidth="1"/>
    <col min="6924" max="6925" width="15.33203125" style="4" customWidth="1"/>
    <col min="6926" max="6926" width="18.44140625" style="4" customWidth="1"/>
    <col min="6927" max="6927" width="0" style="4" hidden="1" customWidth="1"/>
    <col min="6928" max="7171" width="9.109375" style="4"/>
    <col min="7172" max="7172" width="28.88671875" style="4" customWidth="1"/>
    <col min="7173" max="7173" width="11" style="4" customWidth="1"/>
    <col min="7174" max="7174" width="18.6640625" style="4" customWidth="1"/>
    <col min="7175" max="7175" width="20.88671875" style="4" customWidth="1"/>
    <col min="7176" max="7176" width="0" style="4" hidden="1" customWidth="1"/>
    <col min="7177" max="7177" width="17" style="4" customWidth="1"/>
    <col min="7178" max="7178" width="15.6640625" style="4" customWidth="1"/>
    <col min="7179" max="7179" width="6.88671875" style="4" customWidth="1"/>
    <col min="7180" max="7181" width="15.33203125" style="4" customWidth="1"/>
    <col min="7182" max="7182" width="18.44140625" style="4" customWidth="1"/>
    <col min="7183" max="7183" width="0" style="4" hidden="1" customWidth="1"/>
    <col min="7184" max="7427" width="9.109375" style="4"/>
    <col min="7428" max="7428" width="28.88671875" style="4" customWidth="1"/>
    <col min="7429" max="7429" width="11" style="4" customWidth="1"/>
    <col min="7430" max="7430" width="18.6640625" style="4" customWidth="1"/>
    <col min="7431" max="7431" width="20.88671875" style="4" customWidth="1"/>
    <col min="7432" max="7432" width="0" style="4" hidden="1" customWidth="1"/>
    <col min="7433" max="7433" width="17" style="4" customWidth="1"/>
    <col min="7434" max="7434" width="15.6640625" style="4" customWidth="1"/>
    <col min="7435" max="7435" width="6.88671875" style="4" customWidth="1"/>
    <col min="7436" max="7437" width="15.33203125" style="4" customWidth="1"/>
    <col min="7438" max="7438" width="18.44140625" style="4" customWidth="1"/>
    <col min="7439" max="7439" width="0" style="4" hidden="1" customWidth="1"/>
    <col min="7440" max="7683" width="9.109375" style="4"/>
    <col min="7684" max="7684" width="28.88671875" style="4" customWidth="1"/>
    <col min="7685" max="7685" width="11" style="4" customWidth="1"/>
    <col min="7686" max="7686" width="18.6640625" style="4" customWidth="1"/>
    <col min="7687" max="7687" width="20.88671875" style="4" customWidth="1"/>
    <col min="7688" max="7688" width="0" style="4" hidden="1" customWidth="1"/>
    <col min="7689" max="7689" width="17" style="4" customWidth="1"/>
    <col min="7690" max="7690" width="15.6640625" style="4" customWidth="1"/>
    <col min="7691" max="7691" width="6.88671875" style="4" customWidth="1"/>
    <col min="7692" max="7693" width="15.33203125" style="4" customWidth="1"/>
    <col min="7694" max="7694" width="18.44140625" style="4" customWidth="1"/>
    <col min="7695" max="7695" width="0" style="4" hidden="1" customWidth="1"/>
    <col min="7696" max="7939" width="9.109375" style="4"/>
    <col min="7940" max="7940" width="28.88671875" style="4" customWidth="1"/>
    <col min="7941" max="7941" width="11" style="4" customWidth="1"/>
    <col min="7942" max="7942" width="18.6640625" style="4" customWidth="1"/>
    <col min="7943" max="7943" width="20.88671875" style="4" customWidth="1"/>
    <col min="7944" max="7944" width="0" style="4" hidden="1" customWidth="1"/>
    <col min="7945" max="7945" width="17" style="4" customWidth="1"/>
    <col min="7946" max="7946" width="15.6640625" style="4" customWidth="1"/>
    <col min="7947" max="7947" width="6.88671875" style="4" customWidth="1"/>
    <col min="7948" max="7949" width="15.33203125" style="4" customWidth="1"/>
    <col min="7950" max="7950" width="18.44140625" style="4" customWidth="1"/>
    <col min="7951" max="7951" width="0" style="4" hidden="1" customWidth="1"/>
    <col min="7952" max="8195" width="9.109375" style="4"/>
    <col min="8196" max="8196" width="28.88671875" style="4" customWidth="1"/>
    <col min="8197" max="8197" width="11" style="4" customWidth="1"/>
    <col min="8198" max="8198" width="18.6640625" style="4" customWidth="1"/>
    <col min="8199" max="8199" width="20.88671875" style="4" customWidth="1"/>
    <col min="8200" max="8200" width="0" style="4" hidden="1" customWidth="1"/>
    <col min="8201" max="8201" width="17" style="4" customWidth="1"/>
    <col min="8202" max="8202" width="15.6640625" style="4" customWidth="1"/>
    <col min="8203" max="8203" width="6.88671875" style="4" customWidth="1"/>
    <col min="8204" max="8205" width="15.33203125" style="4" customWidth="1"/>
    <col min="8206" max="8206" width="18.44140625" style="4" customWidth="1"/>
    <col min="8207" max="8207" width="0" style="4" hidden="1" customWidth="1"/>
    <col min="8208" max="8451" width="9.109375" style="4"/>
    <col min="8452" max="8452" width="28.88671875" style="4" customWidth="1"/>
    <col min="8453" max="8453" width="11" style="4" customWidth="1"/>
    <col min="8454" max="8454" width="18.6640625" style="4" customWidth="1"/>
    <col min="8455" max="8455" width="20.88671875" style="4" customWidth="1"/>
    <col min="8456" max="8456" width="0" style="4" hidden="1" customWidth="1"/>
    <col min="8457" max="8457" width="17" style="4" customWidth="1"/>
    <col min="8458" max="8458" width="15.6640625" style="4" customWidth="1"/>
    <col min="8459" max="8459" width="6.88671875" style="4" customWidth="1"/>
    <col min="8460" max="8461" width="15.33203125" style="4" customWidth="1"/>
    <col min="8462" max="8462" width="18.44140625" style="4" customWidth="1"/>
    <col min="8463" max="8463" width="0" style="4" hidden="1" customWidth="1"/>
    <col min="8464" max="8707" width="9.109375" style="4"/>
    <col min="8708" max="8708" width="28.88671875" style="4" customWidth="1"/>
    <col min="8709" max="8709" width="11" style="4" customWidth="1"/>
    <col min="8710" max="8710" width="18.6640625" style="4" customWidth="1"/>
    <col min="8711" max="8711" width="20.88671875" style="4" customWidth="1"/>
    <col min="8712" max="8712" width="0" style="4" hidden="1" customWidth="1"/>
    <col min="8713" max="8713" width="17" style="4" customWidth="1"/>
    <col min="8714" max="8714" width="15.6640625" style="4" customWidth="1"/>
    <col min="8715" max="8715" width="6.88671875" style="4" customWidth="1"/>
    <col min="8716" max="8717" width="15.33203125" style="4" customWidth="1"/>
    <col min="8718" max="8718" width="18.44140625" style="4" customWidth="1"/>
    <col min="8719" max="8719" width="0" style="4" hidden="1" customWidth="1"/>
    <col min="8720" max="8963" width="9.109375" style="4"/>
    <col min="8964" max="8964" width="28.88671875" style="4" customWidth="1"/>
    <col min="8965" max="8965" width="11" style="4" customWidth="1"/>
    <col min="8966" max="8966" width="18.6640625" style="4" customWidth="1"/>
    <col min="8967" max="8967" width="20.88671875" style="4" customWidth="1"/>
    <col min="8968" max="8968" width="0" style="4" hidden="1" customWidth="1"/>
    <col min="8969" max="8969" width="17" style="4" customWidth="1"/>
    <col min="8970" max="8970" width="15.6640625" style="4" customWidth="1"/>
    <col min="8971" max="8971" width="6.88671875" style="4" customWidth="1"/>
    <col min="8972" max="8973" width="15.33203125" style="4" customWidth="1"/>
    <col min="8974" max="8974" width="18.44140625" style="4" customWidth="1"/>
    <col min="8975" max="8975" width="0" style="4" hidden="1" customWidth="1"/>
    <col min="8976" max="9219" width="9.109375" style="4"/>
    <col min="9220" max="9220" width="28.88671875" style="4" customWidth="1"/>
    <col min="9221" max="9221" width="11" style="4" customWidth="1"/>
    <col min="9222" max="9222" width="18.6640625" style="4" customWidth="1"/>
    <col min="9223" max="9223" width="20.88671875" style="4" customWidth="1"/>
    <col min="9224" max="9224" width="0" style="4" hidden="1" customWidth="1"/>
    <col min="9225" max="9225" width="17" style="4" customWidth="1"/>
    <col min="9226" max="9226" width="15.6640625" style="4" customWidth="1"/>
    <col min="9227" max="9227" width="6.88671875" style="4" customWidth="1"/>
    <col min="9228" max="9229" width="15.33203125" style="4" customWidth="1"/>
    <col min="9230" max="9230" width="18.44140625" style="4" customWidth="1"/>
    <col min="9231" max="9231" width="0" style="4" hidden="1" customWidth="1"/>
    <col min="9232" max="9475" width="9.109375" style="4"/>
    <col min="9476" max="9476" width="28.88671875" style="4" customWidth="1"/>
    <col min="9477" max="9477" width="11" style="4" customWidth="1"/>
    <col min="9478" max="9478" width="18.6640625" style="4" customWidth="1"/>
    <col min="9479" max="9479" width="20.88671875" style="4" customWidth="1"/>
    <col min="9480" max="9480" width="0" style="4" hidden="1" customWidth="1"/>
    <col min="9481" max="9481" width="17" style="4" customWidth="1"/>
    <col min="9482" max="9482" width="15.6640625" style="4" customWidth="1"/>
    <col min="9483" max="9483" width="6.88671875" style="4" customWidth="1"/>
    <col min="9484" max="9485" width="15.33203125" style="4" customWidth="1"/>
    <col min="9486" max="9486" width="18.44140625" style="4" customWidth="1"/>
    <col min="9487" max="9487" width="0" style="4" hidden="1" customWidth="1"/>
    <col min="9488" max="9731" width="9.109375" style="4"/>
    <col min="9732" max="9732" width="28.88671875" style="4" customWidth="1"/>
    <col min="9733" max="9733" width="11" style="4" customWidth="1"/>
    <col min="9734" max="9734" width="18.6640625" style="4" customWidth="1"/>
    <col min="9735" max="9735" width="20.88671875" style="4" customWidth="1"/>
    <col min="9736" max="9736" width="0" style="4" hidden="1" customWidth="1"/>
    <col min="9737" max="9737" width="17" style="4" customWidth="1"/>
    <col min="9738" max="9738" width="15.6640625" style="4" customWidth="1"/>
    <col min="9739" max="9739" width="6.88671875" style="4" customWidth="1"/>
    <col min="9740" max="9741" width="15.33203125" style="4" customWidth="1"/>
    <col min="9742" max="9742" width="18.44140625" style="4" customWidth="1"/>
    <col min="9743" max="9743" width="0" style="4" hidden="1" customWidth="1"/>
    <col min="9744" max="9987" width="9.109375" style="4"/>
    <col min="9988" max="9988" width="28.88671875" style="4" customWidth="1"/>
    <col min="9989" max="9989" width="11" style="4" customWidth="1"/>
    <col min="9990" max="9990" width="18.6640625" style="4" customWidth="1"/>
    <col min="9991" max="9991" width="20.88671875" style="4" customWidth="1"/>
    <col min="9992" max="9992" width="0" style="4" hidden="1" customWidth="1"/>
    <col min="9993" max="9993" width="17" style="4" customWidth="1"/>
    <col min="9994" max="9994" width="15.6640625" style="4" customWidth="1"/>
    <col min="9995" max="9995" width="6.88671875" style="4" customWidth="1"/>
    <col min="9996" max="9997" width="15.33203125" style="4" customWidth="1"/>
    <col min="9998" max="9998" width="18.44140625" style="4" customWidth="1"/>
    <col min="9999" max="9999" width="0" style="4" hidden="1" customWidth="1"/>
    <col min="10000" max="10243" width="9.109375" style="4"/>
    <col min="10244" max="10244" width="28.88671875" style="4" customWidth="1"/>
    <col min="10245" max="10245" width="11" style="4" customWidth="1"/>
    <col min="10246" max="10246" width="18.6640625" style="4" customWidth="1"/>
    <col min="10247" max="10247" width="20.88671875" style="4" customWidth="1"/>
    <col min="10248" max="10248" width="0" style="4" hidden="1" customWidth="1"/>
    <col min="10249" max="10249" width="17" style="4" customWidth="1"/>
    <col min="10250" max="10250" width="15.6640625" style="4" customWidth="1"/>
    <col min="10251" max="10251" width="6.88671875" style="4" customWidth="1"/>
    <col min="10252" max="10253" width="15.33203125" style="4" customWidth="1"/>
    <col min="10254" max="10254" width="18.44140625" style="4" customWidth="1"/>
    <col min="10255" max="10255" width="0" style="4" hidden="1" customWidth="1"/>
    <col min="10256" max="10499" width="9.109375" style="4"/>
    <col min="10500" max="10500" width="28.88671875" style="4" customWidth="1"/>
    <col min="10501" max="10501" width="11" style="4" customWidth="1"/>
    <col min="10502" max="10502" width="18.6640625" style="4" customWidth="1"/>
    <col min="10503" max="10503" width="20.88671875" style="4" customWidth="1"/>
    <col min="10504" max="10504" width="0" style="4" hidden="1" customWidth="1"/>
    <col min="10505" max="10505" width="17" style="4" customWidth="1"/>
    <col min="10506" max="10506" width="15.6640625" style="4" customWidth="1"/>
    <col min="10507" max="10507" width="6.88671875" style="4" customWidth="1"/>
    <col min="10508" max="10509" width="15.33203125" style="4" customWidth="1"/>
    <col min="10510" max="10510" width="18.44140625" style="4" customWidth="1"/>
    <col min="10511" max="10511" width="0" style="4" hidden="1" customWidth="1"/>
    <col min="10512" max="10755" width="9.109375" style="4"/>
    <col min="10756" max="10756" width="28.88671875" style="4" customWidth="1"/>
    <col min="10757" max="10757" width="11" style="4" customWidth="1"/>
    <col min="10758" max="10758" width="18.6640625" style="4" customWidth="1"/>
    <col min="10759" max="10759" width="20.88671875" style="4" customWidth="1"/>
    <col min="10760" max="10760" width="0" style="4" hidden="1" customWidth="1"/>
    <col min="10761" max="10761" width="17" style="4" customWidth="1"/>
    <col min="10762" max="10762" width="15.6640625" style="4" customWidth="1"/>
    <col min="10763" max="10763" width="6.88671875" style="4" customWidth="1"/>
    <col min="10764" max="10765" width="15.33203125" style="4" customWidth="1"/>
    <col min="10766" max="10766" width="18.44140625" style="4" customWidth="1"/>
    <col min="10767" max="10767" width="0" style="4" hidden="1" customWidth="1"/>
    <col min="10768" max="11011" width="9.109375" style="4"/>
    <col min="11012" max="11012" width="28.88671875" style="4" customWidth="1"/>
    <col min="11013" max="11013" width="11" style="4" customWidth="1"/>
    <col min="11014" max="11014" width="18.6640625" style="4" customWidth="1"/>
    <col min="11015" max="11015" width="20.88671875" style="4" customWidth="1"/>
    <col min="11016" max="11016" width="0" style="4" hidden="1" customWidth="1"/>
    <col min="11017" max="11017" width="17" style="4" customWidth="1"/>
    <col min="11018" max="11018" width="15.6640625" style="4" customWidth="1"/>
    <col min="11019" max="11019" width="6.88671875" style="4" customWidth="1"/>
    <col min="11020" max="11021" width="15.33203125" style="4" customWidth="1"/>
    <col min="11022" max="11022" width="18.44140625" style="4" customWidth="1"/>
    <col min="11023" max="11023" width="0" style="4" hidden="1" customWidth="1"/>
    <col min="11024" max="11267" width="9.109375" style="4"/>
    <col min="11268" max="11268" width="28.88671875" style="4" customWidth="1"/>
    <col min="11269" max="11269" width="11" style="4" customWidth="1"/>
    <col min="11270" max="11270" width="18.6640625" style="4" customWidth="1"/>
    <col min="11271" max="11271" width="20.88671875" style="4" customWidth="1"/>
    <col min="11272" max="11272" width="0" style="4" hidden="1" customWidth="1"/>
    <col min="11273" max="11273" width="17" style="4" customWidth="1"/>
    <col min="11274" max="11274" width="15.6640625" style="4" customWidth="1"/>
    <col min="11275" max="11275" width="6.88671875" style="4" customWidth="1"/>
    <col min="11276" max="11277" width="15.33203125" style="4" customWidth="1"/>
    <col min="11278" max="11278" width="18.44140625" style="4" customWidth="1"/>
    <col min="11279" max="11279" width="0" style="4" hidden="1" customWidth="1"/>
    <col min="11280" max="11523" width="9.109375" style="4"/>
    <col min="11524" max="11524" width="28.88671875" style="4" customWidth="1"/>
    <col min="11525" max="11525" width="11" style="4" customWidth="1"/>
    <col min="11526" max="11526" width="18.6640625" style="4" customWidth="1"/>
    <col min="11527" max="11527" width="20.88671875" style="4" customWidth="1"/>
    <col min="11528" max="11528" width="0" style="4" hidden="1" customWidth="1"/>
    <col min="11529" max="11529" width="17" style="4" customWidth="1"/>
    <col min="11530" max="11530" width="15.6640625" style="4" customWidth="1"/>
    <col min="11531" max="11531" width="6.88671875" style="4" customWidth="1"/>
    <col min="11532" max="11533" width="15.33203125" style="4" customWidth="1"/>
    <col min="11534" max="11534" width="18.44140625" style="4" customWidth="1"/>
    <col min="11535" max="11535" width="0" style="4" hidden="1" customWidth="1"/>
    <col min="11536" max="11779" width="9.109375" style="4"/>
    <col min="11780" max="11780" width="28.88671875" style="4" customWidth="1"/>
    <col min="11781" max="11781" width="11" style="4" customWidth="1"/>
    <col min="11782" max="11782" width="18.6640625" style="4" customWidth="1"/>
    <col min="11783" max="11783" width="20.88671875" style="4" customWidth="1"/>
    <col min="11784" max="11784" width="0" style="4" hidden="1" customWidth="1"/>
    <col min="11785" max="11785" width="17" style="4" customWidth="1"/>
    <col min="11786" max="11786" width="15.6640625" style="4" customWidth="1"/>
    <col min="11787" max="11787" width="6.88671875" style="4" customWidth="1"/>
    <col min="11788" max="11789" width="15.33203125" style="4" customWidth="1"/>
    <col min="11790" max="11790" width="18.44140625" style="4" customWidth="1"/>
    <col min="11791" max="11791" width="0" style="4" hidden="1" customWidth="1"/>
    <col min="11792" max="12035" width="9.109375" style="4"/>
    <col min="12036" max="12036" width="28.88671875" style="4" customWidth="1"/>
    <col min="12037" max="12037" width="11" style="4" customWidth="1"/>
    <col min="12038" max="12038" width="18.6640625" style="4" customWidth="1"/>
    <col min="12039" max="12039" width="20.88671875" style="4" customWidth="1"/>
    <col min="12040" max="12040" width="0" style="4" hidden="1" customWidth="1"/>
    <col min="12041" max="12041" width="17" style="4" customWidth="1"/>
    <col min="12042" max="12042" width="15.6640625" style="4" customWidth="1"/>
    <col min="12043" max="12043" width="6.88671875" style="4" customWidth="1"/>
    <col min="12044" max="12045" width="15.33203125" style="4" customWidth="1"/>
    <col min="12046" max="12046" width="18.44140625" style="4" customWidth="1"/>
    <col min="12047" max="12047" width="0" style="4" hidden="1" customWidth="1"/>
    <col min="12048" max="12291" width="9.109375" style="4"/>
    <col min="12292" max="12292" width="28.88671875" style="4" customWidth="1"/>
    <col min="12293" max="12293" width="11" style="4" customWidth="1"/>
    <col min="12294" max="12294" width="18.6640625" style="4" customWidth="1"/>
    <col min="12295" max="12295" width="20.88671875" style="4" customWidth="1"/>
    <col min="12296" max="12296" width="0" style="4" hidden="1" customWidth="1"/>
    <col min="12297" max="12297" width="17" style="4" customWidth="1"/>
    <col min="12298" max="12298" width="15.6640625" style="4" customWidth="1"/>
    <col min="12299" max="12299" width="6.88671875" style="4" customWidth="1"/>
    <col min="12300" max="12301" width="15.33203125" style="4" customWidth="1"/>
    <col min="12302" max="12302" width="18.44140625" style="4" customWidth="1"/>
    <col min="12303" max="12303" width="0" style="4" hidden="1" customWidth="1"/>
    <col min="12304" max="12547" width="9.109375" style="4"/>
    <col min="12548" max="12548" width="28.88671875" style="4" customWidth="1"/>
    <col min="12549" max="12549" width="11" style="4" customWidth="1"/>
    <col min="12550" max="12550" width="18.6640625" style="4" customWidth="1"/>
    <col min="12551" max="12551" width="20.88671875" style="4" customWidth="1"/>
    <col min="12552" max="12552" width="0" style="4" hidden="1" customWidth="1"/>
    <col min="12553" max="12553" width="17" style="4" customWidth="1"/>
    <col min="12554" max="12554" width="15.6640625" style="4" customWidth="1"/>
    <col min="12555" max="12555" width="6.88671875" style="4" customWidth="1"/>
    <col min="12556" max="12557" width="15.33203125" style="4" customWidth="1"/>
    <col min="12558" max="12558" width="18.44140625" style="4" customWidth="1"/>
    <col min="12559" max="12559" width="0" style="4" hidden="1" customWidth="1"/>
    <col min="12560" max="12803" width="9.109375" style="4"/>
    <col min="12804" max="12804" width="28.88671875" style="4" customWidth="1"/>
    <col min="12805" max="12805" width="11" style="4" customWidth="1"/>
    <col min="12806" max="12806" width="18.6640625" style="4" customWidth="1"/>
    <col min="12807" max="12807" width="20.88671875" style="4" customWidth="1"/>
    <col min="12808" max="12808" width="0" style="4" hidden="1" customWidth="1"/>
    <col min="12809" max="12809" width="17" style="4" customWidth="1"/>
    <col min="12810" max="12810" width="15.6640625" style="4" customWidth="1"/>
    <col min="12811" max="12811" width="6.88671875" style="4" customWidth="1"/>
    <col min="12812" max="12813" width="15.33203125" style="4" customWidth="1"/>
    <col min="12814" max="12814" width="18.44140625" style="4" customWidth="1"/>
    <col min="12815" max="12815" width="0" style="4" hidden="1" customWidth="1"/>
    <col min="12816" max="13059" width="9.109375" style="4"/>
    <col min="13060" max="13060" width="28.88671875" style="4" customWidth="1"/>
    <col min="13061" max="13061" width="11" style="4" customWidth="1"/>
    <col min="13062" max="13062" width="18.6640625" style="4" customWidth="1"/>
    <col min="13063" max="13063" width="20.88671875" style="4" customWidth="1"/>
    <col min="13064" max="13064" width="0" style="4" hidden="1" customWidth="1"/>
    <col min="13065" max="13065" width="17" style="4" customWidth="1"/>
    <col min="13066" max="13066" width="15.6640625" style="4" customWidth="1"/>
    <col min="13067" max="13067" width="6.88671875" style="4" customWidth="1"/>
    <col min="13068" max="13069" width="15.33203125" style="4" customWidth="1"/>
    <col min="13070" max="13070" width="18.44140625" style="4" customWidth="1"/>
    <col min="13071" max="13071" width="0" style="4" hidden="1" customWidth="1"/>
    <col min="13072" max="13315" width="9.109375" style="4"/>
    <col min="13316" max="13316" width="28.88671875" style="4" customWidth="1"/>
    <col min="13317" max="13317" width="11" style="4" customWidth="1"/>
    <col min="13318" max="13318" width="18.6640625" style="4" customWidth="1"/>
    <col min="13319" max="13319" width="20.88671875" style="4" customWidth="1"/>
    <col min="13320" max="13320" width="0" style="4" hidden="1" customWidth="1"/>
    <col min="13321" max="13321" width="17" style="4" customWidth="1"/>
    <col min="13322" max="13322" width="15.6640625" style="4" customWidth="1"/>
    <col min="13323" max="13323" width="6.88671875" style="4" customWidth="1"/>
    <col min="13324" max="13325" width="15.33203125" style="4" customWidth="1"/>
    <col min="13326" max="13326" width="18.44140625" style="4" customWidth="1"/>
    <col min="13327" max="13327" width="0" style="4" hidden="1" customWidth="1"/>
    <col min="13328" max="13571" width="9.109375" style="4"/>
    <col min="13572" max="13572" width="28.88671875" style="4" customWidth="1"/>
    <col min="13573" max="13573" width="11" style="4" customWidth="1"/>
    <col min="13574" max="13574" width="18.6640625" style="4" customWidth="1"/>
    <col min="13575" max="13575" width="20.88671875" style="4" customWidth="1"/>
    <col min="13576" max="13576" width="0" style="4" hidden="1" customWidth="1"/>
    <col min="13577" max="13577" width="17" style="4" customWidth="1"/>
    <col min="13578" max="13578" width="15.6640625" style="4" customWidth="1"/>
    <col min="13579" max="13579" width="6.88671875" style="4" customWidth="1"/>
    <col min="13580" max="13581" width="15.33203125" style="4" customWidth="1"/>
    <col min="13582" max="13582" width="18.44140625" style="4" customWidth="1"/>
    <col min="13583" max="13583" width="0" style="4" hidden="1" customWidth="1"/>
    <col min="13584" max="13827" width="9.109375" style="4"/>
    <col min="13828" max="13828" width="28.88671875" style="4" customWidth="1"/>
    <col min="13829" max="13829" width="11" style="4" customWidth="1"/>
    <col min="13830" max="13830" width="18.6640625" style="4" customWidth="1"/>
    <col min="13831" max="13831" width="20.88671875" style="4" customWidth="1"/>
    <col min="13832" max="13832" width="0" style="4" hidden="1" customWidth="1"/>
    <col min="13833" max="13833" width="17" style="4" customWidth="1"/>
    <col min="13834" max="13834" width="15.6640625" style="4" customWidth="1"/>
    <col min="13835" max="13835" width="6.88671875" style="4" customWidth="1"/>
    <col min="13836" max="13837" width="15.33203125" style="4" customWidth="1"/>
    <col min="13838" max="13838" width="18.44140625" style="4" customWidth="1"/>
    <col min="13839" max="13839" width="0" style="4" hidden="1" customWidth="1"/>
    <col min="13840" max="14083" width="9.109375" style="4"/>
    <col min="14084" max="14084" width="28.88671875" style="4" customWidth="1"/>
    <col min="14085" max="14085" width="11" style="4" customWidth="1"/>
    <col min="14086" max="14086" width="18.6640625" style="4" customWidth="1"/>
    <col min="14087" max="14087" width="20.88671875" style="4" customWidth="1"/>
    <col min="14088" max="14088" width="0" style="4" hidden="1" customWidth="1"/>
    <col min="14089" max="14089" width="17" style="4" customWidth="1"/>
    <col min="14090" max="14090" width="15.6640625" style="4" customWidth="1"/>
    <col min="14091" max="14091" width="6.88671875" style="4" customWidth="1"/>
    <col min="14092" max="14093" width="15.33203125" style="4" customWidth="1"/>
    <col min="14094" max="14094" width="18.44140625" style="4" customWidth="1"/>
    <col min="14095" max="14095" width="0" style="4" hidden="1" customWidth="1"/>
    <col min="14096" max="14339" width="9.109375" style="4"/>
    <col min="14340" max="14340" width="28.88671875" style="4" customWidth="1"/>
    <col min="14341" max="14341" width="11" style="4" customWidth="1"/>
    <col min="14342" max="14342" width="18.6640625" style="4" customWidth="1"/>
    <col min="14343" max="14343" width="20.88671875" style="4" customWidth="1"/>
    <col min="14344" max="14344" width="0" style="4" hidden="1" customWidth="1"/>
    <col min="14345" max="14345" width="17" style="4" customWidth="1"/>
    <col min="14346" max="14346" width="15.6640625" style="4" customWidth="1"/>
    <col min="14347" max="14347" width="6.88671875" style="4" customWidth="1"/>
    <col min="14348" max="14349" width="15.33203125" style="4" customWidth="1"/>
    <col min="14350" max="14350" width="18.44140625" style="4" customWidth="1"/>
    <col min="14351" max="14351" width="0" style="4" hidden="1" customWidth="1"/>
    <col min="14352" max="14595" width="9.109375" style="4"/>
    <col min="14596" max="14596" width="28.88671875" style="4" customWidth="1"/>
    <col min="14597" max="14597" width="11" style="4" customWidth="1"/>
    <col min="14598" max="14598" width="18.6640625" style="4" customWidth="1"/>
    <col min="14599" max="14599" width="20.88671875" style="4" customWidth="1"/>
    <col min="14600" max="14600" width="0" style="4" hidden="1" customWidth="1"/>
    <col min="14601" max="14601" width="17" style="4" customWidth="1"/>
    <col min="14602" max="14602" width="15.6640625" style="4" customWidth="1"/>
    <col min="14603" max="14603" width="6.88671875" style="4" customWidth="1"/>
    <col min="14604" max="14605" width="15.33203125" style="4" customWidth="1"/>
    <col min="14606" max="14606" width="18.44140625" style="4" customWidth="1"/>
    <col min="14607" max="14607" width="0" style="4" hidden="1" customWidth="1"/>
    <col min="14608" max="14851" width="9.109375" style="4"/>
    <col min="14852" max="14852" width="28.88671875" style="4" customWidth="1"/>
    <col min="14853" max="14853" width="11" style="4" customWidth="1"/>
    <col min="14854" max="14854" width="18.6640625" style="4" customWidth="1"/>
    <col min="14855" max="14855" width="20.88671875" style="4" customWidth="1"/>
    <col min="14856" max="14856" width="0" style="4" hidden="1" customWidth="1"/>
    <col min="14857" max="14857" width="17" style="4" customWidth="1"/>
    <col min="14858" max="14858" width="15.6640625" style="4" customWidth="1"/>
    <col min="14859" max="14859" width="6.88671875" style="4" customWidth="1"/>
    <col min="14860" max="14861" width="15.33203125" style="4" customWidth="1"/>
    <col min="14862" max="14862" width="18.44140625" style="4" customWidth="1"/>
    <col min="14863" max="14863" width="0" style="4" hidden="1" customWidth="1"/>
    <col min="14864" max="15107" width="9.109375" style="4"/>
    <col min="15108" max="15108" width="28.88671875" style="4" customWidth="1"/>
    <col min="15109" max="15109" width="11" style="4" customWidth="1"/>
    <col min="15110" max="15110" width="18.6640625" style="4" customWidth="1"/>
    <col min="15111" max="15111" width="20.88671875" style="4" customWidth="1"/>
    <col min="15112" max="15112" width="0" style="4" hidden="1" customWidth="1"/>
    <col min="15113" max="15113" width="17" style="4" customWidth="1"/>
    <col min="15114" max="15114" width="15.6640625" style="4" customWidth="1"/>
    <col min="15115" max="15115" width="6.88671875" style="4" customWidth="1"/>
    <col min="15116" max="15117" width="15.33203125" style="4" customWidth="1"/>
    <col min="15118" max="15118" width="18.44140625" style="4" customWidth="1"/>
    <col min="15119" max="15119" width="0" style="4" hidden="1" customWidth="1"/>
    <col min="15120" max="15363" width="9.109375" style="4"/>
    <col min="15364" max="15364" width="28.88671875" style="4" customWidth="1"/>
    <col min="15365" max="15365" width="11" style="4" customWidth="1"/>
    <col min="15366" max="15366" width="18.6640625" style="4" customWidth="1"/>
    <col min="15367" max="15367" width="20.88671875" style="4" customWidth="1"/>
    <col min="15368" max="15368" width="0" style="4" hidden="1" customWidth="1"/>
    <col min="15369" max="15369" width="17" style="4" customWidth="1"/>
    <col min="15370" max="15370" width="15.6640625" style="4" customWidth="1"/>
    <col min="15371" max="15371" width="6.88671875" style="4" customWidth="1"/>
    <col min="15372" max="15373" width="15.33203125" style="4" customWidth="1"/>
    <col min="15374" max="15374" width="18.44140625" style="4" customWidth="1"/>
    <col min="15375" max="15375" width="0" style="4" hidden="1" customWidth="1"/>
    <col min="15376" max="15619" width="9.109375" style="4"/>
    <col min="15620" max="15620" width="28.88671875" style="4" customWidth="1"/>
    <col min="15621" max="15621" width="11" style="4" customWidth="1"/>
    <col min="15622" max="15622" width="18.6640625" style="4" customWidth="1"/>
    <col min="15623" max="15623" width="20.88671875" style="4" customWidth="1"/>
    <col min="15624" max="15624" width="0" style="4" hidden="1" customWidth="1"/>
    <col min="15625" max="15625" width="17" style="4" customWidth="1"/>
    <col min="15626" max="15626" width="15.6640625" style="4" customWidth="1"/>
    <col min="15627" max="15627" width="6.88671875" style="4" customWidth="1"/>
    <col min="15628" max="15629" width="15.33203125" style="4" customWidth="1"/>
    <col min="15630" max="15630" width="18.44140625" style="4" customWidth="1"/>
    <col min="15631" max="15631" width="0" style="4" hidden="1" customWidth="1"/>
    <col min="15632" max="15875" width="9.109375" style="4"/>
    <col min="15876" max="15876" width="28.88671875" style="4" customWidth="1"/>
    <col min="15877" max="15877" width="11" style="4" customWidth="1"/>
    <col min="15878" max="15878" width="18.6640625" style="4" customWidth="1"/>
    <col min="15879" max="15879" width="20.88671875" style="4" customWidth="1"/>
    <col min="15880" max="15880" width="0" style="4" hidden="1" customWidth="1"/>
    <col min="15881" max="15881" width="17" style="4" customWidth="1"/>
    <col min="15882" max="15882" width="15.6640625" style="4" customWidth="1"/>
    <col min="15883" max="15883" width="6.88671875" style="4" customWidth="1"/>
    <col min="15884" max="15885" width="15.33203125" style="4" customWidth="1"/>
    <col min="15886" max="15886" width="18.44140625" style="4" customWidth="1"/>
    <col min="15887" max="15887" width="0" style="4" hidden="1" customWidth="1"/>
    <col min="15888" max="16131" width="9.109375" style="4"/>
    <col min="16132" max="16132" width="28.88671875" style="4" customWidth="1"/>
    <col min="16133" max="16133" width="11" style="4" customWidth="1"/>
    <col min="16134" max="16134" width="18.6640625" style="4" customWidth="1"/>
    <col min="16135" max="16135" width="20.88671875" style="4" customWidth="1"/>
    <col min="16136" max="16136" width="0" style="4" hidden="1" customWidth="1"/>
    <col min="16137" max="16137" width="17" style="4" customWidth="1"/>
    <col min="16138" max="16138" width="15.6640625" style="4" customWidth="1"/>
    <col min="16139" max="16139" width="6.88671875" style="4" customWidth="1"/>
    <col min="16140" max="16141" width="15.33203125" style="4" customWidth="1"/>
    <col min="16142" max="16142" width="18.44140625" style="4" customWidth="1"/>
    <col min="16143" max="16143" width="0" style="4" hidden="1" customWidth="1"/>
    <col min="16144" max="16384" width="9.109375" style="4"/>
  </cols>
  <sheetData>
    <row r="1" spans="1:15" s="1" customFormat="1" ht="50.4" x14ac:dyDescent="0.3">
      <c r="B1" s="48" t="s">
        <v>34</v>
      </c>
      <c r="C1" s="2"/>
      <c r="D1" s="3"/>
      <c r="E1" s="3"/>
      <c r="F1" s="3"/>
      <c r="G1" s="3"/>
      <c r="H1" s="3"/>
      <c r="L1" s="2"/>
      <c r="M1" s="3"/>
    </row>
    <row r="2" spans="1:15" s="1" customFormat="1" x14ac:dyDescent="0.3">
      <c r="B2" s="1" t="s">
        <v>33</v>
      </c>
      <c r="C2" s="2"/>
      <c r="D2" s="3"/>
      <c r="E2" s="3"/>
      <c r="F2" s="3"/>
      <c r="G2" s="3"/>
      <c r="H2" s="3"/>
      <c r="L2" s="2"/>
      <c r="M2" s="3"/>
    </row>
    <row r="3" spans="1:15" s="7" customFormat="1" ht="20.399999999999999" x14ac:dyDescent="0.35">
      <c r="B3" s="72" t="s">
        <v>35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</row>
    <row r="5" spans="1:15" s="33" customFormat="1" ht="52.8" customHeight="1" x14ac:dyDescent="0.3">
      <c r="A5" s="67"/>
      <c r="B5" s="8" t="s">
        <v>1</v>
      </c>
      <c r="C5" s="37" t="s">
        <v>2</v>
      </c>
      <c r="D5" s="10" t="s">
        <v>0</v>
      </c>
      <c r="E5" s="10" t="s">
        <v>18</v>
      </c>
      <c r="F5" s="49" t="s">
        <v>22</v>
      </c>
      <c r="G5" s="49" t="s">
        <v>27</v>
      </c>
      <c r="H5" s="49" t="s">
        <v>32</v>
      </c>
      <c r="I5" s="8" t="s">
        <v>3</v>
      </c>
      <c r="J5" s="8" t="s">
        <v>20</v>
      </c>
      <c r="K5" s="38" t="s">
        <v>21</v>
      </c>
      <c r="L5" s="9" t="s">
        <v>4</v>
      </c>
      <c r="M5" s="10" t="s">
        <v>5</v>
      </c>
      <c r="N5" s="8" t="s">
        <v>23</v>
      </c>
      <c r="O5" s="38" t="s">
        <v>16</v>
      </c>
    </row>
    <row r="6" spans="1:15" s="1" customFormat="1" hidden="1" x14ac:dyDescent="0.3">
      <c r="B6" s="11" t="s">
        <v>6</v>
      </c>
      <c r="C6" s="12">
        <f>D6/D18</f>
        <v>0</v>
      </c>
      <c r="D6" s="13">
        <f>+D7</f>
        <v>0</v>
      </c>
      <c r="E6" s="13"/>
      <c r="F6" s="13"/>
      <c r="G6" s="13"/>
      <c r="H6" s="13"/>
      <c r="I6" s="14">
        <f>+C6*I18</f>
        <v>0</v>
      </c>
      <c r="J6" s="14"/>
      <c r="K6" s="14"/>
      <c r="L6" s="15">
        <v>0.2</v>
      </c>
      <c r="M6" s="13">
        <f>+L6*I6</f>
        <v>0</v>
      </c>
      <c r="N6" s="16">
        <v>0</v>
      </c>
      <c r="O6" s="14">
        <f>+M6-N6</f>
        <v>0</v>
      </c>
    </row>
    <row r="7" spans="1:15" ht="15.75" customHeight="1" x14ac:dyDescent="0.3">
      <c r="B7" s="17"/>
      <c r="C7" s="18"/>
      <c r="D7" s="19"/>
      <c r="E7" s="19"/>
      <c r="F7" s="19"/>
      <c r="G7" s="19"/>
      <c r="H7" s="19"/>
      <c r="I7" s="17"/>
      <c r="J7" s="17"/>
      <c r="K7" s="17"/>
      <c r="L7" s="20"/>
      <c r="M7" s="19"/>
      <c r="N7" s="17"/>
      <c r="O7" s="17"/>
    </row>
    <row r="8" spans="1:15" s="1" customFormat="1" x14ac:dyDescent="0.3">
      <c r="B8" s="39" t="s">
        <v>26</v>
      </c>
      <c r="C8" s="36">
        <f>D8/D18</f>
        <v>0.26036604836921046</v>
      </c>
      <c r="D8" s="13">
        <f>SUM(D9:D13)</f>
        <v>76640000</v>
      </c>
      <c r="E8" s="13">
        <f>SUM(E9:E13)</f>
        <v>45900000</v>
      </c>
      <c r="F8" s="13">
        <f>F18*C8</f>
        <v>25769204.739389092</v>
      </c>
      <c r="G8" s="13">
        <f>G18*C8</f>
        <v>0</v>
      </c>
      <c r="H8" s="13">
        <f>H18*C8</f>
        <v>842621.60087308229</v>
      </c>
      <c r="I8" s="14">
        <f>D8-E8-F8-G8-H8</f>
        <v>4128173.6597378259</v>
      </c>
      <c r="J8" s="14">
        <v>0</v>
      </c>
      <c r="K8" s="14">
        <f>I8-J8</f>
        <v>4128173.6597378259</v>
      </c>
      <c r="L8" s="15">
        <v>0.17</v>
      </c>
      <c r="M8" s="13">
        <f>K8*L8</f>
        <v>701789.5221554304</v>
      </c>
      <c r="N8" s="14"/>
      <c r="O8" s="14">
        <f>M8-N8</f>
        <v>701789.5221554304</v>
      </c>
    </row>
    <row r="9" spans="1:15" x14ac:dyDescent="0.3">
      <c r="B9" s="17">
        <v>5111</v>
      </c>
      <c r="C9" s="18"/>
      <c r="D9" s="19"/>
      <c r="E9" s="19"/>
      <c r="F9" s="19"/>
      <c r="G9" s="19"/>
      <c r="H9" s="19"/>
      <c r="I9" s="17"/>
      <c r="J9" s="17"/>
      <c r="K9" s="17"/>
      <c r="L9" s="20"/>
      <c r="M9" s="19"/>
      <c r="N9" s="17"/>
      <c r="O9" s="14">
        <f t="shared" ref="O9:O13" si="0">M9-N9</f>
        <v>0</v>
      </c>
    </row>
    <row r="10" spans="1:15" x14ac:dyDescent="0.3">
      <c r="B10" s="17">
        <v>5112</v>
      </c>
      <c r="C10" s="18"/>
      <c r="D10" s="19"/>
      <c r="E10" s="19"/>
      <c r="F10" s="19"/>
      <c r="G10" s="19"/>
      <c r="H10" s="19"/>
      <c r="I10" s="17"/>
      <c r="J10" s="17"/>
      <c r="K10" s="17"/>
      <c r="L10" s="20"/>
      <c r="M10" s="19"/>
      <c r="N10" s="17"/>
      <c r="O10" s="14"/>
    </row>
    <row r="11" spans="1:15" x14ac:dyDescent="0.3">
      <c r="B11" s="17">
        <v>5113</v>
      </c>
      <c r="C11" s="18"/>
      <c r="D11" s="19">
        <f>'BANG KE DOANH THU CT 2022'!D3</f>
        <v>76640000</v>
      </c>
      <c r="E11" s="19">
        <f>'BANG KE DOANH THU CT 2022'!E3</f>
        <v>45900000</v>
      </c>
      <c r="F11" s="19"/>
      <c r="G11" s="19"/>
      <c r="H11" s="19"/>
      <c r="I11" s="17"/>
      <c r="J11" s="17"/>
      <c r="K11" s="17"/>
      <c r="L11" s="20"/>
      <c r="M11" s="19"/>
      <c r="N11" s="17"/>
      <c r="O11" s="14">
        <f t="shared" si="0"/>
        <v>0</v>
      </c>
    </row>
    <row r="12" spans="1:15" x14ac:dyDescent="0.3">
      <c r="B12" s="17">
        <v>5151</v>
      </c>
      <c r="C12" s="18"/>
      <c r="D12" s="19"/>
      <c r="E12" s="19"/>
      <c r="F12" s="19"/>
      <c r="G12" s="19"/>
      <c r="H12" s="19"/>
      <c r="I12" s="17"/>
      <c r="J12" s="17"/>
      <c r="K12" s="17"/>
      <c r="L12" s="20"/>
      <c r="M12" s="19"/>
      <c r="N12" s="17"/>
      <c r="O12" s="14">
        <f t="shared" si="0"/>
        <v>0</v>
      </c>
    </row>
    <row r="13" spans="1:15" x14ac:dyDescent="0.3">
      <c r="B13" s="17">
        <v>711</v>
      </c>
      <c r="C13" s="18"/>
      <c r="D13" s="19"/>
      <c r="E13" s="19"/>
      <c r="F13" s="19"/>
      <c r="G13" s="19"/>
      <c r="H13" s="19"/>
      <c r="I13" s="17"/>
      <c r="J13" s="17"/>
      <c r="K13" s="17"/>
      <c r="L13" s="20"/>
      <c r="M13" s="19"/>
      <c r="N13" s="17"/>
      <c r="O13" s="14">
        <f t="shared" si="0"/>
        <v>0</v>
      </c>
    </row>
    <row r="14" spans="1:15" s="1" customFormat="1" x14ac:dyDescent="0.3">
      <c r="B14" s="21" t="s">
        <v>25</v>
      </c>
      <c r="C14" s="36">
        <f>D14/D18</f>
        <v>0.73963395163078949</v>
      </c>
      <c r="D14" s="13">
        <f>+D16+D17</f>
        <v>217714815</v>
      </c>
      <c r="E14" s="13">
        <f>SUM(E16:E17)</f>
        <v>122785287</v>
      </c>
      <c r="F14" s="13">
        <f>F18*C14</f>
        <v>73203779.260610908</v>
      </c>
      <c r="G14" s="13">
        <f>G18*C14</f>
        <v>0</v>
      </c>
      <c r="H14" s="13">
        <f>H18*C14</f>
        <v>2393674.3991269176</v>
      </c>
      <c r="I14" s="14">
        <f>D14-E14-F14-G14-H14</f>
        <v>19332074.340262175</v>
      </c>
      <c r="J14" s="14">
        <v>0</v>
      </c>
      <c r="K14" s="14">
        <f>I14-J14</f>
        <v>19332074.340262175</v>
      </c>
      <c r="L14" s="15">
        <v>0.1</v>
      </c>
      <c r="M14" s="13">
        <f>K14*L14</f>
        <v>1933207.4340262176</v>
      </c>
      <c r="N14" s="14">
        <f>M14</f>
        <v>1933207.4340262176</v>
      </c>
      <c r="O14" s="14">
        <f>M14-N14</f>
        <v>0</v>
      </c>
    </row>
    <row r="15" spans="1:15" s="1" customFormat="1" x14ac:dyDescent="0.3">
      <c r="B15" s="66">
        <v>5111</v>
      </c>
      <c r="C15" s="36"/>
      <c r="D15" s="13"/>
      <c r="E15" s="13"/>
      <c r="F15" s="13"/>
      <c r="G15" s="13"/>
      <c r="H15" s="13"/>
      <c r="I15" s="14"/>
      <c r="J15" s="14"/>
      <c r="K15" s="14"/>
      <c r="L15" s="15"/>
      <c r="M15" s="13"/>
      <c r="N15" s="14"/>
      <c r="O15" s="14"/>
    </row>
    <row r="16" spans="1:15" x14ac:dyDescent="0.3">
      <c r="B16" s="17">
        <v>515</v>
      </c>
      <c r="C16" s="18"/>
      <c r="D16" s="19"/>
      <c r="E16" s="19"/>
      <c r="F16" s="19"/>
      <c r="G16" s="19"/>
      <c r="H16" s="19"/>
      <c r="I16" s="17"/>
      <c r="J16" s="17"/>
      <c r="K16" s="17"/>
      <c r="L16" s="20"/>
      <c r="M16" s="19"/>
      <c r="N16" s="17"/>
      <c r="O16" s="17"/>
    </row>
    <row r="17" spans="2:15" x14ac:dyDescent="0.3">
      <c r="B17" s="17">
        <v>5113</v>
      </c>
      <c r="C17" s="18"/>
      <c r="D17" s="19">
        <f>'BANG KE DOANH THU CT 2022'!D6</f>
        <v>217714815</v>
      </c>
      <c r="E17" s="19">
        <f>'BANG KE DOANH THU CT 2022'!E6</f>
        <v>122785287</v>
      </c>
      <c r="F17" s="19"/>
      <c r="G17" s="19"/>
      <c r="H17" s="19"/>
      <c r="I17" s="17"/>
      <c r="J17" s="17"/>
      <c r="K17" s="17"/>
      <c r="L17" s="20"/>
      <c r="M17" s="19"/>
      <c r="N17" s="17"/>
      <c r="O17" s="17"/>
    </row>
    <row r="18" spans="2:15" s="1" customFormat="1" x14ac:dyDescent="0.3">
      <c r="B18" s="16" t="s">
        <v>7</v>
      </c>
      <c r="C18" s="12">
        <f>C8+C14</f>
        <v>1</v>
      </c>
      <c r="D18" s="13">
        <f>D8+D14</f>
        <v>294354815</v>
      </c>
      <c r="E18" s="13">
        <f>E8+E14</f>
        <v>168685287</v>
      </c>
      <c r="F18" s="13">
        <v>98972984</v>
      </c>
      <c r="G18" s="13">
        <v>0</v>
      </c>
      <c r="H18" s="13">
        <v>3236296</v>
      </c>
      <c r="I18" s="13">
        <f>I8+I14</f>
        <v>23460248</v>
      </c>
      <c r="J18" s="13"/>
      <c r="K18" s="13">
        <f>K8+K14</f>
        <v>23460248</v>
      </c>
      <c r="L18" s="13"/>
      <c r="M18" s="13">
        <f>M8+M14</f>
        <v>2634996.9561816482</v>
      </c>
      <c r="N18" s="13">
        <f>N8</f>
        <v>0</v>
      </c>
      <c r="O18" s="13">
        <f>O14+O8+O6</f>
        <v>701789.5221554304</v>
      </c>
    </row>
    <row r="19" spans="2:15" hidden="1" x14ac:dyDescent="0.3">
      <c r="I19" s="22" t="e">
        <f>+D18-#REF!-#REF!-#REF!</f>
        <v>#REF!</v>
      </c>
      <c r="J19" s="22"/>
      <c r="K19" s="22"/>
    </row>
    <row r="20" spans="2:15" hidden="1" x14ac:dyDescent="0.3">
      <c r="D20" s="6">
        <v>10793007946</v>
      </c>
      <c r="I20" s="6">
        <v>720227155</v>
      </c>
      <c r="J20" s="6"/>
      <c r="K20" s="6"/>
      <c r="N20" s="4">
        <v>74441349</v>
      </c>
    </row>
    <row r="21" spans="2:15" hidden="1" x14ac:dyDescent="0.3">
      <c r="D21" s="6">
        <v>454939007</v>
      </c>
      <c r="I21" s="22">
        <f>I20-I18</f>
        <v>696766907</v>
      </c>
      <c r="J21" s="22"/>
      <c r="K21" s="22"/>
      <c r="N21" s="22">
        <f>+N20-O18</f>
        <v>73739559.477844566</v>
      </c>
    </row>
    <row r="22" spans="2:15" hidden="1" x14ac:dyDescent="0.3">
      <c r="D22" s="6">
        <v>781954</v>
      </c>
      <c r="M22" s="6">
        <v>54680132</v>
      </c>
    </row>
    <row r="23" spans="2:15" hidden="1" x14ac:dyDescent="0.3">
      <c r="D23" s="6">
        <f>+D22+D21+D20</f>
        <v>11248728907</v>
      </c>
      <c r="I23" s="6"/>
      <c r="J23" s="6"/>
      <c r="K23" s="6"/>
      <c r="M23" s="6">
        <f>+M22-M6</f>
        <v>54680132</v>
      </c>
    </row>
    <row r="24" spans="2:15" ht="29.25" customHeight="1" x14ac:dyDescent="0.3">
      <c r="I24" s="22"/>
      <c r="J24" s="22"/>
      <c r="K24" s="22"/>
      <c r="L24" s="27"/>
      <c r="M24" s="73" t="s">
        <v>19</v>
      </c>
      <c r="N24" s="73"/>
      <c r="O24" s="73"/>
    </row>
    <row r="25" spans="2:15" x14ac:dyDescent="0.3">
      <c r="B25" s="74" t="s">
        <v>8</v>
      </c>
      <c r="C25" s="74"/>
      <c r="E25" s="42"/>
      <c r="F25" s="42"/>
      <c r="G25" s="42"/>
      <c r="H25" s="42"/>
      <c r="I25" s="43"/>
      <c r="J25" s="43"/>
      <c r="K25" s="43"/>
      <c r="M25" s="69" t="s">
        <v>9</v>
      </c>
      <c r="N25" s="69"/>
      <c r="O25" s="69"/>
    </row>
    <row r="26" spans="2:15" x14ac:dyDescent="0.3">
      <c r="E26" s="42"/>
      <c r="F26" s="42"/>
      <c r="G26" s="42"/>
      <c r="H26" s="42"/>
      <c r="I26" s="44"/>
      <c r="J26" s="44"/>
      <c r="K26" s="44"/>
    </row>
    <row r="27" spans="2:15" x14ac:dyDescent="0.3">
      <c r="E27" s="42"/>
      <c r="F27" s="42"/>
      <c r="G27" s="42"/>
      <c r="H27" s="42"/>
      <c r="I27" s="42"/>
      <c r="J27" s="42"/>
      <c r="K27" s="42"/>
    </row>
    <row r="28" spans="2:15" x14ac:dyDescent="0.3">
      <c r="E28" s="5"/>
      <c r="I28" s="6"/>
      <c r="J28" s="6"/>
      <c r="K28" s="6"/>
    </row>
    <row r="29" spans="2:15" x14ac:dyDescent="0.3">
      <c r="E29" s="5"/>
      <c r="I29" s="41"/>
      <c r="J29" s="41"/>
      <c r="K29" s="41"/>
      <c r="N29" s="47"/>
    </row>
    <row r="30" spans="2:15" x14ac:dyDescent="0.3">
      <c r="E30" s="46"/>
      <c r="I30" s="6"/>
      <c r="J30" s="6"/>
      <c r="K30" s="6"/>
    </row>
    <row r="31" spans="2:15" s="1" customFormat="1" x14ac:dyDescent="0.3">
      <c r="C31" s="5"/>
      <c r="D31" s="6"/>
      <c r="E31" s="45"/>
      <c r="F31" s="3"/>
      <c r="G31" s="3"/>
      <c r="H31" s="3"/>
      <c r="I31" s="3"/>
      <c r="J31" s="3"/>
      <c r="K31" s="3"/>
      <c r="L31" s="2"/>
      <c r="M31" s="69"/>
      <c r="N31" s="69"/>
      <c r="O31" s="69"/>
    </row>
    <row r="32" spans="2:15" x14ac:dyDescent="0.3">
      <c r="I32" s="22"/>
      <c r="J32" s="22"/>
      <c r="K32" s="22"/>
    </row>
  </sheetData>
  <mergeCells count="5">
    <mergeCell ref="B3:O3"/>
    <mergeCell ref="M24:O24"/>
    <mergeCell ref="B25:C25"/>
    <mergeCell ref="M25:O25"/>
    <mergeCell ref="M31:O31"/>
  </mergeCells>
  <pageMargins left="0.25" right="0.25" top="0.75" bottom="0.75" header="0.3" footer="0.3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2022</vt:lpstr>
      <vt:lpstr>TINH THUE TNDN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2024-03-16T08:27:22Z</dcterms:modified>
</cp:coreProperties>
</file>