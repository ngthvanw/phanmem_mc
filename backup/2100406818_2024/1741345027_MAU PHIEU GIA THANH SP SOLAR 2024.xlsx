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AN AN\NAM 2024\BCTC 2024\"/>
    </mc:Choice>
  </mc:AlternateContent>
  <xr:revisionPtr revIDLastSave="0" documentId="13_ncr:1_{A28452BD-4690-4452-B623-5CAA0AA1C1F5}" xr6:coauthVersionLast="47" xr6:coauthVersionMax="47" xr10:uidLastSave="{00000000-0000-0000-0000-000000000000}"/>
  <bookViews>
    <workbookView xWindow="-120" yWindow="-120" windowWidth="20730" windowHeight="11160" tabRatio="677" activeTab="1" xr2:uid="{00000000-000D-0000-FFFF-FFFF00000000}"/>
  </bookViews>
  <sheets>
    <sheet name="THONG TIN" sheetId="2" r:id="rId1"/>
    <sheet name="SL 2024" sheetId="4" r:id="rId2"/>
    <sheet name="T1" sheetId="5" r:id="rId3"/>
    <sheet name="T2" sheetId="10" r:id="rId4"/>
    <sheet name="T3" sheetId="11" r:id="rId5"/>
    <sheet name="T4" sheetId="6" r:id="rId6"/>
    <sheet name="T5" sheetId="12" r:id="rId7"/>
    <sheet name="T6" sheetId="13" r:id="rId8"/>
    <sheet name="T7" sheetId="7" r:id="rId9"/>
    <sheet name="T8" sheetId="14" r:id="rId10"/>
    <sheet name="T9" sheetId="15" r:id="rId11"/>
    <sheet name="T10" sheetId="8" r:id="rId12"/>
    <sheet name="T11" sheetId="16" r:id="rId13"/>
    <sheet name="T12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5" l="1"/>
  <c r="D54" i="17"/>
  <c r="C54" i="17"/>
  <c r="D54" i="16"/>
  <c r="C54" i="16"/>
  <c r="D54" i="8"/>
  <c r="C54" i="8"/>
  <c r="D54" i="15"/>
  <c r="D25" i="14"/>
  <c r="C25" i="14"/>
  <c r="D54" i="7"/>
  <c r="C54" i="7"/>
  <c r="D54" i="13"/>
  <c r="C54" i="13"/>
  <c r="D54" i="12"/>
  <c r="C54" i="12"/>
  <c r="D54" i="6"/>
  <c r="C54" i="6"/>
  <c r="D25" i="11"/>
  <c r="C25" i="11"/>
  <c r="D55" i="5"/>
  <c r="C55" i="5"/>
  <c r="D55" i="10"/>
  <c r="C55" i="10"/>
  <c r="D25" i="5"/>
  <c r="C25" i="5"/>
  <c r="E26" i="4"/>
  <c r="E23" i="17"/>
  <c r="E25" i="17" s="1"/>
  <c r="D25" i="17"/>
  <c r="C25" i="17"/>
  <c r="F23" i="16"/>
  <c r="F25" i="16" s="1"/>
  <c r="E23" i="16"/>
  <c r="E25" i="16" s="1"/>
  <c r="D25" i="16"/>
  <c r="C25" i="16"/>
  <c r="E23" i="8"/>
  <c r="E25" i="8" s="1"/>
  <c r="D25" i="8"/>
  <c r="C25" i="8"/>
  <c r="E23" i="15"/>
  <c r="E25" i="15" s="1"/>
  <c r="D25" i="15"/>
  <c r="C25" i="15"/>
  <c r="E23" i="14"/>
  <c r="F23" i="14" s="1"/>
  <c r="F25" i="14" s="1"/>
  <c r="E23" i="7"/>
  <c r="E25" i="7" s="1"/>
  <c r="D25" i="7"/>
  <c r="C25" i="7"/>
  <c r="E23" i="13"/>
  <c r="E25" i="13" s="1"/>
  <c r="D25" i="13"/>
  <c r="C25" i="13"/>
  <c r="E23" i="12"/>
  <c r="E25" i="12" s="1"/>
  <c r="D25" i="12"/>
  <c r="C25" i="12"/>
  <c r="E23" i="6"/>
  <c r="E25" i="6" s="1"/>
  <c r="D25" i="6"/>
  <c r="C25" i="6"/>
  <c r="E23" i="11"/>
  <c r="F23" i="11" s="1"/>
  <c r="F25" i="11" s="1"/>
  <c r="D25" i="10"/>
  <c r="E23" i="10"/>
  <c r="F23" i="10" s="1"/>
  <c r="F25" i="10" s="1"/>
  <c r="C25" i="10"/>
  <c r="E23" i="5"/>
  <c r="E25" i="5" s="1"/>
  <c r="B55" i="10"/>
  <c r="E53" i="10"/>
  <c r="F53" i="10" s="1"/>
  <c r="F55" i="10" s="1"/>
  <c r="E52" i="10"/>
  <c r="F52" i="10" s="1"/>
  <c r="E51" i="10"/>
  <c r="F51" i="10" s="1"/>
  <c r="D50" i="10"/>
  <c r="E50" i="10" s="1"/>
  <c r="F50" i="10" s="1"/>
  <c r="E45" i="10"/>
  <c r="E53" i="5"/>
  <c r="F53" i="5" s="1"/>
  <c r="F55" i="5" s="1"/>
  <c r="F23" i="13" l="1"/>
  <c r="F25" i="13" s="1"/>
  <c r="F23" i="12"/>
  <c r="F25" i="12" s="1"/>
  <c r="E25" i="10"/>
  <c r="E55" i="5"/>
  <c r="F23" i="5"/>
  <c r="F25" i="5" s="1"/>
  <c r="E55" i="10"/>
  <c r="F23" i="17"/>
  <c r="F25" i="17" s="1"/>
  <c r="F23" i="8"/>
  <c r="F25" i="8" s="1"/>
  <c r="F23" i="15"/>
  <c r="F25" i="15" s="1"/>
  <c r="E25" i="14"/>
  <c r="F23" i="7"/>
  <c r="F25" i="7" s="1"/>
  <c r="F23" i="6"/>
  <c r="F25" i="6" s="1"/>
  <c r="E25" i="11"/>
  <c r="F45" i="10"/>
  <c r="I44" i="4" s="1"/>
  <c r="E51" i="11"/>
  <c r="F51" i="11" s="1"/>
  <c r="E51" i="6"/>
  <c r="F51" i="6" s="1"/>
  <c r="E51" i="12"/>
  <c r="F51" i="12" s="1"/>
  <c r="E51" i="13"/>
  <c r="F51" i="13" s="1"/>
  <c r="E51" i="7"/>
  <c r="F51" i="7" s="1"/>
  <c r="E51" i="14"/>
  <c r="F51" i="14" s="1"/>
  <c r="E51" i="15"/>
  <c r="F51" i="15" s="1"/>
  <c r="E51" i="8"/>
  <c r="F51" i="8" s="1"/>
  <c r="E51" i="16"/>
  <c r="F51" i="16" s="1"/>
  <c r="E51" i="17"/>
  <c r="F51" i="17" s="1"/>
  <c r="E51" i="5"/>
  <c r="F51" i="5" s="1"/>
  <c r="D22" i="10"/>
  <c r="E22" i="10" s="1"/>
  <c r="F22" i="10" s="1"/>
  <c r="D22" i="11"/>
  <c r="E22" i="11" s="1"/>
  <c r="D22" i="6"/>
  <c r="E22" i="6" s="1"/>
  <c r="D22" i="12"/>
  <c r="E22" i="12" s="1"/>
  <c r="D22" i="13"/>
  <c r="E22" i="13" s="1"/>
  <c r="F22" i="13" s="1"/>
  <c r="D22" i="7"/>
  <c r="E22" i="7" s="1"/>
  <c r="F22" i="7" s="1"/>
  <c r="D22" i="14"/>
  <c r="E22" i="14" s="1"/>
  <c r="F22" i="14" s="1"/>
  <c r="D22" i="15"/>
  <c r="E22" i="15" s="1"/>
  <c r="D22" i="8"/>
  <c r="E22" i="8" s="1"/>
  <c r="F22" i="8" s="1"/>
  <c r="D22" i="16"/>
  <c r="E22" i="16" s="1"/>
  <c r="D22" i="17"/>
  <c r="E22" i="17" s="1"/>
  <c r="F22" i="17" s="1"/>
  <c r="D22" i="5"/>
  <c r="E22" i="5" s="1"/>
  <c r="C16" i="11"/>
  <c r="C16" i="6"/>
  <c r="C16" i="12"/>
  <c r="C16" i="13"/>
  <c r="C16" i="7"/>
  <c r="C16" i="14"/>
  <c r="C16" i="15"/>
  <c r="C16" i="8"/>
  <c r="C16" i="16"/>
  <c r="C16" i="17"/>
  <c r="C16" i="10"/>
  <c r="D46" i="4"/>
  <c r="C43" i="4"/>
  <c r="C17" i="4"/>
  <c r="F22" i="16" l="1"/>
  <c r="F22" i="12"/>
  <c r="F22" i="5"/>
  <c r="F22" i="15"/>
  <c r="F22" i="6"/>
  <c r="F22" i="11"/>
  <c r="C10" i="4"/>
  <c r="C11" i="4"/>
  <c r="C9" i="4"/>
  <c r="D12" i="4"/>
  <c r="D20" i="4"/>
  <c r="D25" i="4" l="1"/>
  <c r="F25" i="4"/>
  <c r="E25" i="4"/>
  <c r="C13" i="4"/>
  <c r="C14" i="4"/>
  <c r="C15" i="4"/>
  <c r="C12" i="4" l="1"/>
  <c r="D58" i="4"/>
  <c r="F50" i="4"/>
  <c r="F46" i="4"/>
  <c r="F58" i="4"/>
  <c r="C55" i="4"/>
  <c r="E52" i="5"/>
  <c r="F54" i="4" l="1"/>
  <c r="F59" i="4" s="1"/>
  <c r="C57" i="4"/>
  <c r="C56" i="4"/>
  <c r="C53" i="4"/>
  <c r="C52" i="4"/>
  <c r="C51" i="4"/>
  <c r="C49" i="4"/>
  <c r="C48" i="4"/>
  <c r="C47" i="4"/>
  <c r="C45" i="4"/>
  <c r="C44" i="4"/>
  <c r="C23" i="4"/>
  <c r="C22" i="4"/>
  <c r="C21" i="4"/>
  <c r="C19" i="4"/>
  <c r="C18" i="4"/>
  <c r="C58" i="4" l="1"/>
  <c r="C25" i="4"/>
  <c r="C46" i="4"/>
  <c r="F20" i="4"/>
  <c r="F16" i="4"/>
  <c r="F12" i="4"/>
  <c r="E58" i="4"/>
  <c r="E54" i="4"/>
  <c r="E50" i="4"/>
  <c r="E46" i="4"/>
  <c r="E20" i="4"/>
  <c r="E16" i="4"/>
  <c r="E12" i="4"/>
  <c r="E45" i="17"/>
  <c r="E45" i="16"/>
  <c r="E45" i="8"/>
  <c r="E45" i="15"/>
  <c r="E45" i="14"/>
  <c r="E45" i="7"/>
  <c r="E45" i="13"/>
  <c r="E45" i="12"/>
  <c r="F45" i="8" l="1"/>
  <c r="F45" i="7"/>
  <c r="F45" i="16"/>
  <c r="F45" i="12"/>
  <c r="F45" i="14"/>
  <c r="F45" i="17"/>
  <c r="F45" i="13"/>
  <c r="F45" i="15"/>
  <c r="E59" i="4"/>
  <c r="F26" i="4"/>
  <c r="E45" i="6"/>
  <c r="E45" i="11"/>
  <c r="E45" i="5"/>
  <c r="E16" i="17"/>
  <c r="E16" i="16"/>
  <c r="E16" i="8"/>
  <c r="E16" i="15"/>
  <c r="E16" i="14"/>
  <c r="E16" i="7"/>
  <c r="E16" i="13"/>
  <c r="F16" i="13" s="1"/>
  <c r="E16" i="12"/>
  <c r="E16" i="6"/>
  <c r="F16" i="6" s="1"/>
  <c r="E16" i="11"/>
  <c r="E16" i="10"/>
  <c r="F16" i="10" s="1"/>
  <c r="E16" i="5"/>
  <c r="F16" i="5" l="1"/>
  <c r="F16" i="7"/>
  <c r="F16" i="8"/>
  <c r="G59" i="4"/>
  <c r="H60" i="4"/>
  <c r="F45" i="5"/>
  <c r="F16" i="12"/>
  <c r="F16" i="14"/>
  <c r="F16" i="16"/>
  <c r="F16" i="11"/>
  <c r="F16" i="15"/>
  <c r="F16" i="17"/>
  <c r="F45" i="11"/>
  <c r="G26" i="4"/>
  <c r="H27" i="4"/>
  <c r="F45" i="6"/>
  <c r="B54" i="17"/>
  <c r="D50" i="17"/>
  <c r="E50" i="17"/>
  <c r="B25" i="17"/>
  <c r="D21" i="17"/>
  <c r="C21" i="17"/>
  <c r="A2" i="17"/>
  <c r="A31" i="17" s="1"/>
  <c r="A1" i="17"/>
  <c r="A30" i="17" s="1"/>
  <c r="B54" i="16"/>
  <c r="D50" i="16"/>
  <c r="E50" i="16"/>
  <c r="B25" i="16"/>
  <c r="D21" i="16"/>
  <c r="C21" i="16"/>
  <c r="A2" i="16"/>
  <c r="A31" i="16" s="1"/>
  <c r="A1" i="16"/>
  <c r="A30" i="16" s="1"/>
  <c r="B54" i="8"/>
  <c r="D50" i="8"/>
  <c r="B25" i="8"/>
  <c r="D21" i="8"/>
  <c r="C21" i="8"/>
  <c r="A2" i="8"/>
  <c r="A31" i="8" s="1"/>
  <c r="A1" i="8"/>
  <c r="A30" i="8" s="1"/>
  <c r="B54" i="15"/>
  <c r="D50" i="15"/>
  <c r="E50" i="15"/>
  <c r="B25" i="15"/>
  <c r="D21" i="15"/>
  <c r="C21" i="15"/>
  <c r="A2" i="15"/>
  <c r="A31" i="15" s="1"/>
  <c r="A1" i="15"/>
  <c r="A30" i="15" s="1"/>
  <c r="B54" i="14"/>
  <c r="D50" i="14"/>
  <c r="D54" i="14" s="1"/>
  <c r="B25" i="14"/>
  <c r="D21" i="14"/>
  <c r="C21" i="14"/>
  <c r="A2" i="14"/>
  <c r="A31" i="14" s="1"/>
  <c r="A1" i="14"/>
  <c r="A30" i="14" s="1"/>
  <c r="B54" i="7"/>
  <c r="D50" i="7"/>
  <c r="B25" i="7"/>
  <c r="D21" i="7"/>
  <c r="C21" i="7"/>
  <c r="A2" i="7"/>
  <c r="A31" i="7" s="1"/>
  <c r="A1" i="7"/>
  <c r="A30" i="7" s="1"/>
  <c r="B54" i="13"/>
  <c r="D50" i="13"/>
  <c r="B25" i="13"/>
  <c r="D21" i="13"/>
  <c r="C21" i="13"/>
  <c r="A2" i="13"/>
  <c r="A31" i="13" s="1"/>
  <c r="A1" i="13"/>
  <c r="A30" i="13" s="1"/>
  <c r="B54" i="12"/>
  <c r="D50" i="12"/>
  <c r="E50" i="12"/>
  <c r="B25" i="12"/>
  <c r="D21" i="12"/>
  <c r="C21" i="12"/>
  <c r="A2" i="12"/>
  <c r="A31" i="12" s="1"/>
  <c r="A1" i="12"/>
  <c r="A30" i="12" s="1"/>
  <c r="C21" i="6"/>
  <c r="C54" i="11"/>
  <c r="C21" i="11"/>
  <c r="E50" i="7" l="1"/>
  <c r="E52" i="12"/>
  <c r="E52" i="13"/>
  <c r="E52" i="8"/>
  <c r="E52" i="7"/>
  <c r="E50" i="14"/>
  <c r="E52" i="16"/>
  <c r="E21" i="17"/>
  <c r="E21" i="13"/>
  <c r="E52" i="15"/>
  <c r="E21" i="8"/>
  <c r="E21" i="7"/>
  <c r="E21" i="16"/>
  <c r="E21" i="12"/>
  <c r="E50" i="13"/>
  <c r="F50" i="13" s="1"/>
  <c r="E52" i="14"/>
  <c r="F52" i="14" s="1"/>
  <c r="F54" i="14" s="1"/>
  <c r="C54" i="14"/>
  <c r="E21" i="15"/>
  <c r="E50" i="8"/>
  <c r="E52" i="17"/>
  <c r="F50" i="17"/>
  <c r="F50" i="16"/>
  <c r="F50" i="15"/>
  <c r="E21" i="14"/>
  <c r="F50" i="7"/>
  <c r="F50" i="12"/>
  <c r="F52" i="17" l="1"/>
  <c r="F54" i="17" s="1"/>
  <c r="I57" i="4" s="1"/>
  <c r="E54" i="17"/>
  <c r="F52" i="16"/>
  <c r="F54" i="16" s="1"/>
  <c r="E54" i="16"/>
  <c r="F52" i="8"/>
  <c r="F54" i="8" s="1"/>
  <c r="E54" i="8"/>
  <c r="F52" i="15"/>
  <c r="F54" i="15" s="1"/>
  <c r="I53" i="4" s="1"/>
  <c r="E54" i="15"/>
  <c r="F52" i="7"/>
  <c r="F54" i="7" s="1"/>
  <c r="E54" i="7"/>
  <c r="F52" i="13"/>
  <c r="F54" i="13" s="1"/>
  <c r="E54" i="13"/>
  <c r="F52" i="12"/>
  <c r="F54" i="12" s="1"/>
  <c r="I48" i="4" s="1"/>
  <c r="E54" i="12"/>
  <c r="E54" i="14"/>
  <c r="F21" i="17"/>
  <c r="F21" i="7"/>
  <c r="F21" i="13"/>
  <c r="F50" i="8"/>
  <c r="F21" i="14"/>
  <c r="F21" i="12"/>
  <c r="F21" i="8"/>
  <c r="F50" i="14"/>
  <c r="I52" i="4" s="1"/>
  <c r="F21" i="15"/>
  <c r="F21" i="16"/>
  <c r="I56" i="4"/>
  <c r="I51" i="4"/>
  <c r="I49" i="4"/>
  <c r="I55" i="4" l="1"/>
  <c r="C21" i="10"/>
  <c r="D21" i="5"/>
  <c r="C21" i="5"/>
  <c r="B54" i="11"/>
  <c r="E52" i="11"/>
  <c r="F52" i="11" s="1"/>
  <c r="F54" i="11" s="1"/>
  <c r="D50" i="11"/>
  <c r="D54" i="11" s="1"/>
  <c r="B25" i="11"/>
  <c r="D21" i="11"/>
  <c r="A2" i="11"/>
  <c r="A31" i="11" s="1"/>
  <c r="A1" i="11"/>
  <c r="A30" i="11" s="1"/>
  <c r="B25" i="10"/>
  <c r="D21" i="10"/>
  <c r="A2" i="10"/>
  <c r="A31" i="10" s="1"/>
  <c r="A1" i="10"/>
  <c r="A30" i="10" s="1"/>
  <c r="E21" i="10" l="1"/>
  <c r="E21" i="11"/>
  <c r="E50" i="11"/>
  <c r="E54" i="11" s="1"/>
  <c r="I19" i="4"/>
  <c r="I18" i="4"/>
  <c r="I23" i="4"/>
  <c r="I15" i="4"/>
  <c r="I14" i="4"/>
  <c r="F21" i="10" l="1"/>
  <c r="I10" i="4" s="1"/>
  <c r="F21" i="11"/>
  <c r="I11" i="4" s="1"/>
  <c r="F50" i="11"/>
  <c r="I22" i="4"/>
  <c r="I45" i="4" l="1"/>
  <c r="E52" i="6"/>
  <c r="E54" i="6" s="1"/>
  <c r="B54" i="6"/>
  <c r="D50" i="6"/>
  <c r="B25" i="6"/>
  <c r="D21" i="6"/>
  <c r="F52" i="5"/>
  <c r="B55" i="5"/>
  <c r="D50" i="5"/>
  <c r="B25" i="5"/>
  <c r="E21" i="5"/>
  <c r="F21" i="5" l="1"/>
  <c r="I9" i="4"/>
  <c r="E50" i="6"/>
  <c r="E21" i="6"/>
  <c r="E50" i="5"/>
  <c r="I21" i="4"/>
  <c r="I17" i="4"/>
  <c r="A2" i="6"/>
  <c r="A31" i="6" s="1"/>
  <c r="A1" i="6"/>
  <c r="A30" i="6" s="1"/>
  <c r="A2" i="5"/>
  <c r="A31" i="5" s="1"/>
  <c r="A1" i="5"/>
  <c r="A30" i="5" s="1"/>
  <c r="F21" i="6" l="1"/>
  <c r="I13" i="4" s="1"/>
  <c r="I24" i="4" s="1"/>
  <c r="I25" i="4" s="1"/>
  <c r="F50" i="5"/>
  <c r="F52" i="6"/>
  <c r="F54" i="6" s="1"/>
  <c r="F50" i="6"/>
  <c r="D54" i="4" l="1"/>
  <c r="D50" i="4"/>
  <c r="C36" i="4"/>
  <c r="C35" i="4"/>
  <c r="I47" i="4" l="1"/>
  <c r="I43" i="4"/>
  <c r="D59" i="4"/>
  <c r="C54" i="4"/>
  <c r="C50" i="4"/>
  <c r="D16" i="4"/>
  <c r="D26" i="4" s="1"/>
  <c r="C16" i="4"/>
  <c r="C20" i="4"/>
  <c r="I58" i="4" l="1"/>
  <c r="I59" i="4" s="1"/>
  <c r="C26" i="4"/>
  <c r="C59" i="4"/>
  <c r="C2" i="4"/>
  <c r="C1" i="4"/>
</calcChain>
</file>

<file path=xl/sharedStrings.xml><?xml version="1.0" encoding="utf-8"?>
<sst xmlns="http://schemas.openxmlformats.org/spreadsheetml/2006/main" count="872" uniqueCount="120">
  <si>
    <t>4. Chi phí chung</t>
  </si>
  <si>
    <t>Mẫu số : S 25 - SKT/DNN</t>
  </si>
  <si>
    <t>Ban hành theo quyết định số</t>
  </si>
  <si>
    <t>của bộ tài chính</t>
  </si>
  <si>
    <t>THẺ TÍNH GIÁ THÀNH SẢN PHẨM</t>
  </si>
  <si>
    <t>Khoản mục chi phí sản xuất kinh doanh</t>
  </si>
  <si>
    <t>Chi phí SXKD dở dang đầu kỳ</t>
  </si>
  <si>
    <t>Chi phí SXKD phát sinh trong kỳ</t>
  </si>
  <si>
    <t>Chi phí SXKD dở dang cuối kỳ</t>
  </si>
  <si>
    <t>Giá thành sản phẩm dịch vụ trong kỳ</t>
  </si>
  <si>
    <t xml:space="preserve">Giá thành </t>
  </si>
  <si>
    <t>Giá thành đơn vị</t>
  </si>
  <si>
    <t>1. Vật liệu</t>
  </si>
  <si>
    <t>2. Nhân công</t>
  </si>
  <si>
    <t>3. Máy</t>
  </si>
  <si>
    <t>Cộng</t>
  </si>
  <si>
    <t>Người ghi sổ</t>
  </si>
  <si>
    <t>Kế toán trưởng</t>
  </si>
  <si>
    <t>Giám đốc</t>
  </si>
  <si>
    <t>(Ký , họ tên)</t>
  </si>
  <si>
    <t>(Ký , họ tên,đóng dấu)</t>
  </si>
  <si>
    <t xml:space="preserve">Tên doanh nghiệp: </t>
  </si>
  <si>
    <t>Trụ sở chính :</t>
  </si>
  <si>
    <t>Mã số thuế :</t>
  </si>
  <si>
    <t>Trụ sở chính:</t>
  </si>
  <si>
    <t>BẢNG BÁO CÁO SẢN LƯỢNG SẢN XUẤT VÀ TIÊU THỤ ĐIỆN SOLAR</t>
  </si>
  <si>
    <t xml:space="preserve">Công suất dự án : </t>
  </si>
  <si>
    <t>Thời gian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</si>
  <si>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</si>
  <si>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</si>
  <si>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</si>
  <si>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</si>
  <si>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</si>
  <si>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</si>
  <si>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</si>
  <si>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</si>
  <si>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</si>
  <si>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</si>
  <si>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</si>
  <si>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</si>
  <si>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Sản lượng phát</t>
  </si>
  <si>
    <t>Sản lượng bán</t>
  </si>
  <si>
    <t>Sản lượng tiêu dùng</t>
  </si>
  <si>
    <t>Sản lượng phát bỏ</t>
  </si>
  <si>
    <t>Quý I</t>
  </si>
  <si>
    <t>Quý II</t>
  </si>
  <si>
    <t>Quý III</t>
  </si>
  <si>
    <t>Quý IV</t>
  </si>
  <si>
    <t>Hướng dẫn</t>
  </si>
  <si>
    <t>Sản lượng phát ghi số liệu từ phần mềm quản lý Solar</t>
  </si>
  <si>
    <t xml:space="preserve">Sản lượng phát bỏ ghi nhận điện lực không mua và những ngày cúp điện </t>
  </si>
  <si>
    <t xml:space="preserve">Sản lượng tiêu dùng là chênh lệch còn lại </t>
  </si>
  <si>
    <t xml:space="preserve">Năm </t>
  </si>
  <si>
    <t>133/2016/TT-BTC ngày 14/06/2016</t>
  </si>
  <si>
    <t xml:space="preserve">Phương pháp tính giá thành : Giá thành thực tế </t>
  </si>
  <si>
    <t>Tên sản phẩm , dịch vụ : Điện năng lượng mặt trời</t>
  </si>
  <si>
    <t xml:space="preserve">Số lượng sản phẩm , dịch vụ hoàn thành trong kỳ : </t>
  </si>
  <si>
    <t>Sản lượng bán ghi số liệu từ cơ quan điện lực chốt sổ + SL nội suy đến cuối cuối tháng</t>
  </si>
  <si>
    <t>Công ty TNHH Thuận An</t>
  </si>
  <si>
    <t>Ấp Chồng Nô 3, Xã Hòa Tân, Huyện Cầu Kè, Tỉnh Trà Vinh</t>
  </si>
  <si>
    <t>2 1 0 0 4 0 6 8 1 8</t>
  </si>
  <si>
    <t>Hóa đơn Số 26</t>
  </si>
  <si>
    <t>Hóa đơn Số 27</t>
  </si>
  <si>
    <t xml:space="preserve">  62,3    Kw</t>
  </si>
  <si>
    <t>HÒA TÂN</t>
  </si>
  <si>
    <t>HÒA ÂN</t>
  </si>
  <si>
    <t xml:space="preserve"> 142,4     Kw</t>
  </si>
  <si>
    <t>Chi phí khấu hao hệ thống pin năng lượng mặt trời</t>
  </si>
  <si>
    <t>ĐỊA ĐIỂM :</t>
  </si>
  <si>
    <t>Giá thành</t>
  </si>
  <si>
    <t>Hóa đơn Số 14</t>
  </si>
  <si>
    <t>Hóa đơn Số 18</t>
  </si>
  <si>
    <t>Hóa đơn Số 22</t>
  </si>
  <si>
    <t>Hóa đơn 1</t>
  </si>
  <si>
    <t>Hóa đơn Số 15</t>
  </si>
  <si>
    <t>Hóa đơn Số 34</t>
  </si>
  <si>
    <t>Hóa đơn Số 28</t>
  </si>
  <si>
    <t>Hóa đơn Số 33</t>
  </si>
  <si>
    <t xml:space="preserve">Chi phí khấu hao thay tấm pin sửa chửa hệ thống </t>
  </si>
  <si>
    <t>Sản lượng còn lại 12/2023</t>
  </si>
  <si>
    <t xml:space="preserve">Hóa đơn Số 02 </t>
  </si>
  <si>
    <t>Hóa đơn số 5</t>
  </si>
  <si>
    <t>Hóa đơn số 11</t>
  </si>
  <si>
    <t>Hóa đơn số 13</t>
  </si>
  <si>
    <t>Hóa đơn Số 19</t>
  </si>
  <si>
    <t>Hóa đơn Số 29</t>
  </si>
  <si>
    <t>Hóa đơn Số 36</t>
  </si>
  <si>
    <t>Hóa đơn Số 39</t>
  </si>
  <si>
    <t>Hóa đơn Số 03/2025</t>
  </si>
  <si>
    <t>Hóa đơn Số 06</t>
  </si>
  <si>
    <t>Hóa đơn Số 10</t>
  </si>
  <si>
    <t>Hóa đơn Số 12</t>
  </si>
  <si>
    <t>Hóa đơn Số 23</t>
  </si>
  <si>
    <t>Hóa đơn Số 35</t>
  </si>
  <si>
    <t>Hóa đơn Số 38</t>
  </si>
  <si>
    <t>Hóa đơn Số 04/2025</t>
  </si>
  <si>
    <t>Tháng 1/2024</t>
  </si>
  <si>
    <t>Tháng 2/2024</t>
  </si>
  <si>
    <t>Tháng 3/2024</t>
  </si>
  <si>
    <t>Tháng 4/2024</t>
  </si>
  <si>
    <t>Tháng 5/2024</t>
  </si>
  <si>
    <t>Tháng 5 /2024</t>
  </si>
  <si>
    <t>Tháng 6/2024</t>
  </si>
  <si>
    <t>Tháng 6 /2024</t>
  </si>
  <si>
    <t>Tháng 7/2024</t>
  </si>
  <si>
    <t>Tháng 7 /2024</t>
  </si>
  <si>
    <t>Tháng 8 /2024</t>
  </si>
  <si>
    <t>Tháng 8/2024</t>
  </si>
  <si>
    <t>Tháng 9/2024</t>
  </si>
  <si>
    <t>Tháng 9 /2024</t>
  </si>
  <si>
    <t>Tháng 10/2024</t>
  </si>
  <si>
    <t>Tháng 10 /2024</t>
  </si>
  <si>
    <t>Tháng 11/2024</t>
  </si>
  <si>
    <t>Tháng 11 /2024</t>
  </si>
  <si>
    <t>Tháng 12 /2024</t>
  </si>
  <si>
    <t>Tháng 12/2024</t>
  </si>
  <si>
    <t>Chi phí khấu hao thay tấm pin + 3 interver (2024)</t>
  </si>
  <si>
    <t>Chi phí khấu hao thay tấm pin sửa chửa hệ thống (2023)</t>
  </si>
  <si>
    <t>Chi phí khấu hao sửa chửa hệ thống ĐMT(2022)</t>
  </si>
  <si>
    <t>Chi phí khấu hao thay tấm pin sửa chửa hệ thống (2024)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</si>
</sst>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(* #,##0_);_(* \(#,##0\);_(* &quot;-&quot;??_);_(@_)"/>
    <numFmt numFmtId="166" formatCode="_-* #,##0\ _₫_-;\-* #,##0\ _₫_-;_-* &quot;-&quot;??\ _₫_-;_-@_-"/>
  </numFmts>
  <fonts count="11" x14ac:knownFonts="1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2"/>
      <color theme="1"/>
      <name val="Times New Roman"/>
      <family val="1"/>
      <scheme val="major"/>
    </font>
    <font>
      <b/>
      <sz val="10"/>
      <name val="Times New Roman"/>
      <family val="1"/>
      <scheme val="major"/>
    </font>
    <font>
      <i/>
      <sz val="10"/>
      <name val="Times New Roman"/>
      <family val="1"/>
      <scheme val="major"/>
    </font>
    <font>
      <b/>
      <sz val="14"/>
      <name val="Times New Roman"/>
      <family val="1"/>
      <scheme val="major"/>
    </font>
    <font>
      <sz val="10"/>
      <name val="Times New Roman"/>
      <family val="1"/>
      <scheme val="major"/>
    </font>
    <font>
      <i/>
      <sz val="8"/>
      <name val="Times New Roman"/>
      <family val="1"/>
      <scheme val="major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4" xfId="0" applyFont="1" applyBorder="1"/>
    <xf numFmtId="165" fontId="2" fillId="0" borderId="4" xfId="1" applyNumberFormat="1" applyFont="1" applyBorder="1"/>
    <xf numFmtId="0" fontId="2" fillId="0" borderId="5" xfId="0" applyFont="1" applyBorder="1"/>
    <xf numFmtId="165" fontId="2" fillId="0" borderId="5" xfId="1" applyNumberFormat="1" applyFont="1" applyBorder="1"/>
    <xf numFmtId="165" fontId="6" fillId="0" borderId="5" xfId="1" applyNumberFormat="1" applyFont="1" applyBorder="1" applyAlignment="1"/>
    <xf numFmtId="0" fontId="2" fillId="0" borderId="0" xfId="0" applyFont="1" applyAlignment="1">
      <alignment horizontal="center"/>
    </xf>
    <xf numFmtId="165" fontId="6" fillId="0" borderId="0" xfId="1" applyNumberFormat="1" applyFont="1" applyBorder="1"/>
    <xf numFmtId="165" fontId="2" fillId="0" borderId="0" xfId="1" applyNumberFormat="1" applyFont="1" applyBorder="1"/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8" xfId="0" applyFont="1" applyBorder="1"/>
    <xf numFmtId="165" fontId="2" fillId="0" borderId="8" xfId="1" applyNumberFormat="1" applyFont="1" applyBorder="1"/>
    <xf numFmtId="0" fontId="2" fillId="0" borderId="9" xfId="0" applyFont="1" applyBorder="1"/>
    <xf numFmtId="165" fontId="2" fillId="0" borderId="9" xfId="1" applyNumberFormat="1" applyFont="1" applyBorder="1"/>
    <xf numFmtId="165" fontId="6" fillId="0" borderId="9" xfId="1" applyNumberFormat="1" applyFont="1" applyBorder="1" applyAlignment="1"/>
    <xf numFmtId="0" fontId="2" fillId="0" borderId="3" xfId="0" applyFont="1" applyBorder="1"/>
    <xf numFmtId="165" fontId="2" fillId="0" borderId="3" xfId="1" applyNumberFormat="1" applyFont="1" applyBorder="1"/>
    <xf numFmtId="0" fontId="2" fillId="0" borderId="10" xfId="0" applyFont="1" applyBorder="1"/>
    <xf numFmtId="165" fontId="2" fillId="0" borderId="10" xfId="1" applyNumberFormat="1" applyFont="1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8" fillId="0" borderId="0" xfId="0" applyFont="1"/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8" xfId="0" applyBorder="1" applyAlignment="1">
      <alignment horizontal="center"/>
    </xf>
    <xf numFmtId="0" fontId="0" fillId="0" borderId="8" xfId="0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9" xfId="0" applyNumberFormat="1" applyBorder="1"/>
    <xf numFmtId="3" fontId="0" fillId="0" borderId="8" xfId="0" applyNumberFormat="1" applyBorder="1"/>
    <xf numFmtId="0" fontId="0" fillId="0" borderId="0" xfId="0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3" fontId="8" fillId="2" borderId="1" xfId="0" applyNumberFormat="1" applyFont="1" applyFill="1" applyBorder="1"/>
    <xf numFmtId="0" fontId="9" fillId="0" borderId="0" xfId="0" applyFont="1"/>
    <xf numFmtId="0" fontId="8" fillId="0" borderId="0" xfId="0" applyFont="1" applyAlignment="1">
      <alignment horizontal="left"/>
    </xf>
    <xf numFmtId="0" fontId="0" fillId="3" borderId="1" xfId="0" applyFill="1" applyBorder="1" applyAlignment="1">
      <alignment horizontal="center" vertical="center"/>
    </xf>
    <xf numFmtId="164" fontId="0" fillId="0" borderId="0" xfId="1" applyFont="1"/>
    <xf numFmtId="166" fontId="0" fillId="0" borderId="0" xfId="1" applyNumberFormat="1" applyFont="1"/>
    <xf numFmtId="166" fontId="8" fillId="2" borderId="1" xfId="0" applyNumberFormat="1" applyFont="1" applyFill="1" applyBorder="1"/>
    <xf numFmtId="166" fontId="0" fillId="0" borderId="0" xfId="0" applyNumberFormat="1"/>
    <xf numFmtId="3" fontId="0" fillId="0" borderId="0" xfId="0" applyNumberFormat="1"/>
    <xf numFmtId="0" fontId="3" fillId="4" borderId="0" xfId="0" applyFont="1" applyFill="1"/>
    <xf numFmtId="0" fontId="3" fillId="0" borderId="0" xfId="0" applyFont="1"/>
    <xf numFmtId="0" fontId="10" fillId="0" borderId="1" xfId="0" applyFont="1" applyBorder="1" applyAlignment="1">
      <alignment horizontal="center" vertical="center"/>
    </xf>
    <xf numFmtId="165" fontId="10" fillId="0" borderId="1" xfId="1" applyNumberFormat="1" applyFont="1" applyBorder="1" applyAlignment="1">
      <alignment vertical="center"/>
    </xf>
    <xf numFmtId="3" fontId="3" fillId="4" borderId="0" xfId="0" applyNumberFormat="1" applyFont="1" applyFill="1"/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5" fontId="10" fillId="0" borderId="3" xfId="1" applyNumberFormat="1" applyFont="1" applyBorder="1" applyAlignment="1">
      <alignment vertical="center"/>
    </xf>
    <xf numFmtId="0" fontId="2" fillId="0" borderId="14" xfId="0" applyFont="1" applyBorder="1"/>
    <xf numFmtId="165" fontId="2" fillId="0" borderId="15" xfId="1" applyNumberFormat="1" applyFont="1" applyBorder="1"/>
    <xf numFmtId="0" fontId="2" fillId="0" borderId="16" xfId="0" applyFont="1" applyBorder="1"/>
    <xf numFmtId="165" fontId="2" fillId="0" borderId="13" xfId="1" applyNumberFormat="1" applyFont="1" applyBorder="1"/>
    <xf numFmtId="165" fontId="2" fillId="0" borderId="11" xfId="1" applyNumberFormat="1" applyFont="1" applyBorder="1"/>
    <xf numFmtId="0" fontId="2" fillId="0" borderId="17" xfId="0" applyFont="1" applyBorder="1"/>
    <xf numFmtId="0" fontId="2" fillId="0" borderId="12" xfId="0" applyFont="1" applyBorder="1"/>
    <xf numFmtId="165" fontId="2" fillId="0" borderId="17" xfId="1" applyNumberFormat="1" applyFont="1" applyBorder="1"/>
    <xf numFmtId="165" fontId="2" fillId="0" borderId="12" xfId="1" applyNumberFormat="1" applyFont="1" applyBorder="1"/>
    <xf numFmtId="0" fontId="0" fillId="0" borderId="2" xfId="0" applyBorder="1" applyAlignment="1">
      <alignment horizontal="center" vertical="center"/>
    </xf>
    <xf numFmtId="166" fontId="0" fillId="0" borderId="2" xfId="1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/>
    </xf>
    <xf numFmtId="0" fontId="0" fillId="4" borderId="0" xfId="0" applyFill="1"/>
    <xf numFmtId="164" fontId="0" fillId="4" borderId="0" xfId="1" applyFont="1" applyFill="1"/>
    <xf numFmtId="0" fontId="2" fillId="0" borderId="13" xfId="0" applyFont="1" applyBorder="1"/>
    <xf numFmtId="3" fontId="0" fillId="4" borderId="9" xfId="0" applyNumberFormat="1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166" fontId="0" fillId="0" borderId="0" xfId="1" applyNumberFormat="1" applyFont="1" applyFill="1"/>
    <xf numFmtId="3" fontId="0" fillId="0" borderId="10" xfId="0" applyNumberFormat="1" applyBorder="1"/>
    <xf numFmtId="0" fontId="0" fillId="4" borderId="1" xfId="0" applyFill="1" applyBorder="1" applyAlignment="1">
      <alignment vertical="center"/>
    </xf>
    <xf numFmtId="166" fontId="0" fillId="4" borderId="1" xfId="1" applyNumberFormat="1" applyFont="1" applyFill="1" applyBorder="1" applyAlignment="1">
      <alignment vertical="center"/>
    </xf>
    <xf numFmtId="166" fontId="0" fillId="4" borderId="1" xfId="1" applyNumberFormat="1" applyFont="1" applyFill="1" applyBorder="1" applyAlignment="1">
      <alignment horizontal="center" vertical="center"/>
    </xf>
    <xf numFmtId="166" fontId="0" fillId="4" borderId="2" xfId="1" applyNumberFormat="1" applyFont="1" applyFill="1" applyBorder="1" applyAlignment="1">
      <alignment horizontal="center" vertical="center"/>
    </xf>
    <xf numFmtId="0" fontId="0" fillId="5" borderId="0" xfId="0" applyFill="1"/>
    <xf numFmtId="165" fontId="10" fillId="0" borderId="5" xfId="1" applyNumberFormat="1" applyFont="1" applyBorder="1"/>
    <xf numFmtId="3" fontId="0" fillId="4" borderId="5" xfId="0" applyNumberFormat="1" applyFill="1" applyBorder="1"/>
    <xf numFmtId="3" fontId="0" fillId="5" borderId="5" xfId="0" applyNumberFormat="1" applyFill="1" applyBorder="1"/>
    <xf numFmtId="0" fontId="8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4" borderId="0" xfId="0" applyFont="1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5"/>
  <sheetViews>
    <sheetView workbookViewId="0">
      <selection activeCell="J15" sqref="J15"/>
    </sheetView>
  </sheetViews>
  <sheetFormatPr defaultRowHeight="15.75" x14ac:dyDescent="0.25"/>
  <sheetData>
    <row r="3" spans="1:3" x14ac:dyDescent="0.25">
      <c r="A3" t="s">
        <v>21</v>
      </c>
      <c r="C3" t="s">
        <v>58</v>
      </c>
    </row>
    <row r="4" spans="1:3" x14ac:dyDescent="0.25">
      <c r="A4" t="s">
        <v>22</v>
      </c>
      <c r="C4" t="s">
        <v>59</v>
      </c>
    </row>
    <row r="5" spans="1:3" x14ac:dyDescent="0.25">
      <c r="A5" t="s">
        <v>23</v>
      </c>
      <c r="C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"/>
  <sheetViews>
    <sheetView tabSelected="1" topLeftCell="A46" workbookViewId="0">
      <selection activeCell="K20" sqref="K20"/>
    </sheetView>
  </sheetViews>
  <sheetFormatPr defaultRowHeight="15.75" x14ac:dyDescent="0.25"/>
  <cols>
    <col min="1" max="1" width="23" customWidth="1"/>
    <col min="2" max="2" width="2.625" customWidth="1"/>
    <col min="3" max="6" width="15.625" customWidth="1"/>
    <col min="8" max="8" width="18.375" customWidth="1"/>
    <col min="9" max="9" width="22.5" customWidth="1"/>
  </cols>
  <sheetData>
    <row r="1" spans="1:9" ht="33" customHeight="1" x14ac:dyDescent="0.25">
      <c r="A1" t="s">
        <v>21</v>
      </c>
      <c r="C1" t="str">
        <f>'THONG TIN'!C3</f>
        <v>Công ty TNHH Thuận An</v>
      </c>
    </row>
    <row r="2" spans="1:9" ht="27.75" customHeight="1" x14ac:dyDescent="0.25">
      <c r="A2" t="s">
        <v>24</v>
      </c>
      <c r="C2" t="str">
        <f>'THONG TIN'!C4</f>
        <v>Ấp Chồng Nô 3, Xã Hòa Tân, Huyện Cầu Kè, Tỉnh Trà Vinh</v>
      </c>
    </row>
    <row r="3" spans="1:9" ht="21.95" customHeight="1" x14ac:dyDescent="0.25">
      <c r="A3" s="88" t="s">
        <v>25</v>
      </c>
      <c r="B3" s="88"/>
      <c r="C3" s="88"/>
      <c r="D3" s="88"/>
      <c r="E3" s="88"/>
      <c r="F3" s="88"/>
    </row>
    <row r="4" spans="1:9" ht="21.95" customHeight="1" x14ac:dyDescent="0.25">
      <c r="A4" s="90" t="s">
        <v>64</v>
      </c>
      <c r="B4" s="90"/>
      <c r="C4" s="90"/>
      <c r="D4" s="90"/>
      <c r="E4" s="90"/>
      <c r="F4" s="90"/>
    </row>
    <row r="5" spans="1:9" ht="21.95" customHeight="1" x14ac:dyDescent="0.25">
      <c r="B5" t="s">
        <v>26</v>
      </c>
      <c r="D5" s="29" t="s">
        <v>63</v>
      </c>
      <c r="E5" s="24" t="s">
        <v>52</v>
      </c>
      <c r="F5" s="43">
        <v>2024</v>
      </c>
    </row>
    <row r="6" spans="1:9" ht="21.95" customHeight="1" x14ac:dyDescent="0.25"/>
    <row r="7" spans="1:9" ht="21.95" customHeight="1" x14ac:dyDescent="0.25">
      <c r="A7" s="89" t="s">
        <v>27</v>
      </c>
      <c r="B7" s="89"/>
      <c r="C7" s="44" t="s">
        <v>40</v>
      </c>
      <c r="D7" s="44" t="s">
        <v>41</v>
      </c>
      <c r="E7" s="44" t="s">
        <v>43</v>
      </c>
      <c r="F7" s="44" t="s">
        <v>42</v>
      </c>
      <c r="I7" s="55" t="s">
        <v>69</v>
      </c>
    </row>
    <row r="8" spans="1:9" ht="21.95" customHeight="1" x14ac:dyDescent="0.25">
      <c r="A8" s="80" t="s">
        <v>79</v>
      </c>
      <c r="B8" s="80"/>
      <c r="C8" s="81">
        <v>0</v>
      </c>
      <c r="D8" s="82">
        <v>7770</v>
      </c>
      <c r="E8" s="56"/>
      <c r="F8" s="56"/>
      <c r="G8" t="s">
        <v>73</v>
      </c>
      <c r="I8" s="55"/>
    </row>
    <row r="9" spans="1:9" ht="21.95" customHeight="1" x14ac:dyDescent="0.25">
      <c r="A9" s="32" t="s">
        <v>28</v>
      </c>
      <c r="B9" s="33"/>
      <c r="C9" s="46">
        <f>D9+E9+F9</f>
        <v>8830</v>
      </c>
      <c r="D9" s="34">
        <v>8690</v>
      </c>
      <c r="E9" s="34">
        <v>40</v>
      </c>
      <c r="F9" s="34">
        <v>100</v>
      </c>
      <c r="G9" t="s">
        <v>81</v>
      </c>
      <c r="H9" s="45"/>
      <c r="I9" s="46">
        <f>'T1'!F25</f>
        <v>1712.4796149490373</v>
      </c>
    </row>
    <row r="10" spans="1:9" ht="21.95" customHeight="1" x14ac:dyDescent="0.25">
      <c r="A10" s="27" t="s">
        <v>29</v>
      </c>
      <c r="B10" s="28"/>
      <c r="C10" s="46">
        <f t="shared" ref="C10:C11" si="0">D10+E10+F10</f>
        <v>8610</v>
      </c>
      <c r="D10" s="34">
        <v>8470</v>
      </c>
      <c r="E10" s="35">
        <v>100</v>
      </c>
      <c r="F10" s="35">
        <v>40</v>
      </c>
      <c r="G10" t="s">
        <v>82</v>
      </c>
      <c r="H10" s="45"/>
      <c r="I10" s="46">
        <f>'T2'!F25</f>
        <v>1756.2363530778164</v>
      </c>
    </row>
    <row r="11" spans="1:9" ht="21.95" customHeight="1" x14ac:dyDescent="0.25">
      <c r="A11" s="30" t="s">
        <v>30</v>
      </c>
      <c r="B11" s="31"/>
      <c r="C11" s="46">
        <f t="shared" si="0"/>
        <v>9630</v>
      </c>
      <c r="D11" s="34">
        <v>9620</v>
      </c>
      <c r="E11" s="36">
        <v>10</v>
      </c>
      <c r="F11" s="36">
        <v>0</v>
      </c>
      <c r="G11" t="s">
        <v>83</v>
      </c>
      <c r="H11" s="45"/>
      <c r="I11" s="46">
        <f>'T3'!F25</f>
        <v>1571.8497920997922</v>
      </c>
    </row>
    <row r="12" spans="1:9" ht="21.95" customHeight="1" x14ac:dyDescent="0.25">
      <c r="A12" s="39" t="s">
        <v>44</v>
      </c>
      <c r="B12" s="40"/>
      <c r="C12" s="70">
        <f>SUM(C8:C11)</f>
        <v>27070</v>
      </c>
      <c r="D12" s="70">
        <f>SUM(D9:D11)</f>
        <v>26780</v>
      </c>
      <c r="E12" s="71">
        <f>SUM(E9:E11)</f>
        <v>150</v>
      </c>
      <c r="F12" s="71">
        <f>SUM(F9:F11)</f>
        <v>140</v>
      </c>
      <c r="H12" s="45"/>
      <c r="I12" s="46"/>
    </row>
    <row r="13" spans="1:9" ht="21.95" customHeight="1" x14ac:dyDescent="0.25">
      <c r="A13" s="32" t="s">
        <v>31</v>
      </c>
      <c r="B13" s="33"/>
      <c r="C13" s="46">
        <f t="shared" ref="C13:C15" si="1">D13+E13+F13</f>
        <v>9310</v>
      </c>
      <c r="D13" s="37">
        <v>9300</v>
      </c>
      <c r="E13" s="37">
        <v>10</v>
      </c>
      <c r="F13" s="37">
        <v>0</v>
      </c>
      <c r="G13" t="s">
        <v>70</v>
      </c>
      <c r="H13" s="45"/>
      <c r="I13" s="46">
        <f>'T4'!F25</f>
        <v>1624.1885069817399</v>
      </c>
    </row>
    <row r="14" spans="1:9" ht="21.95" customHeight="1" x14ac:dyDescent="0.25">
      <c r="A14" s="27" t="s">
        <v>32</v>
      </c>
      <c r="B14" s="28"/>
      <c r="C14" s="46">
        <f t="shared" si="1"/>
        <v>7940</v>
      </c>
      <c r="D14" s="35">
        <v>7770</v>
      </c>
      <c r="E14" s="35">
        <v>50</v>
      </c>
      <c r="F14" s="35">
        <v>120</v>
      </c>
      <c r="G14" t="s">
        <v>84</v>
      </c>
      <c r="H14" s="45"/>
      <c r="I14" s="46">
        <f>'T5'!F25</f>
        <v>1904.4326196473551</v>
      </c>
    </row>
    <row r="15" spans="1:9" ht="21.95" customHeight="1" x14ac:dyDescent="0.25">
      <c r="A15" s="30" t="s">
        <v>33</v>
      </c>
      <c r="B15" s="31"/>
      <c r="C15" s="46">
        <f t="shared" si="1"/>
        <v>7331</v>
      </c>
      <c r="D15" s="36">
        <v>7230</v>
      </c>
      <c r="E15" s="36">
        <v>50</v>
      </c>
      <c r="F15" s="36">
        <v>51</v>
      </c>
      <c r="G15" t="s">
        <v>72</v>
      </c>
      <c r="H15" s="45"/>
      <c r="I15" s="46">
        <f>'T6'!F25</f>
        <v>2062.6374300913926</v>
      </c>
    </row>
    <row r="16" spans="1:9" ht="21.95" customHeight="1" x14ac:dyDescent="0.25">
      <c r="A16" s="39" t="s">
        <v>45</v>
      </c>
      <c r="B16" s="40"/>
      <c r="C16" s="70">
        <f>SUM(C13:C15)</f>
        <v>24581</v>
      </c>
      <c r="D16" s="70">
        <f>SUM(D13:D15)</f>
        <v>24300</v>
      </c>
      <c r="E16" s="70">
        <f>SUM(E13:E15)</f>
        <v>110</v>
      </c>
      <c r="F16" s="70">
        <f>SUM(F13:F15)</f>
        <v>171</v>
      </c>
      <c r="H16" s="45"/>
      <c r="I16" s="46"/>
    </row>
    <row r="17" spans="1:9" ht="21.95" customHeight="1" x14ac:dyDescent="0.25">
      <c r="A17" s="32" t="s">
        <v>34</v>
      </c>
      <c r="B17" s="33"/>
      <c r="C17" s="46">
        <f>D17+E17+F17</f>
        <v>6700</v>
      </c>
      <c r="D17" s="37">
        <v>6540</v>
      </c>
      <c r="E17" s="37">
        <v>100</v>
      </c>
      <c r="F17" s="37">
        <v>60</v>
      </c>
      <c r="G17" t="s">
        <v>62</v>
      </c>
      <c r="H17" s="45"/>
      <c r="I17" s="46">
        <f>'T7'!F25</f>
        <v>2256.8947761194026</v>
      </c>
    </row>
    <row r="18" spans="1:9" ht="21.95" customHeight="1" x14ac:dyDescent="0.25">
      <c r="A18" s="27" t="s">
        <v>35</v>
      </c>
      <c r="B18" s="28"/>
      <c r="C18" s="46">
        <f t="shared" ref="C18:C19" si="2">D18+E18+F18</f>
        <v>8569</v>
      </c>
      <c r="D18" s="35">
        <v>8490</v>
      </c>
      <c r="E18" s="35">
        <v>0</v>
      </c>
      <c r="F18" s="35">
        <v>79</v>
      </c>
      <c r="G18" t="s">
        <v>85</v>
      </c>
      <c r="H18" s="45"/>
      <c r="I18" s="46">
        <f>'T8'!F25</f>
        <v>1764.639397829385</v>
      </c>
    </row>
    <row r="19" spans="1:9" ht="21.95" customHeight="1" x14ac:dyDescent="0.25">
      <c r="A19" s="30" t="s">
        <v>36</v>
      </c>
      <c r="B19" s="31"/>
      <c r="C19" s="46">
        <f t="shared" si="2"/>
        <v>6429</v>
      </c>
      <c r="D19" s="36">
        <v>6340</v>
      </c>
      <c r="E19" s="35">
        <v>10</v>
      </c>
      <c r="F19" s="35">
        <v>79</v>
      </c>
      <c r="G19" t="s">
        <v>75</v>
      </c>
      <c r="H19" s="45"/>
      <c r="I19" s="46">
        <f>'T9'!F25</f>
        <v>2352.0290869497585</v>
      </c>
    </row>
    <row r="20" spans="1:9" ht="21.95" customHeight="1" x14ac:dyDescent="0.25">
      <c r="A20" s="39" t="s">
        <v>46</v>
      </c>
      <c r="B20" s="40"/>
      <c r="C20" s="70">
        <f>SUM(C17:C19)</f>
        <v>21698</v>
      </c>
      <c r="D20" s="70">
        <f>SUM(D17:D19)</f>
        <v>21370</v>
      </c>
      <c r="E20" s="70">
        <f>SUM(E17:E19)</f>
        <v>110</v>
      </c>
      <c r="F20" s="70">
        <f>SUM(F17:F19)</f>
        <v>218</v>
      </c>
      <c r="H20" s="45"/>
      <c r="I20" s="46"/>
    </row>
    <row r="21" spans="1:9" ht="21.95" customHeight="1" x14ac:dyDescent="0.25">
      <c r="A21" s="32" t="s">
        <v>37</v>
      </c>
      <c r="B21" s="33"/>
      <c r="C21" s="46">
        <f t="shared" ref="C21:C23" si="3">D21+E21+F21</f>
        <v>6850</v>
      </c>
      <c r="D21" s="36">
        <v>6740</v>
      </c>
      <c r="E21" s="36">
        <v>50</v>
      </c>
      <c r="F21" s="36">
        <v>60</v>
      </c>
      <c r="G21" t="s">
        <v>86</v>
      </c>
      <c r="H21" s="45"/>
      <c r="I21" s="46">
        <f>'T10'!F25</f>
        <v>2207.4737226277375</v>
      </c>
    </row>
    <row r="22" spans="1:9" ht="21.95" customHeight="1" x14ac:dyDescent="0.25">
      <c r="A22" s="27" t="s">
        <v>38</v>
      </c>
      <c r="B22" s="28"/>
      <c r="C22" s="46">
        <f t="shared" si="3"/>
        <v>7575</v>
      </c>
      <c r="D22" s="37">
        <v>7520</v>
      </c>
      <c r="E22" s="37">
        <v>0</v>
      </c>
      <c r="F22" s="37">
        <v>55</v>
      </c>
      <c r="G22" t="s">
        <v>87</v>
      </c>
      <c r="H22" s="45"/>
      <c r="I22" s="46">
        <f>'T11'!F25</f>
        <v>1996.1973597359736</v>
      </c>
    </row>
    <row r="23" spans="1:9" ht="21.95" customHeight="1" x14ac:dyDescent="0.25">
      <c r="A23" s="30" t="s">
        <v>39</v>
      </c>
      <c r="B23" s="31"/>
      <c r="C23" s="46">
        <f t="shared" si="3"/>
        <v>6573</v>
      </c>
      <c r="D23" s="86">
        <v>6430</v>
      </c>
      <c r="E23" s="35">
        <v>55</v>
      </c>
      <c r="F23" s="35">
        <v>88</v>
      </c>
      <c r="G23" t="s">
        <v>88</v>
      </c>
      <c r="H23" s="73"/>
      <c r="I23" s="46">
        <f>'T12'!F25</f>
        <v>2300.5012931690248</v>
      </c>
    </row>
    <row r="24" spans="1:9" ht="21.95" customHeight="1" x14ac:dyDescent="0.25">
      <c r="A24" s="76"/>
      <c r="B24" s="77"/>
      <c r="C24" s="78"/>
      <c r="D24" s="79"/>
      <c r="E24" s="79"/>
      <c r="F24" s="79"/>
      <c r="G24" s="72"/>
      <c r="H24" s="73"/>
      <c r="I24" s="46">
        <f>SUM(I9:I23)</f>
        <v>23509.559953278411</v>
      </c>
    </row>
    <row r="25" spans="1:9" ht="21.95" customHeight="1" x14ac:dyDescent="0.25">
      <c r="A25" s="39" t="s">
        <v>47</v>
      </c>
      <c r="B25" s="40"/>
      <c r="C25" s="70">
        <f>SUM(C21:C24)</f>
        <v>20998</v>
      </c>
      <c r="D25" s="70">
        <f>SUM(D21:D24)</f>
        <v>20690</v>
      </c>
      <c r="E25" s="70">
        <f>SUM(E21:E24)</f>
        <v>105</v>
      </c>
      <c r="F25" s="70">
        <f>SUM(F21:F24)</f>
        <v>203</v>
      </c>
      <c r="H25" s="45"/>
      <c r="I25" s="48">
        <f>I24/12</f>
        <v>1959.1299961065342</v>
      </c>
    </row>
    <row r="26" spans="1:9" ht="21.95" customHeight="1" x14ac:dyDescent="0.25">
      <c r="C26" s="48">
        <f>C12+C16+C20+C25</f>
        <v>94347</v>
      </c>
      <c r="D26" s="48">
        <f>D12+D16+D20+D25</f>
        <v>93140</v>
      </c>
      <c r="E26" s="49">
        <f>SUM(E12+E16+E20+E25)</f>
        <v>475</v>
      </c>
      <c r="F26" s="49">
        <f>SUM(F12+F16+F20+F25)</f>
        <v>732</v>
      </c>
      <c r="G26" s="49">
        <f>E26+F26</f>
        <v>1207</v>
      </c>
      <c r="H26" s="48"/>
    </row>
    <row r="27" spans="1:9" ht="21.95" customHeight="1" x14ac:dyDescent="0.25">
      <c r="A27" s="38"/>
      <c r="C27" s="48"/>
      <c r="D27" s="48"/>
      <c r="F27" s="48"/>
      <c r="H27" s="49">
        <f>D23+E26+F26</f>
        <v>7637</v>
      </c>
    </row>
    <row r="28" spans="1:9" ht="21.95" customHeight="1" x14ac:dyDescent="0.25">
      <c r="A28" s="38" t="s">
        <v>48</v>
      </c>
      <c r="C28" s="42" t="s">
        <v>49</v>
      </c>
      <c r="H28" s="49"/>
    </row>
    <row r="29" spans="1:9" ht="21.95" customHeight="1" x14ac:dyDescent="0.25">
      <c r="C29" s="42" t="s">
        <v>57</v>
      </c>
    </row>
    <row r="30" spans="1:9" ht="21.95" customHeight="1" x14ac:dyDescent="0.25">
      <c r="C30" s="42" t="s">
        <v>50</v>
      </c>
    </row>
    <row r="31" spans="1:9" ht="21.95" customHeight="1" x14ac:dyDescent="0.25">
      <c r="C31" s="42" t="s">
        <v>51</v>
      </c>
    </row>
    <row r="34" spans="1:9" x14ac:dyDescent="0.25">
      <c r="C34" s="42"/>
    </row>
    <row r="35" spans="1:9" ht="21.95" customHeight="1" x14ac:dyDescent="0.25">
      <c r="A35" t="s">
        <v>21</v>
      </c>
      <c r="C35" t="str">
        <f>'THONG TIN'!C3</f>
        <v>Công ty TNHH Thuận An</v>
      </c>
    </row>
    <row r="36" spans="1:9" ht="21.95" customHeight="1" x14ac:dyDescent="0.25">
      <c r="A36" t="s">
        <v>24</v>
      </c>
      <c r="C36" t="str">
        <f>'THONG TIN'!C4</f>
        <v>Ấp Chồng Nô 3, Xã Hòa Tân, Huyện Cầu Kè, Tỉnh Trà Vinh</v>
      </c>
    </row>
    <row r="37" spans="1:9" ht="21.95" customHeight="1" x14ac:dyDescent="0.25">
      <c r="A37" s="88" t="s">
        <v>25</v>
      </c>
      <c r="B37" s="88"/>
      <c r="C37" s="88"/>
      <c r="D37" s="88"/>
      <c r="E37" s="88"/>
      <c r="F37" s="88"/>
    </row>
    <row r="38" spans="1:9" ht="21.95" customHeight="1" x14ac:dyDescent="0.25">
      <c r="A38" s="90" t="s">
        <v>65</v>
      </c>
      <c r="B38" s="90"/>
      <c r="C38" s="90"/>
      <c r="D38" s="90"/>
      <c r="E38" s="90"/>
      <c r="F38" s="90"/>
    </row>
    <row r="39" spans="1:9" ht="21.95" customHeight="1" x14ac:dyDescent="0.25">
      <c r="A39" s="42"/>
      <c r="B39" t="s">
        <v>26</v>
      </c>
      <c r="D39" s="29" t="s">
        <v>66</v>
      </c>
      <c r="E39" s="24" t="s">
        <v>52</v>
      </c>
      <c r="F39" s="43">
        <v>2024</v>
      </c>
    </row>
    <row r="40" spans="1:9" ht="21.95" customHeight="1" x14ac:dyDescent="0.25"/>
    <row r="41" spans="1:9" ht="21.95" customHeight="1" x14ac:dyDescent="0.25">
      <c r="A41" s="89" t="s">
        <v>27</v>
      </c>
      <c r="B41" s="89"/>
      <c r="C41" s="44" t="s">
        <v>40</v>
      </c>
      <c r="D41" s="44" t="s">
        <v>41</v>
      </c>
      <c r="E41" s="44" t="s">
        <v>43</v>
      </c>
      <c r="F41" s="44" t="s">
        <v>42</v>
      </c>
      <c r="I41" s="55" t="s">
        <v>69</v>
      </c>
    </row>
    <row r="42" spans="1:9" ht="21.95" customHeight="1" x14ac:dyDescent="0.25">
      <c r="A42" s="80" t="s">
        <v>79</v>
      </c>
      <c r="B42" s="68"/>
      <c r="C42" s="69">
        <v>0</v>
      </c>
      <c r="D42" s="83">
        <v>16110</v>
      </c>
      <c r="E42" s="68"/>
      <c r="F42" s="68"/>
      <c r="G42" t="s">
        <v>80</v>
      </c>
      <c r="I42" s="55"/>
    </row>
    <row r="43" spans="1:9" ht="21.95" customHeight="1" x14ac:dyDescent="0.25">
      <c r="A43" s="25" t="s">
        <v>28</v>
      </c>
      <c r="B43" s="26"/>
      <c r="C43" s="46">
        <f>D43+E43+F43</f>
        <v>19444</v>
      </c>
      <c r="D43" s="34">
        <v>18844</v>
      </c>
      <c r="E43" s="34">
        <v>100</v>
      </c>
      <c r="F43" s="34">
        <v>500</v>
      </c>
      <c r="G43" t="s">
        <v>89</v>
      </c>
      <c r="I43" s="46">
        <f>'T1'!F55</f>
        <v>1437.3518308989919</v>
      </c>
    </row>
    <row r="44" spans="1:9" ht="21.95" customHeight="1" x14ac:dyDescent="0.25">
      <c r="A44" s="27" t="s">
        <v>29</v>
      </c>
      <c r="B44" s="28"/>
      <c r="C44" s="46">
        <f t="shared" ref="C44:C45" si="4">D44+E44+F44</f>
        <v>19838</v>
      </c>
      <c r="D44" s="34">
        <v>18638</v>
      </c>
      <c r="E44" s="35">
        <v>700</v>
      </c>
      <c r="F44" s="34">
        <v>500</v>
      </c>
      <c r="G44" t="s">
        <v>90</v>
      </c>
      <c r="I44" s="46">
        <f>'T2'!F55</f>
        <v>1408.8040125012601</v>
      </c>
    </row>
    <row r="45" spans="1:9" ht="21.95" customHeight="1" x14ac:dyDescent="0.25">
      <c r="A45" s="30" t="s">
        <v>30</v>
      </c>
      <c r="B45" s="31"/>
      <c r="C45" s="46">
        <f t="shared" si="4"/>
        <v>21374</v>
      </c>
      <c r="D45" s="34">
        <v>20674</v>
      </c>
      <c r="E45" s="36">
        <v>300</v>
      </c>
      <c r="F45" s="34">
        <v>400</v>
      </c>
      <c r="G45" t="s">
        <v>91</v>
      </c>
      <c r="I45" s="46">
        <f>'T3'!F54</f>
        <v>1268.919762328062</v>
      </c>
    </row>
    <row r="46" spans="1:9" ht="21.95" customHeight="1" x14ac:dyDescent="0.25">
      <c r="A46" s="39" t="s">
        <v>44</v>
      </c>
      <c r="B46" s="40"/>
      <c r="C46" s="41">
        <f>SUM(C42:C45)</f>
        <v>60656</v>
      </c>
      <c r="D46" s="41">
        <f>SUM(D43:D45)</f>
        <v>58156</v>
      </c>
      <c r="E46" s="41">
        <f>SUM(E43:E45)</f>
        <v>1100</v>
      </c>
      <c r="F46" s="41">
        <f>SUM(F43:F45)</f>
        <v>1400</v>
      </c>
      <c r="I46" s="46"/>
    </row>
    <row r="47" spans="1:9" ht="21.95" customHeight="1" x14ac:dyDescent="0.25">
      <c r="A47" s="32" t="s">
        <v>31</v>
      </c>
      <c r="B47" s="33"/>
      <c r="C47" s="46">
        <f t="shared" ref="C47:C49" si="5">D47+E47+F47</f>
        <v>20807</v>
      </c>
      <c r="D47" s="37">
        <v>20507</v>
      </c>
      <c r="E47" s="37">
        <v>0</v>
      </c>
      <c r="F47" s="37">
        <v>300</v>
      </c>
      <c r="G47" t="s">
        <v>74</v>
      </c>
      <c r="I47" s="46">
        <f>'T4'!F54</f>
        <v>1303.4983899649155</v>
      </c>
    </row>
    <row r="48" spans="1:9" ht="21.95" customHeight="1" x14ac:dyDescent="0.25">
      <c r="A48" s="27" t="s">
        <v>32</v>
      </c>
      <c r="B48" s="28"/>
      <c r="C48" s="46">
        <f t="shared" si="5"/>
        <v>17625</v>
      </c>
      <c r="D48" s="35">
        <v>17025</v>
      </c>
      <c r="E48" s="35">
        <v>200</v>
      </c>
      <c r="F48" s="35">
        <v>400</v>
      </c>
      <c r="G48" t="s">
        <v>71</v>
      </c>
      <c r="I48" s="46">
        <f>'T5'!F54</f>
        <v>1538.8306950354611</v>
      </c>
    </row>
    <row r="49" spans="1:9" ht="21.95" customHeight="1" x14ac:dyDescent="0.25">
      <c r="A49" s="30" t="s">
        <v>33</v>
      </c>
      <c r="B49" s="31"/>
      <c r="C49" s="46">
        <f t="shared" si="5"/>
        <v>15999</v>
      </c>
      <c r="D49" s="36">
        <v>13779</v>
      </c>
      <c r="E49" s="36">
        <v>1300</v>
      </c>
      <c r="F49" s="36">
        <v>920</v>
      </c>
      <c r="G49" t="s">
        <v>92</v>
      </c>
      <c r="I49" s="46">
        <f>'T6'!F54</f>
        <v>1695.2241390086881</v>
      </c>
    </row>
    <row r="50" spans="1:9" ht="21.95" customHeight="1" x14ac:dyDescent="0.25">
      <c r="A50" s="39" t="s">
        <v>45</v>
      </c>
      <c r="B50" s="40"/>
      <c r="C50" s="41">
        <f>SUM(C47:C49)</f>
        <v>54431</v>
      </c>
      <c r="D50" s="41">
        <f>SUM(D47:D49)</f>
        <v>51311</v>
      </c>
      <c r="E50" s="47">
        <f>SUM(E47:E49)</f>
        <v>1500</v>
      </c>
      <c r="F50" s="47">
        <f>SUM(F47:F49)</f>
        <v>1620</v>
      </c>
      <c r="I50" s="46"/>
    </row>
    <row r="51" spans="1:9" ht="21.95" customHeight="1" x14ac:dyDescent="0.25">
      <c r="A51" s="32" t="s">
        <v>34</v>
      </c>
      <c r="B51" s="33"/>
      <c r="C51" s="46">
        <f t="shared" ref="C51:C53" si="6">D51+E51+F51</f>
        <v>15585</v>
      </c>
      <c r="D51" s="37">
        <v>12835</v>
      </c>
      <c r="E51" s="37">
        <v>2300</v>
      </c>
      <c r="F51" s="37">
        <v>450</v>
      </c>
      <c r="G51" t="s">
        <v>61</v>
      </c>
      <c r="I51" s="46">
        <f>'T7'!F54</f>
        <v>1740.256079563683</v>
      </c>
    </row>
    <row r="52" spans="1:9" ht="21.95" customHeight="1" x14ac:dyDescent="0.25">
      <c r="A52" s="27" t="s">
        <v>35</v>
      </c>
      <c r="B52" s="28"/>
      <c r="C52" s="46">
        <f t="shared" si="6"/>
        <v>16920</v>
      </c>
      <c r="D52" s="35">
        <v>16120</v>
      </c>
      <c r="E52" s="35">
        <v>500</v>
      </c>
      <c r="F52" s="35">
        <v>300</v>
      </c>
      <c r="G52" t="s">
        <v>76</v>
      </c>
      <c r="I52" s="46">
        <f>'T8'!F54</f>
        <v>1602.9486406619387</v>
      </c>
    </row>
    <row r="53" spans="1:9" ht="21.95" customHeight="1" x14ac:dyDescent="0.25">
      <c r="A53" s="30" t="s">
        <v>36</v>
      </c>
      <c r="B53" s="31"/>
      <c r="C53" s="46">
        <f t="shared" si="6"/>
        <v>16057</v>
      </c>
      <c r="D53" s="36">
        <v>12757</v>
      </c>
      <c r="E53" s="36">
        <v>1800</v>
      </c>
      <c r="F53" s="36">
        <v>1500</v>
      </c>
      <c r="G53" t="s">
        <v>77</v>
      </c>
      <c r="I53" s="46">
        <f>'T9'!F54</f>
        <v>1689.10076602105</v>
      </c>
    </row>
    <row r="54" spans="1:9" ht="21.95" customHeight="1" x14ac:dyDescent="0.25">
      <c r="A54" s="39" t="s">
        <v>46</v>
      </c>
      <c r="B54" s="40"/>
      <c r="C54" s="41">
        <f>SUM(C51:C53)</f>
        <v>48562</v>
      </c>
      <c r="D54" s="41">
        <f>SUM(D51:D53)</f>
        <v>41712</v>
      </c>
      <c r="E54" s="47">
        <f>SUM(E51:E53)</f>
        <v>4600</v>
      </c>
      <c r="F54" s="47">
        <f>SUM(F51:F53)</f>
        <v>2250</v>
      </c>
      <c r="I54" s="46"/>
    </row>
    <row r="55" spans="1:9" ht="21.95" customHeight="1" x14ac:dyDescent="0.25">
      <c r="A55" s="32" t="s">
        <v>37</v>
      </c>
      <c r="B55" s="33"/>
      <c r="C55" s="46">
        <f>D55+E55+F55</f>
        <v>16591</v>
      </c>
      <c r="D55" s="37">
        <v>13091</v>
      </c>
      <c r="E55" s="37">
        <v>1900</v>
      </c>
      <c r="F55" s="37">
        <v>1600</v>
      </c>
      <c r="G55" t="s">
        <v>93</v>
      </c>
      <c r="I55" s="46">
        <f>'T10'!F54</f>
        <v>1634.7351576155747</v>
      </c>
    </row>
    <row r="56" spans="1:9" ht="21.95" customHeight="1" x14ac:dyDescent="0.25">
      <c r="A56" s="27" t="s">
        <v>38</v>
      </c>
      <c r="B56" s="28"/>
      <c r="C56" s="46">
        <f t="shared" ref="C56:C57" si="7">D56+E56+F56</f>
        <v>16184</v>
      </c>
      <c r="D56" s="87">
        <v>14684</v>
      </c>
      <c r="E56" s="87">
        <v>1100</v>
      </c>
      <c r="F56" s="87">
        <v>400</v>
      </c>
      <c r="G56" s="84" t="s">
        <v>94</v>
      </c>
      <c r="I56" s="46">
        <f>'T11'!F54</f>
        <v>1675.8459589718238</v>
      </c>
    </row>
    <row r="57" spans="1:9" ht="21.95" customHeight="1" x14ac:dyDescent="0.25">
      <c r="A57" s="30" t="s">
        <v>39</v>
      </c>
      <c r="B57" s="31"/>
      <c r="C57" s="46">
        <f t="shared" si="7"/>
        <v>15947</v>
      </c>
      <c r="D57" s="75">
        <v>12107</v>
      </c>
      <c r="E57" s="36">
        <v>2000</v>
      </c>
      <c r="F57" s="36">
        <v>1840</v>
      </c>
      <c r="G57" s="72" t="s">
        <v>95</v>
      </c>
      <c r="H57" s="72"/>
      <c r="I57" s="46">
        <f>'T12'!F54</f>
        <v>1700.7519282623691</v>
      </c>
    </row>
    <row r="58" spans="1:9" ht="21.95" customHeight="1" x14ac:dyDescent="0.25">
      <c r="A58" s="39" t="s">
        <v>47</v>
      </c>
      <c r="B58" s="40"/>
      <c r="C58" s="41">
        <f>SUM(C55:C57)</f>
        <v>48722</v>
      </c>
      <c r="D58" s="41">
        <f>SUM(D55:D57)</f>
        <v>39882</v>
      </c>
      <c r="E58" s="47">
        <f>SUM(E55:E57)</f>
        <v>5000</v>
      </c>
      <c r="F58" s="47">
        <f>SUM(F55:F57)</f>
        <v>3840</v>
      </c>
      <c r="I58" s="48">
        <f>SUM(I43:I57)</f>
        <v>18696.267360833819</v>
      </c>
    </row>
    <row r="59" spans="1:9" ht="21.95" customHeight="1" x14ac:dyDescent="0.25">
      <c r="C59" s="49">
        <f>C46+C50+C54+C58</f>
        <v>212371</v>
      </c>
      <c r="D59" s="49">
        <f>D46+D50+D54+D58</f>
        <v>191061</v>
      </c>
      <c r="E59" s="49">
        <f>SUM(E46+E50+E54+E58)</f>
        <v>12200</v>
      </c>
      <c r="F59" s="49">
        <f>F46+F50+F54+F58</f>
        <v>9110</v>
      </c>
      <c r="G59" s="49">
        <f>E59+F59</f>
        <v>21310</v>
      </c>
      <c r="H59" s="49"/>
      <c r="I59" s="48">
        <f>I58/12</f>
        <v>1558.0222800694849</v>
      </c>
    </row>
    <row r="60" spans="1:9" ht="21.95" customHeight="1" x14ac:dyDescent="0.25">
      <c r="C60" s="49"/>
      <c r="D60" s="49"/>
      <c r="E60" s="49"/>
      <c r="F60" s="49"/>
      <c r="H60" s="49">
        <f>E59+F59+D57</f>
        <v>33417</v>
      </c>
    </row>
    <row r="61" spans="1:9" ht="21.95" customHeight="1" x14ac:dyDescent="0.25">
      <c r="A61" s="38" t="s">
        <v>48</v>
      </c>
      <c r="C61" s="42" t="s">
        <v>49</v>
      </c>
      <c r="H61" s="48"/>
    </row>
    <row r="62" spans="1:9" ht="21.95" customHeight="1" x14ac:dyDescent="0.25">
      <c r="C62" s="42" t="s">
        <v>57</v>
      </c>
      <c r="H62" s="48"/>
    </row>
    <row r="63" spans="1:9" ht="21.95" customHeight="1" x14ac:dyDescent="0.25">
      <c r="C63" s="42" t="s">
        <v>50</v>
      </c>
    </row>
    <row r="64" spans="1:9" ht="21.95" customHeight="1" x14ac:dyDescent="0.25">
      <c r="C64" s="42" t="s">
        <v>51</v>
      </c>
      <c r="H64" s="48"/>
    </row>
  </sheetData>
  <mergeCells count="6">
    <mergeCell ref="A3:F3"/>
    <mergeCell ref="A7:B7"/>
    <mergeCell ref="A37:F37"/>
    <mergeCell ref="A41:B41"/>
    <mergeCell ref="A4:F4"/>
    <mergeCell ref="A38:F38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8"/>
  <sheetViews>
    <sheetView topLeftCell="A43" workbookViewId="0">
      <selection activeCell="C55" sqref="C55"/>
    </sheetView>
  </sheetViews>
  <sheetFormatPr defaultRowHeight="18" customHeight="1" x14ac:dyDescent="0.25"/>
  <cols>
    <col min="1" max="1" width="45.12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8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8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8" customHeight="1" x14ac:dyDescent="0.25">
      <c r="E3" s="92" t="s">
        <v>53</v>
      </c>
      <c r="F3" s="92"/>
    </row>
    <row r="4" spans="1:6" ht="18" customHeight="1" x14ac:dyDescent="0.25">
      <c r="E4" s="92" t="s">
        <v>3</v>
      </c>
      <c r="F4" s="92"/>
    </row>
    <row r="5" spans="1:6" ht="18" customHeight="1" x14ac:dyDescent="0.3">
      <c r="A5" s="93" t="s">
        <v>4</v>
      </c>
      <c r="B5" s="93"/>
      <c r="C5" s="93"/>
      <c r="D5" s="93"/>
      <c r="E5" s="93"/>
      <c r="F5" s="93"/>
    </row>
    <row r="6" spans="1:6" ht="18" customHeight="1" x14ac:dyDescent="0.25">
      <c r="A6" s="94" t="s">
        <v>96</v>
      </c>
      <c r="B6" s="94"/>
      <c r="C6" s="94"/>
      <c r="D6" s="94"/>
      <c r="E6" s="94"/>
      <c r="F6" s="94"/>
    </row>
    <row r="7" spans="1:6" ht="18" customHeight="1" x14ac:dyDescent="0.25">
      <c r="B7" s="1" t="s">
        <v>68</v>
      </c>
      <c r="C7" s="50" t="s">
        <v>64</v>
      </c>
    </row>
    <row r="8" spans="1:6" ht="18" customHeight="1" x14ac:dyDescent="0.25">
      <c r="B8" s="2" t="s">
        <v>55</v>
      </c>
      <c r="C8" s="3"/>
      <c r="D8" s="3"/>
      <c r="E8" s="51"/>
      <c r="F8" s="3"/>
    </row>
    <row r="9" spans="1:6" ht="18" customHeight="1" x14ac:dyDescent="0.25">
      <c r="B9" s="2" t="s">
        <v>56</v>
      </c>
      <c r="C9" s="3"/>
      <c r="D9" s="3"/>
      <c r="E9" s="54">
        <v>8830</v>
      </c>
      <c r="F9" s="3"/>
    </row>
    <row r="10" spans="1:6" ht="18" customHeight="1" x14ac:dyDescent="0.25">
      <c r="B10" s="2" t="s">
        <v>54</v>
      </c>
      <c r="C10" s="3"/>
      <c r="D10" s="3"/>
      <c r="E10" s="3"/>
      <c r="F10" s="3"/>
    </row>
    <row r="12" spans="1:6" ht="29.2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ht="32.25" customHeight="1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ht="18" customHeight="1" x14ac:dyDescent="0.25">
      <c r="A14" s="5" t="s">
        <v>12</v>
      </c>
      <c r="B14" s="6"/>
      <c r="C14" s="6"/>
      <c r="D14" s="6"/>
      <c r="E14" s="6"/>
      <c r="F14" s="6"/>
    </row>
    <row r="15" spans="1:6" ht="18" customHeight="1" x14ac:dyDescent="0.25">
      <c r="A15" s="15"/>
      <c r="B15" s="16"/>
      <c r="C15" s="16"/>
      <c r="D15" s="16"/>
      <c r="E15" s="16"/>
      <c r="F15" s="16"/>
    </row>
    <row r="16" spans="1:6" ht="18" customHeight="1" x14ac:dyDescent="0.25">
      <c r="A16" s="7" t="s">
        <v>13</v>
      </c>
      <c r="B16" s="8"/>
      <c r="C16" s="8">
        <v>1400000</v>
      </c>
      <c r="D16" s="8"/>
      <c r="E16" s="8">
        <f>C16</f>
        <v>1400000</v>
      </c>
      <c r="F16" s="8">
        <f>E16/E9</f>
        <v>158.55039637599094</v>
      </c>
    </row>
    <row r="17" spans="1:6" ht="18" customHeight="1" x14ac:dyDescent="0.25">
      <c r="A17" s="7"/>
      <c r="B17" s="8"/>
      <c r="C17" s="8"/>
      <c r="D17" s="8"/>
      <c r="E17" s="8"/>
      <c r="F17" s="8"/>
    </row>
    <row r="18" spans="1:6" ht="18" customHeight="1" x14ac:dyDescent="0.25">
      <c r="A18" s="7" t="s">
        <v>14</v>
      </c>
      <c r="B18" s="8"/>
      <c r="C18" s="8"/>
      <c r="D18" s="8"/>
      <c r="E18" s="9"/>
      <c r="F18" s="9"/>
    </row>
    <row r="19" spans="1:6" ht="18" customHeight="1" x14ac:dyDescent="0.25">
      <c r="A19" s="17"/>
      <c r="B19" s="18"/>
      <c r="C19" s="18"/>
      <c r="D19" s="18"/>
      <c r="E19" s="19"/>
      <c r="F19" s="19"/>
    </row>
    <row r="20" spans="1:6" ht="18" customHeight="1" x14ac:dyDescent="0.25">
      <c r="A20" s="7" t="s">
        <v>0</v>
      </c>
      <c r="B20" s="8"/>
      <c r="C20" s="85"/>
      <c r="D20" s="85"/>
      <c r="E20" s="85"/>
      <c r="F20" s="85"/>
    </row>
    <row r="21" spans="1:6" ht="18" customHeight="1" x14ac:dyDescent="0.25">
      <c r="A21" s="22" t="s">
        <v>67</v>
      </c>
      <c r="B21" s="23"/>
      <c r="C21" s="23">
        <f>12823592+(B21/12)</f>
        <v>12823592</v>
      </c>
      <c r="D21" s="23">
        <f>B21-(B21/12)</f>
        <v>0</v>
      </c>
      <c r="E21" s="23">
        <f>B21+C21-D21</f>
        <v>12823592</v>
      </c>
      <c r="F21" s="23">
        <f>E21/E9</f>
        <v>1452.2754246885618</v>
      </c>
    </row>
    <row r="22" spans="1:6" ht="18" customHeight="1" x14ac:dyDescent="0.25">
      <c r="A22" s="7" t="s">
        <v>117</v>
      </c>
      <c r="B22" s="23"/>
      <c r="C22" s="23">
        <v>897603</v>
      </c>
      <c r="D22" s="23">
        <f>B22-(B22/12)</f>
        <v>0</v>
      </c>
      <c r="E22" s="23">
        <f>B22+C22-D22</f>
        <v>897603</v>
      </c>
      <c r="F22" s="23">
        <f>E22/E9</f>
        <v>101.65379388448471</v>
      </c>
    </row>
    <row r="23" spans="1:6" ht="18" customHeight="1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ht="18" customHeight="1" x14ac:dyDescent="0.25">
      <c r="A24" s="20"/>
      <c r="B24" s="21"/>
      <c r="C24" s="21"/>
      <c r="D24" s="21"/>
      <c r="E24" s="21"/>
      <c r="F24" s="21"/>
    </row>
    <row r="25" spans="1:6" ht="18" customHeight="1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1712.4796149490373</v>
      </c>
    </row>
    <row r="27" spans="1:6" ht="18" customHeight="1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ht="18" customHeight="1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ht="18" customHeight="1" x14ac:dyDescent="0.25">
      <c r="A29" s="14"/>
      <c r="B29" s="14"/>
      <c r="C29" s="14"/>
      <c r="D29" s="14"/>
      <c r="E29" s="14"/>
      <c r="F29" s="14"/>
    </row>
    <row r="30" spans="1:6" ht="18" customHeight="1" x14ac:dyDescent="0.25">
      <c r="A30" s="1" t="str">
        <f>A1</f>
        <v>Công ty TNHH Thuận An</v>
      </c>
      <c r="E30" s="91" t="s">
        <v>1</v>
      </c>
      <c r="F30" s="91"/>
    </row>
    <row r="31" spans="1:6" ht="18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8" customHeight="1" x14ac:dyDescent="0.25">
      <c r="E32" s="92" t="s">
        <v>53</v>
      </c>
      <c r="F32" s="92"/>
    </row>
    <row r="33" spans="1:6" ht="18" customHeight="1" x14ac:dyDescent="0.25">
      <c r="E33" s="92" t="s">
        <v>3</v>
      </c>
      <c r="F33" s="92"/>
    </row>
    <row r="34" spans="1:6" ht="18" customHeight="1" x14ac:dyDescent="0.3">
      <c r="A34" s="93" t="s">
        <v>4</v>
      </c>
      <c r="B34" s="93"/>
      <c r="C34" s="93"/>
      <c r="D34" s="93"/>
      <c r="E34" s="93"/>
      <c r="F34" s="93"/>
    </row>
    <row r="35" spans="1:6" ht="18" customHeight="1" x14ac:dyDescent="0.25">
      <c r="A35" s="94" t="s">
        <v>96</v>
      </c>
      <c r="B35" s="94"/>
      <c r="C35" s="94"/>
      <c r="D35" s="94"/>
      <c r="E35" s="94"/>
      <c r="F35" s="94"/>
    </row>
    <row r="36" spans="1:6" ht="18" customHeight="1" x14ac:dyDescent="0.25">
      <c r="B36" s="1" t="s">
        <v>68</v>
      </c>
      <c r="C36" s="50" t="s">
        <v>65</v>
      </c>
    </row>
    <row r="37" spans="1:6" ht="18" customHeight="1" x14ac:dyDescent="0.25">
      <c r="B37" s="2" t="s">
        <v>55</v>
      </c>
      <c r="C37" s="3"/>
      <c r="D37" s="3"/>
      <c r="E37" s="51"/>
      <c r="F37" s="3"/>
    </row>
    <row r="38" spans="1:6" ht="18" customHeight="1" x14ac:dyDescent="0.25">
      <c r="B38" s="2" t="s">
        <v>56</v>
      </c>
      <c r="C38" s="3"/>
      <c r="D38" s="3"/>
      <c r="E38" s="54">
        <v>19444</v>
      </c>
      <c r="F38" s="3"/>
    </row>
    <row r="39" spans="1:6" ht="18" customHeight="1" x14ac:dyDescent="0.25">
      <c r="B39" s="2" t="s">
        <v>54</v>
      </c>
      <c r="C39" s="3"/>
      <c r="D39" s="3"/>
      <c r="E39" s="3"/>
      <c r="F39" s="3"/>
    </row>
    <row r="41" spans="1:6" ht="30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ht="24.75" customHeight="1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ht="18" customHeight="1" x14ac:dyDescent="0.25">
      <c r="A43" s="5" t="s">
        <v>12</v>
      </c>
      <c r="B43" s="6"/>
      <c r="C43" s="6"/>
      <c r="D43" s="6"/>
      <c r="E43" s="6"/>
      <c r="F43" s="6"/>
    </row>
    <row r="44" spans="1:6" ht="18" customHeight="1" x14ac:dyDescent="0.25">
      <c r="A44" s="15"/>
      <c r="B44" s="16"/>
      <c r="C44" s="16"/>
      <c r="D44" s="16"/>
      <c r="E44" s="16"/>
      <c r="F44" s="16"/>
    </row>
    <row r="45" spans="1:6" ht="18" customHeight="1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144.0032915038058</v>
      </c>
    </row>
    <row r="46" spans="1:6" ht="18" customHeight="1" x14ac:dyDescent="0.25">
      <c r="A46" s="7"/>
      <c r="B46" s="8"/>
      <c r="C46" s="8"/>
      <c r="D46" s="8"/>
      <c r="E46" s="8"/>
      <c r="F46" s="8"/>
    </row>
    <row r="47" spans="1:6" ht="18" customHeight="1" x14ac:dyDescent="0.25">
      <c r="A47" s="7" t="s">
        <v>14</v>
      </c>
      <c r="B47" s="8"/>
      <c r="C47" s="8"/>
      <c r="D47" s="8"/>
      <c r="E47" s="9"/>
      <c r="F47" s="9"/>
    </row>
    <row r="48" spans="1:6" ht="18" customHeight="1" x14ac:dyDescent="0.25">
      <c r="A48" s="17"/>
      <c r="B48" s="18"/>
      <c r="C48" s="18"/>
      <c r="D48" s="18"/>
      <c r="E48" s="19"/>
      <c r="F48" s="19"/>
    </row>
    <row r="49" spans="1:6" ht="18" customHeight="1" x14ac:dyDescent="0.25">
      <c r="A49" s="17" t="s">
        <v>0</v>
      </c>
      <c r="B49" s="18"/>
      <c r="C49" s="18"/>
      <c r="D49" s="18"/>
      <c r="E49" s="18"/>
      <c r="F49" s="18"/>
    </row>
    <row r="50" spans="1:6" ht="18" customHeight="1" x14ac:dyDescent="0.25">
      <c r="A50" s="5" t="s">
        <v>67</v>
      </c>
      <c r="B50" s="6"/>
      <c r="C50" s="6">
        <v>21449563</v>
      </c>
      <c r="D50" s="6">
        <f>B50-(B50/12)*3</f>
        <v>0</v>
      </c>
      <c r="E50" s="6">
        <f>B50+C50-D50</f>
        <v>21449563</v>
      </c>
      <c r="F50" s="6">
        <f>E50/E38</f>
        <v>1103.1455976136597</v>
      </c>
    </row>
    <row r="51" spans="1:6" ht="18" customHeight="1" x14ac:dyDescent="0.25">
      <c r="A51" s="15" t="s">
        <v>117</v>
      </c>
      <c r="B51" s="16"/>
      <c r="C51" s="16">
        <v>2872328</v>
      </c>
      <c r="D51" s="16"/>
      <c r="E51" s="6">
        <f>B51+C51-D51</f>
        <v>2872328</v>
      </c>
      <c r="F51" s="16">
        <f>E51/E38</f>
        <v>147.72310224233698</v>
      </c>
    </row>
    <row r="52" spans="1:6" ht="18" customHeight="1" x14ac:dyDescent="0.25">
      <c r="A52" s="7" t="s">
        <v>118</v>
      </c>
      <c r="B52" s="8"/>
      <c r="C52" s="8">
        <v>825978</v>
      </c>
      <c r="D52" s="8"/>
      <c r="E52" s="8">
        <f>B52+C52-D52</f>
        <v>825978</v>
      </c>
      <c r="F52" s="8">
        <f>E52/E38</f>
        <v>42.47983953918947</v>
      </c>
    </row>
    <row r="53" spans="1:6" ht="18" customHeight="1" x14ac:dyDescent="0.25">
      <c r="A53" s="15" t="s">
        <v>116</v>
      </c>
      <c r="B53" s="18"/>
      <c r="C53" s="18">
        <v>0</v>
      </c>
      <c r="D53" s="18"/>
      <c r="E53" s="8">
        <f>B53+C53-D53</f>
        <v>0</v>
      </c>
      <c r="F53" s="8">
        <f>E53/E38</f>
        <v>0</v>
      </c>
    </row>
    <row r="54" spans="1:6" ht="18" customHeight="1" x14ac:dyDescent="0.25">
      <c r="A54" s="74"/>
      <c r="B54" s="62"/>
      <c r="C54" s="62"/>
      <c r="D54" s="62"/>
      <c r="E54" s="62"/>
      <c r="F54" s="62"/>
    </row>
    <row r="55" spans="1:6" ht="18" customHeight="1" x14ac:dyDescent="0.25">
      <c r="A55" s="4" t="s">
        <v>15</v>
      </c>
      <c r="B55" s="53">
        <f>B50+B52</f>
        <v>0</v>
      </c>
      <c r="C55" s="53">
        <f>C45+C50+C51+C52+C53</f>
        <v>27947869</v>
      </c>
      <c r="D55" s="53">
        <f t="shared" ref="D55:E55" si="1">D45+D50+D51+D52+D53</f>
        <v>0</v>
      </c>
      <c r="E55" s="53">
        <f t="shared" si="1"/>
        <v>27947869</v>
      </c>
      <c r="F55" s="53">
        <f>F45+F50+F51+F52+F53</f>
        <v>1437.3518308989919</v>
      </c>
    </row>
    <row r="56" spans="1:6" ht="18" customHeight="1" x14ac:dyDescent="0.25">
      <c r="A56" s="10"/>
      <c r="B56" s="11"/>
      <c r="C56" s="12"/>
      <c r="D56" s="12"/>
      <c r="E56" s="12"/>
      <c r="F56" s="12"/>
    </row>
    <row r="57" spans="1:6" ht="18" customHeight="1" x14ac:dyDescent="0.25">
      <c r="A57" s="13" t="s">
        <v>16</v>
      </c>
      <c r="B57" s="13"/>
      <c r="C57" s="13" t="s">
        <v>17</v>
      </c>
      <c r="D57" s="13"/>
      <c r="E57" s="13" t="s">
        <v>18</v>
      </c>
      <c r="F57" s="13"/>
    </row>
    <row r="58" spans="1:6" ht="18" customHeight="1" x14ac:dyDescent="0.25">
      <c r="A58" s="14" t="s">
        <v>19</v>
      </c>
      <c r="B58" s="14"/>
      <c r="C58" s="14" t="s">
        <v>19</v>
      </c>
      <c r="D58" s="14"/>
      <c r="E58" s="14" t="s">
        <v>20</v>
      </c>
      <c r="F58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25" right="0.25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0"/>
  <sheetViews>
    <sheetView topLeftCell="A43" workbookViewId="0">
      <selection activeCell="D30" sqref="D30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91" t="s">
        <v>1</v>
      </c>
      <c r="F1" s="91"/>
    </row>
    <row r="2" spans="1:6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97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8610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162.60162601626016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1489.3835075493612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104.25121951219512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1756.2363530778164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x14ac:dyDescent="0.25">
      <c r="A30" s="1" t="str">
        <f>A1</f>
        <v>Công ty TNHH Thuận An</v>
      </c>
      <c r="E30" s="91" t="s">
        <v>1</v>
      </c>
      <c r="F30" s="91"/>
    </row>
    <row r="31" spans="1:6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97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19838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30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ht="24.75" customHeight="1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ht="18" customHeight="1" x14ac:dyDescent="0.25">
      <c r="A43" s="5" t="s">
        <v>12</v>
      </c>
      <c r="B43" s="6"/>
      <c r="C43" s="6"/>
      <c r="D43" s="6"/>
      <c r="E43" s="6"/>
      <c r="F43" s="6"/>
    </row>
    <row r="44" spans="1:6" ht="18" customHeight="1" x14ac:dyDescent="0.25">
      <c r="A44" s="15"/>
      <c r="B44" s="16"/>
      <c r="C44" s="16"/>
      <c r="D44" s="16"/>
      <c r="E44" s="16"/>
      <c r="F44" s="16"/>
    </row>
    <row r="45" spans="1:6" ht="18" customHeight="1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141.14326040931545</v>
      </c>
    </row>
    <row r="46" spans="1:6" ht="18" customHeight="1" x14ac:dyDescent="0.25">
      <c r="A46" s="7"/>
      <c r="B46" s="8"/>
      <c r="C46" s="8"/>
      <c r="D46" s="8"/>
      <c r="E46" s="8"/>
      <c r="F46" s="8"/>
    </row>
    <row r="47" spans="1:6" ht="18" customHeight="1" x14ac:dyDescent="0.25">
      <c r="A47" s="7" t="s">
        <v>14</v>
      </c>
      <c r="B47" s="8"/>
      <c r="C47" s="8"/>
      <c r="D47" s="8"/>
      <c r="E47" s="9"/>
      <c r="F47" s="9"/>
    </row>
    <row r="48" spans="1:6" ht="18" customHeight="1" x14ac:dyDescent="0.25">
      <c r="A48" s="17"/>
      <c r="B48" s="18"/>
      <c r="C48" s="18"/>
      <c r="D48" s="18"/>
      <c r="E48" s="19"/>
      <c r="F48" s="19"/>
    </row>
    <row r="49" spans="1:6" ht="18" customHeight="1" x14ac:dyDescent="0.25">
      <c r="A49" s="17" t="s">
        <v>0</v>
      </c>
      <c r="B49" s="18"/>
      <c r="C49" s="18"/>
      <c r="D49" s="18"/>
      <c r="E49" s="18"/>
      <c r="F49" s="18"/>
    </row>
    <row r="50" spans="1:6" ht="18" customHeight="1" x14ac:dyDescent="0.25">
      <c r="A50" s="5" t="s">
        <v>67</v>
      </c>
      <c r="B50" s="6"/>
      <c r="C50" s="6">
        <v>21449563</v>
      </c>
      <c r="D50" s="6">
        <f>B50-(B50/12)*3</f>
        <v>0</v>
      </c>
      <c r="E50" s="6">
        <f>B50+C50-D50</f>
        <v>21449563</v>
      </c>
      <c r="F50" s="6">
        <f>E50/E38</f>
        <v>1081.2361629196491</v>
      </c>
    </row>
    <row r="51" spans="1:6" ht="18" customHeight="1" x14ac:dyDescent="0.25">
      <c r="A51" s="15" t="s">
        <v>117</v>
      </c>
      <c r="B51" s="16"/>
      <c r="C51" s="16">
        <v>2872328</v>
      </c>
      <c r="D51" s="16"/>
      <c r="E51" s="6">
        <f>B51+C51-D51</f>
        <v>2872328</v>
      </c>
      <c r="F51" s="16">
        <f>E51/E38</f>
        <v>144.78919245891723</v>
      </c>
    </row>
    <row r="52" spans="1:6" ht="18" customHeight="1" x14ac:dyDescent="0.25">
      <c r="A52" s="7" t="s">
        <v>118</v>
      </c>
      <c r="B52" s="8"/>
      <c r="C52" s="8">
        <v>825963</v>
      </c>
      <c r="D52" s="8"/>
      <c r="E52" s="8">
        <f>B52+C52-D52</f>
        <v>825963</v>
      </c>
      <c r="F52" s="8">
        <f>E52/E38</f>
        <v>41.635396713378363</v>
      </c>
    </row>
    <row r="53" spans="1:6" ht="18" customHeight="1" x14ac:dyDescent="0.25">
      <c r="A53" s="15" t="s">
        <v>116</v>
      </c>
      <c r="B53" s="18"/>
      <c r="C53" s="18">
        <v>0</v>
      </c>
      <c r="D53" s="18"/>
      <c r="E53" s="8">
        <f>B53+C53-D53</f>
        <v>0</v>
      </c>
      <c r="F53" s="8">
        <f>E53/E38</f>
        <v>0</v>
      </c>
    </row>
    <row r="54" spans="1:6" ht="18" customHeight="1" x14ac:dyDescent="0.25">
      <c r="A54" s="74"/>
      <c r="B54" s="62"/>
      <c r="C54" s="62"/>
      <c r="D54" s="62"/>
      <c r="E54" s="62"/>
      <c r="F54" s="62"/>
    </row>
    <row r="55" spans="1:6" ht="18" customHeight="1" x14ac:dyDescent="0.25">
      <c r="A55" s="4" t="s">
        <v>15</v>
      </c>
      <c r="B55" s="53">
        <f>B50+B52</f>
        <v>0</v>
      </c>
      <c r="C55" s="53">
        <f>C45+C50+C51+C52+C53</f>
        <v>27947854</v>
      </c>
      <c r="D55" s="53">
        <f t="shared" ref="D55:E55" si="1">D45+D50+D51+D52+D53</f>
        <v>0</v>
      </c>
      <c r="E55" s="53">
        <f t="shared" si="1"/>
        <v>27947854</v>
      </c>
      <c r="F55" s="53">
        <f>F45+F50+F51+F52+F53</f>
        <v>1408.8040125012601</v>
      </c>
    </row>
    <row r="56" spans="1:6" ht="18" customHeight="1" x14ac:dyDescent="0.25">
      <c r="A56" s="10"/>
      <c r="B56" s="11"/>
      <c r="C56" s="12"/>
      <c r="D56" s="12"/>
      <c r="E56" s="12"/>
      <c r="F56" s="12"/>
    </row>
    <row r="57" spans="1:6" ht="18" customHeight="1" x14ac:dyDescent="0.25">
      <c r="A57" s="13" t="s">
        <v>16</v>
      </c>
      <c r="B57" s="13"/>
      <c r="C57" s="13" t="s">
        <v>17</v>
      </c>
      <c r="D57" s="13"/>
      <c r="E57" s="13" t="s">
        <v>18</v>
      </c>
      <c r="F57" s="13"/>
    </row>
    <row r="58" spans="1:6" ht="18" customHeight="1" x14ac:dyDescent="0.25">
      <c r="A58" s="14" t="s">
        <v>19</v>
      </c>
      <c r="B58" s="14"/>
      <c r="C58" s="14" t="s">
        <v>19</v>
      </c>
      <c r="D58" s="14"/>
      <c r="E58" s="14" t="s">
        <v>20</v>
      </c>
      <c r="F58" s="14"/>
    </row>
    <row r="59" spans="1:6" ht="18" customHeight="1" x14ac:dyDescent="0.25"/>
    <row r="60" spans="1:6" ht="18" customHeight="1" x14ac:dyDescent="0.25"/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topLeftCell="A50" workbookViewId="0">
      <selection activeCell="D53" sqref="D5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x14ac:dyDescent="0.25">
      <c r="A1" s="1" t="str">
        <f>'THONG TIN'!C3</f>
        <v>Công ty TNHH Thuận An</v>
      </c>
      <c r="E1" s="91" t="s">
        <v>1</v>
      </c>
      <c r="F1" s="91"/>
    </row>
    <row r="2" spans="1:6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98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9620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145.53014553014552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1333.0137214137214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93.305925155925152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1571.8497920997922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x14ac:dyDescent="0.25">
      <c r="A30" s="1" t="str">
        <f>A1</f>
        <v>Công ty TNHH Thuận An</v>
      </c>
      <c r="E30" s="91" t="s">
        <v>1</v>
      </c>
      <c r="F30" s="91"/>
    </row>
    <row r="31" spans="1:6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98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21374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131.00028071488725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8"/>
      <c r="D49" s="8"/>
      <c r="E49" s="8"/>
      <c r="F49" s="8"/>
    </row>
    <row r="50" spans="1:6" x14ac:dyDescent="0.25">
      <c r="A50" s="59" t="s">
        <v>67</v>
      </c>
      <c r="B50" s="8"/>
      <c r="C50" s="8">
        <v>21449563</v>
      </c>
      <c r="D50" s="60">
        <f>B50-(B50/12)*3</f>
        <v>0</v>
      </c>
      <c r="E50" s="8">
        <f>B50+C50-D50</f>
        <v>21449563</v>
      </c>
      <c r="F50" s="60">
        <f>E50/E38</f>
        <v>1003.5352765041639</v>
      </c>
    </row>
    <row r="51" spans="1:6" x14ac:dyDescent="0.25">
      <c r="A51" s="59" t="s">
        <v>117</v>
      </c>
      <c r="B51" s="8"/>
      <c r="C51" s="8">
        <v>2872328</v>
      </c>
      <c r="D51" s="60"/>
      <c r="E51" s="8">
        <f>B51+C51-D51</f>
        <v>2872328</v>
      </c>
      <c r="F51" s="60">
        <f>E51/E38</f>
        <v>134.38420510901094</v>
      </c>
    </row>
    <row r="52" spans="1:6" x14ac:dyDescent="0.25">
      <c r="A52" s="15" t="s">
        <v>116</v>
      </c>
      <c r="B52" s="8"/>
      <c r="C52" s="18">
        <v>0</v>
      </c>
      <c r="D52" s="60"/>
      <c r="E52" s="8">
        <f>B52+C52-D52</f>
        <v>0</v>
      </c>
      <c r="F52" s="60">
        <f>E52/E38</f>
        <v>0</v>
      </c>
    </row>
    <row r="53" spans="1:6" x14ac:dyDescent="0.25">
      <c r="A53" s="61"/>
      <c r="B53" s="62"/>
      <c r="C53" s="62"/>
      <c r="D53" s="63"/>
      <c r="E53" s="62"/>
      <c r="F53" s="63"/>
    </row>
    <row r="54" spans="1:6" x14ac:dyDescent="0.25">
      <c r="A54" s="57" t="s">
        <v>15</v>
      </c>
      <c r="B54" s="58">
        <f>B50+B52</f>
        <v>0</v>
      </c>
      <c r="C54" s="58">
        <f>C45+C50+C51+C52</f>
        <v>27121891</v>
      </c>
      <c r="D54" s="58">
        <f t="shared" ref="D54" si="1">D45+D50+D51+D52</f>
        <v>0</v>
      </c>
      <c r="E54" s="58">
        <f>E45+E50+E51+E52</f>
        <v>27121891</v>
      </c>
      <c r="F54" s="58">
        <f>F45+F50+F51+F52</f>
        <v>1268.919762328062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7"/>
  <sheetViews>
    <sheetView topLeftCell="A44" workbookViewId="0">
      <selection activeCell="D55" sqref="D55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99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9310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ht="15.75" customHeight="1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150.37593984962405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1377.3997851772288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96.412781954887222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1624.1885069817399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99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20807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ht="15.75" customHeight="1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134.57009660210505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1030.8820589224781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138.04623444033257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1303.4983899649155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12:F12"/>
    <mergeCell ref="A34:F34"/>
    <mergeCell ref="A41:A42"/>
    <mergeCell ref="B41:B42"/>
    <mergeCell ref="C41:C42"/>
    <mergeCell ref="D41:D42"/>
    <mergeCell ref="E41:F41"/>
    <mergeCell ref="E31:F31"/>
    <mergeCell ref="E32:F32"/>
    <mergeCell ref="E33:F33"/>
    <mergeCell ref="A35:F35"/>
    <mergeCell ref="E30:F30"/>
    <mergeCell ref="A12:A13"/>
    <mergeCell ref="B12:B13"/>
    <mergeCell ref="C12:C13"/>
    <mergeCell ref="D12:D13"/>
    <mergeCell ref="E1:F1"/>
    <mergeCell ref="E2:F2"/>
    <mergeCell ref="E3:F3"/>
    <mergeCell ref="E4:F4"/>
    <mergeCell ref="A6:F6"/>
    <mergeCell ref="A5:F5"/>
  </mergeCells>
  <pageMargins left="0.25" right="0.25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7"/>
  <sheetViews>
    <sheetView topLeftCell="A40" workbookViewId="0">
      <selection activeCell="D51" sqref="D51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100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7940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176.32241813602016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1615.0619647355163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113.04823677581864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1904.4326196473551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101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17625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158.86524822695034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1216.9964822695035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162.96896453900709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1538.8306950354611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7"/>
  <sheetViews>
    <sheetView topLeftCell="A38" workbookViewId="0">
      <selection activeCell="D52" sqref="D52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102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7331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190.96985404446869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1749.2282089755831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122.43936707134088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2062.6374300913926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103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15999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175.01093818363648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1340.6814800925058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179.53172073254578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1695.2241390086881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7"/>
  <sheetViews>
    <sheetView topLeftCell="A37" workbookViewId="0">
      <selection activeCell="D51" sqref="D51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104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6700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208.955223880597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1913.9689552238806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133.97059701492537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2256.8947761194026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105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15585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179.65992941931344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1376.2953480911133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184.30080205325635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1740.256079563683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7"/>
  <sheetViews>
    <sheetView topLeftCell="A41" workbookViewId="0">
      <selection activeCell="D53" sqref="D53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107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8569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163.37962422686428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1496.5097444275877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104.75002917493289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1764.639397829385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106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16920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165.48463356973994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1267.7046690307329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169.75933806146571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E54" si="1">D45+D50+D51+D52</f>
        <v>0</v>
      </c>
      <c r="E54" s="53">
        <f t="shared" si="1"/>
        <v>27121891</v>
      </c>
      <c r="F54" s="53">
        <f>F45+F50+F51+F52</f>
        <v>1602.9486406619387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7"/>
  <sheetViews>
    <sheetView topLeftCell="A37" workbookViewId="0">
      <selection activeCell="D52" sqref="D52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108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6429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217.76326022709597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1994.6480012443615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139.61782547830146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2352.0290869497585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109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16057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174.37877561188267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1335.8387619106932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178.88322849847418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E54" si="1">D45+D50+D51+D52</f>
        <v>0</v>
      </c>
      <c r="E54" s="53">
        <f t="shared" si="1"/>
        <v>27121891</v>
      </c>
      <c r="F54" s="53">
        <f>F45+F50+F51+F52</f>
        <v>1689.10076602105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7"/>
  <sheetViews>
    <sheetView topLeftCell="A41" workbookViewId="0">
      <selection activeCell="E54" sqref="E54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ht="15.75" customHeight="1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110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6850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204.37956204379563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1872.0572262773724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131.03693430656935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2207.4737226277375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ht="15.75" customHeight="1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111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16591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168.76619854137786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1292.8432885299258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173.125670544271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1634.7351576155747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7"/>
  <sheetViews>
    <sheetView topLeftCell="A38" workbookViewId="0">
      <selection activeCell="D52" sqref="D52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112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7575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184.81848184818483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1692.8834323432343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118.49544554455446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1996.1973597359736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113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16184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173.01038062283737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1325.3560924369747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177.47948591201185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1675.8459589718238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7"/>
  <sheetViews>
    <sheetView topLeftCell="A52" workbookViewId="0">
      <selection activeCell="D51" sqref="D51"/>
    </sheetView>
  </sheetViews>
  <sheetFormatPr defaultRowHeight="15.75" x14ac:dyDescent="0.25"/>
  <cols>
    <col min="1" max="1" width="45" style="1" customWidth="1"/>
    <col min="2" max="2" width="13" style="1" customWidth="1"/>
    <col min="3" max="4" width="13.75" style="1" customWidth="1"/>
    <col min="5" max="6" width="15.5" style="1" customWidth="1"/>
    <col min="7" max="7" width="13.75" style="1" customWidth="1"/>
    <col min="8" max="256" width="9" style="1"/>
    <col min="257" max="260" width="13.75" style="1" customWidth="1"/>
    <col min="261" max="262" width="15.5" style="1" customWidth="1"/>
    <col min="263" max="263" width="13.75" style="1" customWidth="1"/>
    <col min="264" max="512" width="9" style="1"/>
    <col min="513" max="516" width="13.75" style="1" customWidth="1"/>
    <col min="517" max="518" width="15.5" style="1" customWidth="1"/>
    <col min="519" max="519" width="13.75" style="1" customWidth="1"/>
    <col min="520" max="768" width="9" style="1"/>
    <col min="769" max="772" width="13.75" style="1" customWidth="1"/>
    <col min="773" max="774" width="15.5" style="1" customWidth="1"/>
    <col min="775" max="775" width="13.75" style="1" customWidth="1"/>
    <col min="776" max="1024" width="9" style="1"/>
    <col min="1025" max="1028" width="13.75" style="1" customWidth="1"/>
    <col min="1029" max="1030" width="15.5" style="1" customWidth="1"/>
    <col min="1031" max="1031" width="13.75" style="1" customWidth="1"/>
    <col min="1032" max="1280" width="9" style="1"/>
    <col min="1281" max="1284" width="13.75" style="1" customWidth="1"/>
    <col min="1285" max="1286" width="15.5" style="1" customWidth="1"/>
    <col min="1287" max="1287" width="13.75" style="1" customWidth="1"/>
    <col min="1288" max="1536" width="9" style="1"/>
    <col min="1537" max="1540" width="13.75" style="1" customWidth="1"/>
    <col min="1541" max="1542" width="15.5" style="1" customWidth="1"/>
    <col min="1543" max="1543" width="13.75" style="1" customWidth="1"/>
    <col min="1544" max="1792" width="9" style="1"/>
    <col min="1793" max="1796" width="13.75" style="1" customWidth="1"/>
    <col min="1797" max="1798" width="15.5" style="1" customWidth="1"/>
    <col min="1799" max="1799" width="13.75" style="1" customWidth="1"/>
    <col min="1800" max="2048" width="9" style="1"/>
    <col min="2049" max="2052" width="13.75" style="1" customWidth="1"/>
    <col min="2053" max="2054" width="15.5" style="1" customWidth="1"/>
    <col min="2055" max="2055" width="13.75" style="1" customWidth="1"/>
    <col min="2056" max="2304" width="9" style="1"/>
    <col min="2305" max="2308" width="13.75" style="1" customWidth="1"/>
    <col min="2309" max="2310" width="15.5" style="1" customWidth="1"/>
    <col min="2311" max="2311" width="13.75" style="1" customWidth="1"/>
    <col min="2312" max="2560" width="9" style="1"/>
    <col min="2561" max="2564" width="13.75" style="1" customWidth="1"/>
    <col min="2565" max="2566" width="15.5" style="1" customWidth="1"/>
    <col min="2567" max="2567" width="13.75" style="1" customWidth="1"/>
    <col min="2568" max="2816" width="9" style="1"/>
    <col min="2817" max="2820" width="13.75" style="1" customWidth="1"/>
    <col min="2821" max="2822" width="15.5" style="1" customWidth="1"/>
    <col min="2823" max="2823" width="13.75" style="1" customWidth="1"/>
    <col min="2824" max="3072" width="9" style="1"/>
    <col min="3073" max="3076" width="13.75" style="1" customWidth="1"/>
    <col min="3077" max="3078" width="15.5" style="1" customWidth="1"/>
    <col min="3079" max="3079" width="13.75" style="1" customWidth="1"/>
    <col min="3080" max="3328" width="9" style="1"/>
    <col min="3329" max="3332" width="13.75" style="1" customWidth="1"/>
    <col min="3333" max="3334" width="15.5" style="1" customWidth="1"/>
    <col min="3335" max="3335" width="13.75" style="1" customWidth="1"/>
    <col min="3336" max="3584" width="9" style="1"/>
    <col min="3585" max="3588" width="13.75" style="1" customWidth="1"/>
    <col min="3589" max="3590" width="15.5" style="1" customWidth="1"/>
    <col min="3591" max="3591" width="13.75" style="1" customWidth="1"/>
    <col min="3592" max="3840" width="9" style="1"/>
    <col min="3841" max="3844" width="13.75" style="1" customWidth="1"/>
    <col min="3845" max="3846" width="15.5" style="1" customWidth="1"/>
    <col min="3847" max="3847" width="13.75" style="1" customWidth="1"/>
    <col min="3848" max="4096" width="9" style="1"/>
    <col min="4097" max="4100" width="13.75" style="1" customWidth="1"/>
    <col min="4101" max="4102" width="15.5" style="1" customWidth="1"/>
    <col min="4103" max="4103" width="13.75" style="1" customWidth="1"/>
    <col min="4104" max="4352" width="9" style="1"/>
    <col min="4353" max="4356" width="13.75" style="1" customWidth="1"/>
    <col min="4357" max="4358" width="15.5" style="1" customWidth="1"/>
    <col min="4359" max="4359" width="13.75" style="1" customWidth="1"/>
    <col min="4360" max="4608" width="9" style="1"/>
    <col min="4609" max="4612" width="13.75" style="1" customWidth="1"/>
    <col min="4613" max="4614" width="15.5" style="1" customWidth="1"/>
    <col min="4615" max="4615" width="13.75" style="1" customWidth="1"/>
    <col min="4616" max="4864" width="9" style="1"/>
    <col min="4865" max="4868" width="13.75" style="1" customWidth="1"/>
    <col min="4869" max="4870" width="15.5" style="1" customWidth="1"/>
    <col min="4871" max="4871" width="13.75" style="1" customWidth="1"/>
    <col min="4872" max="5120" width="9" style="1"/>
    <col min="5121" max="5124" width="13.75" style="1" customWidth="1"/>
    <col min="5125" max="5126" width="15.5" style="1" customWidth="1"/>
    <col min="5127" max="5127" width="13.75" style="1" customWidth="1"/>
    <col min="5128" max="5376" width="9" style="1"/>
    <col min="5377" max="5380" width="13.75" style="1" customWidth="1"/>
    <col min="5381" max="5382" width="15.5" style="1" customWidth="1"/>
    <col min="5383" max="5383" width="13.75" style="1" customWidth="1"/>
    <col min="5384" max="5632" width="9" style="1"/>
    <col min="5633" max="5636" width="13.75" style="1" customWidth="1"/>
    <col min="5637" max="5638" width="15.5" style="1" customWidth="1"/>
    <col min="5639" max="5639" width="13.75" style="1" customWidth="1"/>
    <col min="5640" max="5888" width="9" style="1"/>
    <col min="5889" max="5892" width="13.75" style="1" customWidth="1"/>
    <col min="5893" max="5894" width="15.5" style="1" customWidth="1"/>
    <col min="5895" max="5895" width="13.75" style="1" customWidth="1"/>
    <col min="5896" max="6144" width="9" style="1"/>
    <col min="6145" max="6148" width="13.75" style="1" customWidth="1"/>
    <col min="6149" max="6150" width="15.5" style="1" customWidth="1"/>
    <col min="6151" max="6151" width="13.75" style="1" customWidth="1"/>
    <col min="6152" max="6400" width="9" style="1"/>
    <col min="6401" max="6404" width="13.75" style="1" customWidth="1"/>
    <col min="6405" max="6406" width="15.5" style="1" customWidth="1"/>
    <col min="6407" max="6407" width="13.75" style="1" customWidth="1"/>
    <col min="6408" max="6656" width="9" style="1"/>
    <col min="6657" max="6660" width="13.75" style="1" customWidth="1"/>
    <col min="6661" max="6662" width="15.5" style="1" customWidth="1"/>
    <col min="6663" max="6663" width="13.75" style="1" customWidth="1"/>
    <col min="6664" max="6912" width="9" style="1"/>
    <col min="6913" max="6916" width="13.75" style="1" customWidth="1"/>
    <col min="6917" max="6918" width="15.5" style="1" customWidth="1"/>
    <col min="6919" max="6919" width="13.75" style="1" customWidth="1"/>
    <col min="6920" max="7168" width="9" style="1"/>
    <col min="7169" max="7172" width="13.75" style="1" customWidth="1"/>
    <col min="7173" max="7174" width="15.5" style="1" customWidth="1"/>
    <col min="7175" max="7175" width="13.75" style="1" customWidth="1"/>
    <col min="7176" max="7424" width="9" style="1"/>
    <col min="7425" max="7428" width="13.75" style="1" customWidth="1"/>
    <col min="7429" max="7430" width="15.5" style="1" customWidth="1"/>
    <col min="7431" max="7431" width="13.75" style="1" customWidth="1"/>
    <col min="7432" max="7680" width="9" style="1"/>
    <col min="7681" max="7684" width="13.75" style="1" customWidth="1"/>
    <col min="7685" max="7686" width="15.5" style="1" customWidth="1"/>
    <col min="7687" max="7687" width="13.75" style="1" customWidth="1"/>
    <col min="7688" max="7936" width="9" style="1"/>
    <col min="7937" max="7940" width="13.75" style="1" customWidth="1"/>
    <col min="7941" max="7942" width="15.5" style="1" customWidth="1"/>
    <col min="7943" max="7943" width="13.75" style="1" customWidth="1"/>
    <col min="7944" max="8192" width="9" style="1"/>
    <col min="8193" max="8196" width="13.75" style="1" customWidth="1"/>
    <col min="8197" max="8198" width="15.5" style="1" customWidth="1"/>
    <col min="8199" max="8199" width="13.75" style="1" customWidth="1"/>
    <col min="8200" max="8448" width="9" style="1"/>
    <col min="8449" max="8452" width="13.75" style="1" customWidth="1"/>
    <col min="8453" max="8454" width="15.5" style="1" customWidth="1"/>
    <col min="8455" max="8455" width="13.75" style="1" customWidth="1"/>
    <col min="8456" max="8704" width="9" style="1"/>
    <col min="8705" max="8708" width="13.75" style="1" customWidth="1"/>
    <col min="8709" max="8710" width="15.5" style="1" customWidth="1"/>
    <col min="8711" max="8711" width="13.75" style="1" customWidth="1"/>
    <col min="8712" max="8960" width="9" style="1"/>
    <col min="8961" max="8964" width="13.75" style="1" customWidth="1"/>
    <col min="8965" max="8966" width="15.5" style="1" customWidth="1"/>
    <col min="8967" max="8967" width="13.75" style="1" customWidth="1"/>
    <col min="8968" max="9216" width="9" style="1"/>
    <col min="9217" max="9220" width="13.75" style="1" customWidth="1"/>
    <col min="9221" max="9222" width="15.5" style="1" customWidth="1"/>
    <col min="9223" max="9223" width="13.75" style="1" customWidth="1"/>
    <col min="9224" max="9472" width="9" style="1"/>
    <col min="9473" max="9476" width="13.75" style="1" customWidth="1"/>
    <col min="9477" max="9478" width="15.5" style="1" customWidth="1"/>
    <col min="9479" max="9479" width="13.75" style="1" customWidth="1"/>
    <col min="9480" max="9728" width="9" style="1"/>
    <col min="9729" max="9732" width="13.75" style="1" customWidth="1"/>
    <col min="9733" max="9734" width="15.5" style="1" customWidth="1"/>
    <col min="9735" max="9735" width="13.75" style="1" customWidth="1"/>
    <col min="9736" max="9984" width="9" style="1"/>
    <col min="9985" max="9988" width="13.75" style="1" customWidth="1"/>
    <col min="9989" max="9990" width="15.5" style="1" customWidth="1"/>
    <col min="9991" max="9991" width="13.75" style="1" customWidth="1"/>
    <col min="9992" max="10240" width="9" style="1"/>
    <col min="10241" max="10244" width="13.75" style="1" customWidth="1"/>
    <col min="10245" max="10246" width="15.5" style="1" customWidth="1"/>
    <col min="10247" max="10247" width="13.75" style="1" customWidth="1"/>
    <col min="10248" max="10496" width="9" style="1"/>
    <col min="10497" max="10500" width="13.75" style="1" customWidth="1"/>
    <col min="10501" max="10502" width="15.5" style="1" customWidth="1"/>
    <col min="10503" max="10503" width="13.75" style="1" customWidth="1"/>
    <col min="10504" max="10752" width="9" style="1"/>
    <col min="10753" max="10756" width="13.75" style="1" customWidth="1"/>
    <col min="10757" max="10758" width="15.5" style="1" customWidth="1"/>
    <col min="10759" max="10759" width="13.75" style="1" customWidth="1"/>
    <col min="10760" max="11008" width="9" style="1"/>
    <col min="11009" max="11012" width="13.75" style="1" customWidth="1"/>
    <col min="11013" max="11014" width="15.5" style="1" customWidth="1"/>
    <col min="11015" max="11015" width="13.75" style="1" customWidth="1"/>
    <col min="11016" max="11264" width="9" style="1"/>
    <col min="11265" max="11268" width="13.75" style="1" customWidth="1"/>
    <col min="11269" max="11270" width="15.5" style="1" customWidth="1"/>
    <col min="11271" max="11271" width="13.75" style="1" customWidth="1"/>
    <col min="11272" max="11520" width="9" style="1"/>
    <col min="11521" max="11524" width="13.75" style="1" customWidth="1"/>
    <col min="11525" max="11526" width="15.5" style="1" customWidth="1"/>
    <col min="11527" max="11527" width="13.75" style="1" customWidth="1"/>
    <col min="11528" max="11776" width="9" style="1"/>
    <col min="11777" max="11780" width="13.75" style="1" customWidth="1"/>
    <col min="11781" max="11782" width="15.5" style="1" customWidth="1"/>
    <col min="11783" max="11783" width="13.75" style="1" customWidth="1"/>
    <col min="11784" max="12032" width="9" style="1"/>
    <col min="12033" max="12036" width="13.75" style="1" customWidth="1"/>
    <col min="12037" max="12038" width="15.5" style="1" customWidth="1"/>
    <col min="12039" max="12039" width="13.75" style="1" customWidth="1"/>
    <col min="12040" max="12288" width="9" style="1"/>
    <col min="12289" max="12292" width="13.75" style="1" customWidth="1"/>
    <col min="12293" max="12294" width="15.5" style="1" customWidth="1"/>
    <col min="12295" max="12295" width="13.75" style="1" customWidth="1"/>
    <col min="12296" max="12544" width="9" style="1"/>
    <col min="12545" max="12548" width="13.75" style="1" customWidth="1"/>
    <col min="12549" max="12550" width="15.5" style="1" customWidth="1"/>
    <col min="12551" max="12551" width="13.75" style="1" customWidth="1"/>
    <col min="12552" max="12800" width="9" style="1"/>
    <col min="12801" max="12804" width="13.75" style="1" customWidth="1"/>
    <col min="12805" max="12806" width="15.5" style="1" customWidth="1"/>
    <col min="12807" max="12807" width="13.75" style="1" customWidth="1"/>
    <col min="12808" max="13056" width="9" style="1"/>
    <col min="13057" max="13060" width="13.75" style="1" customWidth="1"/>
    <col min="13061" max="13062" width="15.5" style="1" customWidth="1"/>
    <col min="13063" max="13063" width="13.75" style="1" customWidth="1"/>
    <col min="13064" max="13312" width="9" style="1"/>
    <col min="13313" max="13316" width="13.75" style="1" customWidth="1"/>
    <col min="13317" max="13318" width="15.5" style="1" customWidth="1"/>
    <col min="13319" max="13319" width="13.75" style="1" customWidth="1"/>
    <col min="13320" max="13568" width="9" style="1"/>
    <col min="13569" max="13572" width="13.75" style="1" customWidth="1"/>
    <col min="13573" max="13574" width="15.5" style="1" customWidth="1"/>
    <col min="13575" max="13575" width="13.75" style="1" customWidth="1"/>
    <col min="13576" max="13824" width="9" style="1"/>
    <col min="13825" max="13828" width="13.75" style="1" customWidth="1"/>
    <col min="13829" max="13830" width="15.5" style="1" customWidth="1"/>
    <col min="13831" max="13831" width="13.75" style="1" customWidth="1"/>
    <col min="13832" max="14080" width="9" style="1"/>
    <col min="14081" max="14084" width="13.75" style="1" customWidth="1"/>
    <col min="14085" max="14086" width="15.5" style="1" customWidth="1"/>
    <col min="14087" max="14087" width="13.75" style="1" customWidth="1"/>
    <col min="14088" max="14336" width="9" style="1"/>
    <col min="14337" max="14340" width="13.75" style="1" customWidth="1"/>
    <col min="14341" max="14342" width="15.5" style="1" customWidth="1"/>
    <col min="14343" max="14343" width="13.75" style="1" customWidth="1"/>
    <col min="14344" max="14592" width="9" style="1"/>
    <col min="14593" max="14596" width="13.75" style="1" customWidth="1"/>
    <col min="14597" max="14598" width="15.5" style="1" customWidth="1"/>
    <col min="14599" max="14599" width="13.75" style="1" customWidth="1"/>
    <col min="14600" max="14848" width="9" style="1"/>
    <col min="14849" max="14852" width="13.75" style="1" customWidth="1"/>
    <col min="14853" max="14854" width="15.5" style="1" customWidth="1"/>
    <col min="14855" max="14855" width="13.75" style="1" customWidth="1"/>
    <col min="14856" max="15104" width="9" style="1"/>
    <col min="15105" max="15108" width="13.75" style="1" customWidth="1"/>
    <col min="15109" max="15110" width="15.5" style="1" customWidth="1"/>
    <col min="15111" max="15111" width="13.75" style="1" customWidth="1"/>
    <col min="15112" max="15360" width="9" style="1"/>
    <col min="15361" max="15364" width="13.75" style="1" customWidth="1"/>
    <col min="15365" max="15366" width="15.5" style="1" customWidth="1"/>
    <col min="15367" max="15367" width="13.75" style="1" customWidth="1"/>
    <col min="15368" max="15616" width="9" style="1"/>
    <col min="15617" max="15620" width="13.75" style="1" customWidth="1"/>
    <col min="15621" max="15622" width="15.5" style="1" customWidth="1"/>
    <col min="15623" max="15623" width="13.75" style="1" customWidth="1"/>
    <col min="15624" max="15872" width="9" style="1"/>
    <col min="15873" max="15876" width="13.75" style="1" customWidth="1"/>
    <col min="15877" max="15878" width="15.5" style="1" customWidth="1"/>
    <col min="15879" max="15879" width="13.75" style="1" customWidth="1"/>
    <col min="15880" max="16128" width="9" style="1"/>
    <col min="16129" max="16132" width="13.75" style="1" customWidth="1"/>
    <col min="16133" max="16134" width="15.5" style="1" customWidth="1"/>
    <col min="16135" max="16135" width="13.75" style="1" customWidth="1"/>
    <col min="16136" max="16384" width="9" style="1"/>
  </cols>
  <sheetData>
    <row r="1" spans="1:6" ht="15.75" customHeight="1" x14ac:dyDescent="0.25">
      <c r="A1" s="1" t="str">
        <f>'THONG TIN'!C3</f>
        <v>Công ty TNHH Thuận An</v>
      </c>
      <c r="E1" s="91" t="s">
        <v>1</v>
      </c>
      <c r="F1" s="91"/>
    </row>
    <row r="2" spans="1:6" ht="15.75" customHeight="1" x14ac:dyDescent="0.25">
      <c r="A2" s="1" t="str">
        <f>'THONG TIN'!C4</f>
        <v>Ấp Chồng Nô 3, Xã Hòa Tân, Huyện Cầu Kè, Tỉnh Trà Vinh</v>
      </c>
      <c r="E2" s="92" t="s">
        <v>2</v>
      </c>
      <c r="F2" s="92"/>
    </row>
    <row r="3" spans="1:6" ht="15.75" customHeight="1" x14ac:dyDescent="0.25">
      <c r="E3" s="92" t="s">
        <v>53</v>
      </c>
      <c r="F3" s="92"/>
    </row>
    <row r="4" spans="1:6" x14ac:dyDescent="0.25">
      <c r="E4" s="92" t="s">
        <v>3</v>
      </c>
      <c r="F4" s="92"/>
    </row>
    <row r="5" spans="1:6" ht="18.75" x14ac:dyDescent="0.3">
      <c r="A5" s="93" t="s">
        <v>4</v>
      </c>
      <c r="B5" s="93"/>
      <c r="C5" s="93"/>
      <c r="D5" s="93"/>
      <c r="E5" s="93"/>
      <c r="F5" s="93"/>
    </row>
    <row r="6" spans="1:6" x14ac:dyDescent="0.25">
      <c r="A6" s="94" t="s">
        <v>115</v>
      </c>
      <c r="B6" s="94"/>
      <c r="C6" s="94"/>
      <c r="D6" s="94"/>
      <c r="E6" s="94"/>
      <c r="F6" s="94"/>
    </row>
    <row r="7" spans="1:6" x14ac:dyDescent="0.25">
      <c r="B7" s="1" t="s">
        <v>68</v>
      </c>
      <c r="C7" s="50" t="s">
        <v>64</v>
      </c>
    </row>
    <row r="8" spans="1:6" x14ac:dyDescent="0.25">
      <c r="B8" s="2" t="s">
        <v>55</v>
      </c>
      <c r="C8" s="3"/>
      <c r="D8" s="3"/>
      <c r="E8" s="51"/>
      <c r="F8" s="3"/>
    </row>
    <row r="9" spans="1:6" x14ac:dyDescent="0.25">
      <c r="B9" s="2" t="s">
        <v>56</v>
      </c>
      <c r="C9" s="3"/>
      <c r="D9" s="3"/>
      <c r="E9" s="54">
        <v>6573</v>
      </c>
      <c r="F9" s="3"/>
    </row>
    <row r="10" spans="1:6" x14ac:dyDescent="0.25">
      <c r="B10" s="2" t="s">
        <v>54</v>
      </c>
      <c r="C10" s="3"/>
      <c r="D10" s="3"/>
      <c r="E10" s="3"/>
      <c r="F10" s="3"/>
    </row>
    <row r="12" spans="1:6" ht="15.75" customHeight="1" x14ac:dyDescent="0.25">
      <c r="A12" s="95" t="s">
        <v>5</v>
      </c>
      <c r="B12" s="95" t="s">
        <v>6</v>
      </c>
      <c r="C12" s="95" t="s">
        <v>7</v>
      </c>
      <c r="D12" s="95" t="s">
        <v>8</v>
      </c>
      <c r="E12" s="97" t="s">
        <v>9</v>
      </c>
      <c r="F12" s="98"/>
    </row>
    <row r="13" spans="1:6" x14ac:dyDescent="0.25">
      <c r="A13" s="96"/>
      <c r="B13" s="96"/>
      <c r="C13" s="96"/>
      <c r="D13" s="96"/>
      <c r="E13" s="4" t="s">
        <v>10</v>
      </c>
      <c r="F13" s="4" t="s">
        <v>11</v>
      </c>
    </row>
    <row r="14" spans="1:6" x14ac:dyDescent="0.25">
      <c r="A14" s="5" t="s">
        <v>12</v>
      </c>
      <c r="B14" s="6"/>
      <c r="C14" s="6"/>
      <c r="D14" s="6"/>
      <c r="E14" s="6"/>
      <c r="F14" s="6"/>
    </row>
    <row r="15" spans="1:6" x14ac:dyDescent="0.25">
      <c r="A15" s="15"/>
      <c r="B15" s="16"/>
      <c r="C15" s="16"/>
      <c r="D15" s="16"/>
      <c r="E15" s="16"/>
      <c r="F15" s="16"/>
    </row>
    <row r="16" spans="1:6" x14ac:dyDescent="0.25">
      <c r="A16" s="7" t="s">
        <v>13</v>
      </c>
      <c r="B16" s="8"/>
      <c r="C16" s="8">
        <f>1400000</f>
        <v>1400000</v>
      </c>
      <c r="D16" s="8"/>
      <c r="E16" s="8">
        <f>C16</f>
        <v>1400000</v>
      </c>
      <c r="F16" s="8">
        <f>E16/E9</f>
        <v>212.99254526091588</v>
      </c>
    </row>
    <row r="17" spans="1:6" x14ac:dyDescent="0.25">
      <c r="A17" s="7"/>
      <c r="B17" s="8"/>
      <c r="C17" s="8"/>
      <c r="D17" s="8"/>
      <c r="E17" s="8"/>
      <c r="F17" s="8"/>
    </row>
    <row r="18" spans="1:6" x14ac:dyDescent="0.25">
      <c r="A18" s="7" t="s">
        <v>14</v>
      </c>
      <c r="B18" s="8"/>
      <c r="C18" s="8"/>
      <c r="D18" s="8"/>
      <c r="E18" s="9"/>
      <c r="F18" s="9"/>
    </row>
    <row r="19" spans="1:6" x14ac:dyDescent="0.25">
      <c r="A19" s="17"/>
      <c r="B19" s="18"/>
      <c r="C19" s="18"/>
      <c r="D19" s="18"/>
      <c r="E19" s="19"/>
      <c r="F19" s="19"/>
    </row>
    <row r="20" spans="1:6" x14ac:dyDescent="0.25">
      <c r="A20" s="7" t="s">
        <v>0</v>
      </c>
      <c r="B20" s="8"/>
      <c r="C20" s="8"/>
      <c r="D20" s="8"/>
      <c r="E20" s="8"/>
      <c r="F20" s="8"/>
    </row>
    <row r="21" spans="1:6" x14ac:dyDescent="0.25">
      <c r="A21" s="22" t="s">
        <v>67</v>
      </c>
      <c r="B21" s="23"/>
      <c r="C21" s="23">
        <f>12823592+(B21/12)</f>
        <v>12823592</v>
      </c>
      <c r="D21" s="23">
        <f>B21-(B21/12)*3</f>
        <v>0</v>
      </c>
      <c r="E21" s="23">
        <f>B21+C21-D21</f>
        <v>12823592</v>
      </c>
      <c r="F21" s="23">
        <f>E21/E9</f>
        <v>1950.949642476799</v>
      </c>
    </row>
    <row r="22" spans="1:6" x14ac:dyDescent="0.25">
      <c r="A22" s="7" t="s">
        <v>117</v>
      </c>
      <c r="B22" s="23"/>
      <c r="C22" s="23">
        <v>897603</v>
      </c>
      <c r="D22" s="23">
        <f>B22-(B22/12)*3</f>
        <v>0</v>
      </c>
      <c r="E22" s="23">
        <f>B22+C22-D22</f>
        <v>897603</v>
      </c>
      <c r="F22" s="23">
        <f>E22/E9</f>
        <v>136.55910543130992</v>
      </c>
    </row>
    <row r="23" spans="1:6" x14ac:dyDescent="0.25">
      <c r="A23" s="7" t="s">
        <v>119</v>
      </c>
      <c r="B23" s="23"/>
      <c r="C23" s="23">
        <v>0</v>
      </c>
      <c r="D23" s="23"/>
      <c r="E23" s="23">
        <f>B23+C23-D23</f>
        <v>0</v>
      </c>
      <c r="F23" s="23">
        <f>E23/E9</f>
        <v>0</v>
      </c>
    </row>
    <row r="24" spans="1:6" x14ac:dyDescent="0.25">
      <c r="A24" s="20"/>
      <c r="B24" s="21"/>
      <c r="C24" s="21"/>
      <c r="D24" s="21"/>
      <c r="E24" s="21"/>
      <c r="F24" s="21"/>
    </row>
    <row r="25" spans="1:6" x14ac:dyDescent="0.25">
      <c r="A25" s="52" t="s">
        <v>15</v>
      </c>
      <c r="B25" s="53">
        <f>B21+B24</f>
        <v>0</v>
      </c>
      <c r="C25" s="53">
        <f>C16+C21+C22+C23</f>
        <v>15121195</v>
      </c>
      <c r="D25" s="53">
        <f t="shared" ref="D25:F25" si="0">D16+D21+D22+D23</f>
        <v>0</v>
      </c>
      <c r="E25" s="53">
        <f t="shared" si="0"/>
        <v>15121195</v>
      </c>
      <c r="F25" s="53">
        <f t="shared" si="0"/>
        <v>2300.5012931690248</v>
      </c>
    </row>
    <row r="27" spans="1:6" x14ac:dyDescent="0.25">
      <c r="A27" s="13" t="s">
        <v>16</v>
      </c>
      <c r="B27" s="13"/>
      <c r="C27" s="13" t="s">
        <v>17</v>
      </c>
      <c r="D27" s="13"/>
      <c r="E27" s="13" t="s">
        <v>18</v>
      </c>
      <c r="F27" s="13"/>
    </row>
    <row r="28" spans="1:6" x14ac:dyDescent="0.25">
      <c r="A28" s="14" t="s">
        <v>19</v>
      </c>
      <c r="B28" s="14"/>
      <c r="C28" s="14" t="s">
        <v>19</v>
      </c>
      <c r="D28" s="14"/>
      <c r="E28" s="14" t="s">
        <v>20</v>
      </c>
      <c r="F28" s="14"/>
    </row>
    <row r="29" spans="1:6" x14ac:dyDescent="0.25">
      <c r="A29" s="14"/>
      <c r="B29" s="14"/>
      <c r="C29" s="14"/>
      <c r="D29" s="14"/>
      <c r="E29" s="14"/>
      <c r="F29" s="14"/>
    </row>
    <row r="30" spans="1:6" ht="15.75" customHeight="1" x14ac:dyDescent="0.25">
      <c r="A30" s="1" t="str">
        <f>A1</f>
        <v>Công ty TNHH Thuận An</v>
      </c>
      <c r="E30" s="91" t="s">
        <v>1</v>
      </c>
      <c r="F30" s="91"/>
    </row>
    <row r="31" spans="1:6" ht="15.75" customHeight="1" x14ac:dyDescent="0.25">
      <c r="A31" s="1" t="str">
        <f>A2</f>
        <v>Ấp Chồng Nô 3, Xã Hòa Tân, Huyện Cầu Kè, Tỉnh Trà Vinh</v>
      </c>
      <c r="E31" s="92" t="s">
        <v>2</v>
      </c>
      <c r="F31" s="92"/>
    </row>
    <row r="32" spans="1:6" ht="15.75" customHeight="1" x14ac:dyDescent="0.25">
      <c r="E32" s="92" t="s">
        <v>53</v>
      </c>
      <c r="F32" s="92"/>
    </row>
    <row r="33" spans="1:6" x14ac:dyDescent="0.25">
      <c r="E33" s="92" t="s">
        <v>3</v>
      </c>
      <c r="F33" s="92"/>
    </row>
    <row r="34" spans="1:6" ht="18.75" x14ac:dyDescent="0.3">
      <c r="A34" s="93" t="s">
        <v>4</v>
      </c>
      <c r="B34" s="93"/>
      <c r="C34" s="93"/>
      <c r="D34" s="93"/>
      <c r="E34" s="93"/>
      <c r="F34" s="93"/>
    </row>
    <row r="35" spans="1:6" x14ac:dyDescent="0.25">
      <c r="A35" s="94" t="s">
        <v>114</v>
      </c>
      <c r="B35" s="94"/>
      <c r="C35" s="94"/>
      <c r="D35" s="94"/>
      <c r="E35" s="94"/>
      <c r="F35" s="94"/>
    </row>
    <row r="36" spans="1:6" x14ac:dyDescent="0.25">
      <c r="B36" s="1" t="s">
        <v>68</v>
      </c>
      <c r="C36" s="50" t="s">
        <v>65</v>
      </c>
    </row>
    <row r="37" spans="1:6" x14ac:dyDescent="0.25">
      <c r="B37" s="2" t="s">
        <v>55</v>
      </c>
      <c r="C37" s="3"/>
      <c r="D37" s="3"/>
      <c r="E37" s="51"/>
      <c r="F37" s="3"/>
    </row>
    <row r="38" spans="1:6" x14ac:dyDescent="0.25">
      <c r="B38" s="2" t="s">
        <v>56</v>
      </c>
      <c r="C38" s="3"/>
      <c r="D38" s="3"/>
      <c r="E38" s="54">
        <v>15947</v>
      </c>
      <c r="F38" s="3"/>
    </row>
    <row r="39" spans="1:6" x14ac:dyDescent="0.25">
      <c r="B39" s="2" t="s">
        <v>54</v>
      </c>
      <c r="C39" s="3"/>
      <c r="D39" s="3"/>
      <c r="E39" s="3"/>
      <c r="F39" s="3"/>
    </row>
    <row r="41" spans="1:6" ht="15.75" customHeight="1" x14ac:dyDescent="0.25">
      <c r="A41" s="95" t="s">
        <v>5</v>
      </c>
      <c r="B41" s="95" t="s">
        <v>6</v>
      </c>
      <c r="C41" s="95" t="s">
        <v>7</v>
      </c>
      <c r="D41" s="95" t="s">
        <v>8</v>
      </c>
      <c r="E41" s="97" t="s">
        <v>9</v>
      </c>
      <c r="F41" s="98"/>
    </row>
    <row r="42" spans="1:6" x14ac:dyDescent="0.25">
      <c r="A42" s="96"/>
      <c r="B42" s="96"/>
      <c r="C42" s="96"/>
      <c r="D42" s="96"/>
      <c r="E42" s="4" t="s">
        <v>10</v>
      </c>
      <c r="F42" s="4" t="s">
        <v>11</v>
      </c>
    </row>
    <row r="43" spans="1:6" x14ac:dyDescent="0.25">
      <c r="A43" s="5" t="s">
        <v>12</v>
      </c>
      <c r="B43" s="6"/>
      <c r="C43" s="6"/>
      <c r="D43" s="6"/>
      <c r="E43" s="6"/>
      <c r="F43" s="6"/>
    </row>
    <row r="44" spans="1:6" x14ac:dyDescent="0.25">
      <c r="A44" s="15"/>
      <c r="B44" s="16"/>
      <c r="C44" s="16"/>
      <c r="D44" s="16"/>
      <c r="E44" s="16"/>
      <c r="F44" s="16"/>
    </row>
    <row r="45" spans="1:6" x14ac:dyDescent="0.25">
      <c r="A45" s="7" t="s">
        <v>13</v>
      </c>
      <c r="B45" s="8"/>
      <c r="C45" s="8">
        <v>2800000</v>
      </c>
      <c r="D45" s="8"/>
      <c r="E45" s="8">
        <f>C45</f>
        <v>2800000</v>
      </c>
      <c r="F45" s="8">
        <f>E45/E38</f>
        <v>175.58161409669529</v>
      </c>
    </row>
    <row r="46" spans="1:6" x14ac:dyDescent="0.25">
      <c r="A46" s="7"/>
      <c r="B46" s="8"/>
      <c r="C46" s="8"/>
      <c r="D46" s="8"/>
      <c r="E46" s="8"/>
      <c r="F46" s="8"/>
    </row>
    <row r="47" spans="1:6" x14ac:dyDescent="0.25">
      <c r="A47" s="7" t="s">
        <v>14</v>
      </c>
      <c r="B47" s="8"/>
      <c r="C47" s="8"/>
      <c r="D47" s="8"/>
      <c r="E47" s="9"/>
      <c r="F47" s="9"/>
    </row>
    <row r="48" spans="1:6" x14ac:dyDescent="0.25">
      <c r="A48" s="17"/>
      <c r="B48" s="18"/>
      <c r="C48" s="18"/>
      <c r="D48" s="18"/>
      <c r="E48" s="19"/>
      <c r="F48" s="19"/>
    </row>
    <row r="49" spans="1:6" x14ac:dyDescent="0.25">
      <c r="A49" s="7" t="s">
        <v>0</v>
      </c>
      <c r="B49" s="8"/>
      <c r="C49" s="66"/>
      <c r="D49" s="66"/>
      <c r="E49" s="8"/>
      <c r="F49" s="8"/>
    </row>
    <row r="50" spans="1:6" x14ac:dyDescent="0.25">
      <c r="A50" s="64" t="s">
        <v>67</v>
      </c>
      <c r="B50" s="66"/>
      <c r="C50" s="66">
        <v>21449563</v>
      </c>
      <c r="D50" s="66">
        <f>B50-(B50/12)*3</f>
        <v>0</v>
      </c>
      <c r="E50" s="66">
        <f>B50+C50-D50</f>
        <v>21449563</v>
      </c>
      <c r="F50" s="8">
        <f>E50/E38</f>
        <v>1345.0531761459836</v>
      </c>
    </row>
    <row r="51" spans="1:6" x14ac:dyDescent="0.25">
      <c r="A51" s="64" t="s">
        <v>78</v>
      </c>
      <c r="B51" s="66"/>
      <c r="C51" s="66">
        <v>2872328</v>
      </c>
      <c r="D51" s="66"/>
      <c r="E51" s="66">
        <f>B51+C51-D51</f>
        <v>2872328</v>
      </c>
      <c r="F51" s="8">
        <f>E51/E38</f>
        <v>180.11713801969023</v>
      </c>
    </row>
    <row r="52" spans="1:6" x14ac:dyDescent="0.25">
      <c r="A52" s="15" t="s">
        <v>116</v>
      </c>
      <c r="B52" s="66"/>
      <c r="C52" s="18">
        <v>0</v>
      </c>
      <c r="D52" s="66"/>
      <c r="E52" s="66">
        <f>B52+C52-D52</f>
        <v>0</v>
      </c>
      <c r="F52" s="8">
        <f>E52/E38</f>
        <v>0</v>
      </c>
    </row>
    <row r="53" spans="1:6" x14ac:dyDescent="0.25">
      <c r="A53" s="65"/>
      <c r="B53" s="67"/>
      <c r="C53" s="67"/>
      <c r="D53" s="67"/>
      <c r="E53" s="67"/>
      <c r="F53" s="62"/>
    </row>
    <row r="54" spans="1:6" x14ac:dyDescent="0.25">
      <c r="A54" s="4" t="s">
        <v>15</v>
      </c>
      <c r="B54" s="53">
        <f>B50+B52</f>
        <v>0</v>
      </c>
      <c r="C54" s="53">
        <f>C45+C50+C51+C52</f>
        <v>27121891</v>
      </c>
      <c r="D54" s="53">
        <f t="shared" ref="D54:F54" si="1">D45+D50+D51+D52</f>
        <v>0</v>
      </c>
      <c r="E54" s="53">
        <f t="shared" si="1"/>
        <v>27121891</v>
      </c>
      <c r="F54" s="53">
        <f t="shared" si="1"/>
        <v>1700.7519282623691</v>
      </c>
    </row>
    <row r="55" spans="1:6" x14ac:dyDescent="0.25">
      <c r="A55" s="10"/>
      <c r="B55" s="11"/>
      <c r="C55" s="12"/>
      <c r="D55" s="12"/>
      <c r="E55" s="12"/>
      <c r="F55" s="12"/>
    </row>
    <row r="56" spans="1:6" x14ac:dyDescent="0.25">
      <c r="A56" s="13" t="s">
        <v>16</v>
      </c>
      <c r="B56" s="13"/>
      <c r="C56" s="13" t="s">
        <v>17</v>
      </c>
      <c r="D56" s="13"/>
      <c r="E56" s="13" t="s">
        <v>18</v>
      </c>
      <c r="F56" s="13"/>
    </row>
    <row r="57" spans="1:6" x14ac:dyDescent="0.25">
      <c r="A57" s="14" t="s">
        <v>19</v>
      </c>
      <c r="B57" s="14"/>
      <c r="C57" s="14" t="s">
        <v>19</v>
      </c>
      <c r="D57" s="14"/>
      <c r="E57" s="14" t="s">
        <v>20</v>
      </c>
      <c r="F57" s="14"/>
    </row>
  </sheetData>
  <mergeCells count="22">
    <mergeCell ref="E31:F31"/>
    <mergeCell ref="E32:F32"/>
    <mergeCell ref="E33:F33"/>
    <mergeCell ref="A34:F34"/>
    <mergeCell ref="A35:F35"/>
    <mergeCell ref="A41:A42"/>
    <mergeCell ref="B41:B42"/>
    <mergeCell ref="C41:C42"/>
    <mergeCell ref="D41:D42"/>
    <mergeCell ref="E41:F41"/>
    <mergeCell ref="E30:F30"/>
    <mergeCell ref="E1:F1"/>
    <mergeCell ref="E2:F2"/>
    <mergeCell ref="E3:F3"/>
    <mergeCell ref="E4:F4"/>
    <mergeCell ref="A5:F5"/>
    <mergeCell ref="A6:F6"/>
    <mergeCell ref="A12:A13"/>
    <mergeCell ref="B12:B13"/>
    <mergeCell ref="C12:C13"/>
    <mergeCell ref="D12:D13"/>
    <mergeCell ref="E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THONG TIN</vt:lpstr>
      <vt:lpstr>SL 2024</vt:lpstr>
      <vt:lpstr>T1</vt:lpstr>
      <vt:lpstr>T2</vt:lpstr>
      <vt:lpstr>T3</vt:lpstr>
      <vt:lpstr>T4</vt:lpstr>
      <vt:lpstr>T5</vt:lpstr>
      <vt:lpstr>T6</vt:lpstr>
      <vt:lpstr>T7</vt:lpstr>
      <vt:lpstr>T8</vt:lpstr>
      <vt:lpstr>T9</vt:lpstr>
      <vt:lpstr>T10</vt:lpstr>
      <vt:lpstr>T11</vt:lpstr>
      <vt:lpstr>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Windows</cp:lastModifiedBy>
  <cp:lastPrinted>2022-03-13T07:47:02Z</cp:lastPrinted>
  <dcterms:created xsi:type="dcterms:W3CDTF">2016-04-11T03:39:34Z</dcterms:created>
  <dcterms:modified xsi:type="dcterms:W3CDTF">2025-03-07T07:45:14Z</dcterms:modified>
</cp:coreProperties>
</file>