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 activeTab="1"/>
  </bookViews>
  <sheets>
    <sheet name="BANG KE DOANH THU CT 2022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M16" i="9" l="1"/>
  <c r="M13" i="9"/>
  <c r="F27" i="9"/>
  <c r="F26" i="9"/>
  <c r="F25" i="9"/>
  <c r="F24" i="9"/>
  <c r="I16" i="9"/>
  <c r="G16" i="9"/>
  <c r="D14" i="9" l="1"/>
  <c r="D10" i="9"/>
  <c r="C14" i="9"/>
  <c r="C13" i="9" s="1"/>
  <c r="C10" i="9"/>
  <c r="E11" i="6"/>
  <c r="F11" i="6"/>
  <c r="D11" i="6"/>
  <c r="F4" i="6"/>
  <c r="M9" i="9" l="1"/>
  <c r="M10" i="9"/>
  <c r="M11" i="9"/>
  <c r="M12" i="9"/>
  <c r="D5" i="6"/>
  <c r="E5" i="6"/>
  <c r="E3" i="6"/>
  <c r="D3" i="6"/>
  <c r="F6" i="6"/>
  <c r="F7" i="6"/>
  <c r="F8" i="6"/>
  <c r="F9" i="6"/>
  <c r="F10" i="6"/>
  <c r="D13" i="9" l="1"/>
  <c r="F5" i="6"/>
  <c r="F3" i="6"/>
  <c r="D8" i="9"/>
  <c r="D16" i="9" l="1"/>
  <c r="C21" i="9" l="1"/>
  <c r="C6" i="9"/>
  <c r="C8" i="9" l="1"/>
  <c r="C16" i="9" l="1"/>
  <c r="B13" i="9" s="1"/>
  <c r="B6" i="9"/>
  <c r="F13" i="9" l="1"/>
  <c r="E13" i="9"/>
  <c r="G17" i="9"/>
  <c r="B8" i="9"/>
  <c r="G13" i="9" l="1"/>
  <c r="I13" i="9" s="1"/>
  <c r="K13" i="9" s="1"/>
  <c r="E8" i="9"/>
  <c r="F8" i="9"/>
  <c r="B16" i="9"/>
  <c r="G8" i="9" l="1"/>
  <c r="I8" i="9" l="1"/>
  <c r="G6" i="9" l="1"/>
  <c r="K6" i="9" s="1"/>
  <c r="G19" i="9"/>
  <c r="K8" i="9"/>
  <c r="F23" i="9"/>
  <c r="L16" i="9" l="1"/>
  <c r="K16" i="9"/>
  <c r="M8" i="9"/>
  <c r="M6" i="9"/>
  <c r="K21" i="9"/>
  <c r="L19" i="9" l="1"/>
</calcChain>
</file>

<file path=xl/sharedStrings.xml><?xml version="1.0" encoding="utf-8"?>
<sst xmlns="http://schemas.openxmlformats.org/spreadsheetml/2006/main" count="41" uniqueCount="40">
  <si>
    <t>Doanh thu</t>
  </si>
  <si>
    <t xml:space="preserve">Doanh thu </t>
  </si>
  <si>
    <t>Tỉ lệ / DT</t>
  </si>
  <si>
    <t>Lợi nhuận</t>
  </si>
  <si>
    <t>TS</t>
  </si>
  <si>
    <t>Thuế TNDN</t>
  </si>
  <si>
    <t>Địa bàn không ưu đãi</t>
  </si>
  <si>
    <t>Tổng cộng</t>
  </si>
  <si>
    <t>LẬP BẢNG</t>
  </si>
  <si>
    <t>GIÁM ĐỐC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</si>
  <si>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</si>
  <si>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</si>
  <si>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</si>
  <si>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</si>
  <si>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</si>
  <si>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GIÁ THÀNH</t>
  </si>
  <si>
    <t>Số thuế 
phải nộp</t>
  </si>
  <si>
    <t>LỢI NHUẬN TRƯỚC 
PHÂN BỔ CPQL</t>
  </si>
  <si>
    <t>Giá Vốn</t>
  </si>
  <si>
    <t>Kết chuyển lỗ</t>
  </si>
  <si>
    <t>LN sau 
kết chuyển</t>
  </si>
  <si>
    <t>Chi Phí 
Quản Lý</t>
  </si>
  <si>
    <t xml:space="preserve">MIỄN </t>
  </si>
  <si>
    <t>DOANH THU Ở ĐỊA BÀN KHÓ KHĂN</t>
  </si>
  <si>
    <t>ĐỊA BÀN ĐẶC BIỆT KHÓ KHĂN</t>
  </si>
  <si>
    <t>Thi công công trình sửa chữa, cải tạo nhà lồng chợPhường 1. Số : 06/2023/HĐXD. Trà Vinh, ngày24 tháng 05 năm 2023.Phụ lục hợp đồng số:06/2023/PL.HĐXD, Trà Vinh, ngày 06 tháng 07năm 2023</t>
  </si>
  <si>
    <t>Hợp đồng: tư vấn giám sát thi công xây dựng công trình đường nhựa nối dài từ Phước An đến trường tiểu học Lê Văn Tám Số:01/2023/HĐ-TVGS Ngày : 01/02/2023</t>
  </si>
  <si>
    <t>Hợp đồng : tư vấn giám sát thicông xây dựng công trình hệ thống thoát nướctừ QL53 đến kênh 5 LàSố:02/2023/HĐ-TVGSNgày : 07/02/2023</t>
  </si>
  <si>
    <t>Hợp đồng: sửa chữa hàng rào, sân đường Trường THCS thị trấn Châu Thành. Số: 06/2023/HĐ-TCXD Ngày 31 tháng 07 năm 2023</t>
  </si>
  <si>
    <t> Sửa chữa hệ thống thoát nước, sân đường, khung bảo vệ TrườngTiểu học Mỹ Chánh A.Số: 01/2023/HĐ-TCNgày 15 tháng 12 năm 2023</t>
  </si>
  <si>
    <t>Kệ V 50x30 lỗ</t>
  </si>
  <si>
    <t>DT ĐỊA BÀN ĐẶC BIỆT KHÓ KHĂN</t>
  </si>
  <si>
    <t>DT ĐỊA BÀN KHÓ KHĂN</t>
  </si>
  <si>
    <t>CHI PHÍ KHÁC</t>
  </si>
  <si>
    <t>CÔNG TY TNHH TV XD TM THANH NHÀN</t>
  </si>
  <si>
    <t>MST: 2100658170</t>
  </si>
  <si>
    <t>Trà Vinh, ngày 31 tháng 12 năm 2023</t>
  </si>
  <si>
    <t>BẢNG KÊ DOANH THU CÁC CÔNG TRÌNH NĂM 2023</t>
  </si>
  <si>
    <t>BẢNG XÁC ĐỊNH THU NHẬP CHỊU THUẾ TNDN NĂM 2023</t>
  </si>
  <si>
    <t>Lê Thị Thanh Nhàn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</si>
</sst>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-* #,##0_-;\-* #,##0_-;_-* &quot;-&quot;??_-;_-@_-"/>
    <numFmt numFmtId="168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6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166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0" xfId="0" applyFont="1" applyFill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5" fontId="5" fillId="0" borderId="0" xfId="1" applyNumberFormat="1" applyFont="1" applyFill="1" applyAlignment="1"/>
    <xf numFmtId="0" fontId="2" fillId="0" borderId="0" xfId="0" applyFont="1" applyAlignment="1">
      <alignment horizontal="center"/>
    </xf>
    <xf numFmtId="166" fontId="2" fillId="0" borderId="0" xfId="1" applyNumberFormat="1" applyFont="1" applyAlignment="1"/>
    <xf numFmtId="0" fontId="7" fillId="0" borderId="1" xfId="0" applyFont="1" applyFill="1" applyBorder="1" applyAlignment="1">
      <alignment horizontal="left" vertical="center"/>
    </xf>
    <xf numFmtId="168" fontId="2" fillId="0" borderId="1" xfId="2" applyNumberFormat="1" applyFont="1" applyBorder="1"/>
    <xf numFmtId="9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/>
    <xf numFmtId="3" fontId="9" fillId="0" borderId="1" xfId="0" applyNumberFormat="1" applyFont="1" applyBorder="1" applyAlignment="1">
      <alignment horizontal="center" vertical="center" wrapText="1"/>
    </xf>
    <xf numFmtId="165" fontId="3" fillId="0" borderId="0" xfId="1" applyNumberFormat="1" applyFont="1"/>
    <xf numFmtId="166" fontId="3" fillId="0" borderId="0" xfId="1" applyNumberFormat="1" applyFont="1" applyFill="1"/>
    <xf numFmtId="166" fontId="3" fillId="0" borderId="0" xfId="0" applyNumberFormat="1" applyFont="1" applyFill="1"/>
    <xf numFmtId="166" fontId="3" fillId="0" borderId="0" xfId="1" applyNumberFormat="1" applyFont="1" applyFill="1" applyAlignment="1">
      <alignment horizontal="right"/>
    </xf>
    <xf numFmtId="166" fontId="2" fillId="0" borderId="0" xfId="1" applyNumberFormat="1" applyFont="1" applyAlignment="1">
      <alignment horizontal="right"/>
    </xf>
    <xf numFmtId="10" fontId="2" fillId="0" borderId="0" xfId="2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6" fontId="2" fillId="0" borderId="1" xfId="1" applyNumberFormat="1" applyFont="1" applyBorder="1" applyAlignment="1">
      <alignment horizontal="center" wrapText="1"/>
    </xf>
    <xf numFmtId="167" fontId="3" fillId="0" borderId="0" xfId="0" applyNumberFormat="1" applyFont="1"/>
    <xf numFmtId="0" fontId="7" fillId="4" borderId="1" xfId="0" applyFont="1" applyFill="1" applyBorder="1" applyAlignment="1">
      <alignment horizontal="left" vertical="center"/>
    </xf>
    <xf numFmtId="165" fontId="5" fillId="0" borderId="3" xfId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65" fontId="7" fillId="4" borderId="1" xfId="1" applyNumberFormat="1" applyFont="1" applyFill="1" applyBorder="1" applyAlignment="1">
      <alignment horizontal="center" vertical="center"/>
    </xf>
    <xf numFmtId="167" fontId="9" fillId="0" borderId="2" xfId="1" applyNumberFormat="1" applyFont="1" applyBorder="1" applyAlignment="1">
      <alignment horizontal="center" vertical="center"/>
    </xf>
    <xf numFmtId="167" fontId="10" fillId="4" borderId="2" xfId="1" applyNumberFormat="1" applyFont="1" applyFill="1" applyBorder="1" applyAlignment="1">
      <alignment horizontal="center" vertical="center"/>
    </xf>
    <xf numFmtId="167" fontId="10" fillId="4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4" fillId="0" borderId="4" xfId="0" applyFont="1" applyFill="1" applyBorder="1" applyAlignment="1">
      <alignment horizontal="center" vertical="center"/>
    </xf>
    <xf numFmtId="166" fontId="2" fillId="0" borderId="0" xfId="1" applyNumberFormat="1" applyFont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166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1"/>
  <sheetViews>
    <sheetView topLeftCell="A3" workbookViewId="0">
      <selection activeCell="E9" sqref="E9"/>
    </sheetView>
  </sheetViews>
  <sheetFormatPr defaultColWidth="8" defaultRowHeight="15" x14ac:dyDescent="0.25"/>
  <cols>
    <col min="1" max="1" width="8" style="24"/>
    <col min="2" max="2" width="32.140625" style="24" hidden="1" customWidth="1"/>
    <col min="3" max="3" width="57.42578125" style="24" customWidth="1"/>
    <col min="4" max="4" width="20.42578125" style="26" customWidth="1"/>
    <col min="5" max="5" width="17.7109375" style="24" customWidth="1"/>
    <col min="6" max="6" width="24.28515625" style="29" customWidth="1"/>
    <col min="7" max="16384" width="8" style="24"/>
  </cols>
  <sheetData>
    <row r="1" spans="1:6" s="23" customFormat="1" ht="20.25" x14ac:dyDescent="0.3">
      <c r="A1" s="63" t="s">
        <v>37</v>
      </c>
      <c r="B1" s="63"/>
      <c r="C1" s="63"/>
      <c r="D1" s="63"/>
      <c r="E1" s="63"/>
      <c r="F1" s="63"/>
    </row>
    <row r="2" spans="1:6" s="30" customFormat="1" ht="39" customHeight="1" x14ac:dyDescent="0.25">
      <c r="A2" s="53" t="s">
        <v>11</v>
      </c>
      <c r="B2" s="35"/>
      <c r="C2" s="35" t="s">
        <v>12</v>
      </c>
      <c r="D2" s="54" t="s">
        <v>13</v>
      </c>
      <c r="E2" s="53" t="s">
        <v>15</v>
      </c>
      <c r="F2" s="55" t="s">
        <v>17</v>
      </c>
    </row>
    <row r="3" spans="1:6" s="31" customFormat="1" ht="27.75" customHeight="1" x14ac:dyDescent="0.25">
      <c r="A3" s="56"/>
      <c r="B3" s="51"/>
      <c r="C3" s="51" t="s">
        <v>23</v>
      </c>
      <c r="D3" s="59">
        <f>SUM(D4:D4)</f>
        <v>391821296</v>
      </c>
      <c r="E3" s="59">
        <f>SUM(E4:E4)</f>
        <v>364129813</v>
      </c>
      <c r="F3" s="60">
        <f>SUM(F4:F4)</f>
        <v>27691483</v>
      </c>
    </row>
    <row r="4" spans="1:6" s="31" customFormat="1" ht="56.25" customHeight="1" x14ac:dyDescent="0.25">
      <c r="A4" s="53">
        <v>1</v>
      </c>
      <c r="B4" s="35"/>
      <c r="C4" s="62" t="s">
        <v>25</v>
      </c>
      <c r="D4" s="58">
        <v>391821296</v>
      </c>
      <c r="E4" s="40">
        <v>364129813</v>
      </c>
      <c r="F4" s="61">
        <f>D4-E4</f>
        <v>27691483</v>
      </c>
    </row>
    <row r="5" spans="1:6" s="31" customFormat="1" ht="27.75" customHeight="1" x14ac:dyDescent="0.25">
      <c r="A5" s="56"/>
      <c r="B5" s="51"/>
      <c r="C5" s="51" t="s">
        <v>24</v>
      </c>
      <c r="D5" s="59">
        <f>SUM(D6:D10)</f>
        <v>122796898</v>
      </c>
      <c r="E5" s="59">
        <f>SUM(E6:E10)</f>
        <v>97042388</v>
      </c>
      <c r="F5" s="59">
        <f>SUM(F6:F10)</f>
        <v>25754510</v>
      </c>
    </row>
    <row r="6" spans="1:6" s="31" customFormat="1" ht="51.75" customHeight="1" x14ac:dyDescent="0.25">
      <c r="A6" s="53">
        <v>3</v>
      </c>
      <c r="B6" s="35"/>
      <c r="C6" s="70" t="s">
        <v>26</v>
      </c>
      <c r="D6" s="58">
        <v>17053364</v>
      </c>
      <c r="E6" s="40">
        <v>13442776</v>
      </c>
      <c r="F6" s="52">
        <f t="shared" ref="F6:F10" si="0">D6-E6</f>
        <v>3610588</v>
      </c>
    </row>
    <row r="7" spans="1:6" s="31" customFormat="1" ht="50.25" customHeight="1" x14ac:dyDescent="0.25">
      <c r="A7" s="53">
        <v>4</v>
      </c>
      <c r="B7" s="35"/>
      <c r="C7" s="71" t="s">
        <v>27</v>
      </c>
      <c r="D7" s="58">
        <v>9090909</v>
      </c>
      <c r="E7" s="40">
        <v>7166156</v>
      </c>
      <c r="F7" s="52">
        <f t="shared" si="0"/>
        <v>1924753</v>
      </c>
    </row>
    <row r="8" spans="1:6" s="31" customFormat="1" ht="50.25" customHeight="1" x14ac:dyDescent="0.25">
      <c r="A8" s="53">
        <v>5</v>
      </c>
      <c r="B8" s="35"/>
      <c r="C8" s="71" t="s">
        <v>28</v>
      </c>
      <c r="D8" s="58">
        <v>31208181</v>
      </c>
      <c r="E8" s="40">
        <v>22292046</v>
      </c>
      <c r="F8" s="52">
        <f t="shared" si="0"/>
        <v>8916135</v>
      </c>
    </row>
    <row r="9" spans="1:6" s="31" customFormat="1" ht="42.75" customHeight="1" x14ac:dyDescent="0.25">
      <c r="A9" s="53">
        <v>6</v>
      </c>
      <c r="B9" s="35"/>
      <c r="C9" s="71" t="s">
        <v>29</v>
      </c>
      <c r="D9" s="58">
        <v>44444444</v>
      </c>
      <c r="E9" s="40">
        <v>36575264</v>
      </c>
      <c r="F9" s="52">
        <f t="shared" si="0"/>
        <v>7869180</v>
      </c>
    </row>
    <row r="10" spans="1:6" s="31" customFormat="1" ht="36" customHeight="1" x14ac:dyDescent="0.25">
      <c r="A10" s="53">
        <v>8</v>
      </c>
      <c r="B10" s="35"/>
      <c r="C10" s="72" t="s">
        <v>30</v>
      </c>
      <c r="D10" s="58">
        <v>21000000</v>
      </c>
      <c r="E10" s="40">
        <v>17566146</v>
      </c>
      <c r="F10" s="52">
        <f t="shared" si="0"/>
        <v>3433854</v>
      </c>
    </row>
    <row r="11" spans="1:6" s="30" customFormat="1" ht="36" customHeight="1" x14ac:dyDescent="0.25">
      <c r="A11" s="56"/>
      <c r="B11" s="65" t="s">
        <v>10</v>
      </c>
      <c r="C11" s="65"/>
      <c r="D11" s="57">
        <f>D5+D3</f>
        <v>514618194</v>
      </c>
      <c r="E11" s="57">
        <f t="shared" ref="E11:F11" si="1">E5+E3</f>
        <v>461172201</v>
      </c>
      <c r="F11" s="57">
        <f t="shared" si="1"/>
        <v>53445993</v>
      </c>
    </row>
    <row r="12" spans="1:6" s="25" customFormat="1" ht="19.5" customHeight="1" x14ac:dyDescent="0.25">
      <c r="C12" s="66" t="s">
        <v>36</v>
      </c>
      <c r="D12" s="66"/>
      <c r="E12" s="27"/>
      <c r="F12" s="28"/>
    </row>
    <row r="13" spans="1:6" s="25" customFormat="1" ht="19.5" customHeight="1" x14ac:dyDescent="0.25">
      <c r="C13" s="64" t="s">
        <v>14</v>
      </c>
      <c r="D13" s="64"/>
      <c r="E13" s="34"/>
      <c r="F13" s="28"/>
    </row>
    <row r="14" spans="1:6" s="25" customFormat="1" ht="19.5" customHeight="1" x14ac:dyDescent="0.25">
      <c r="C14" s="6"/>
      <c r="D14" s="4"/>
      <c r="E14" s="50"/>
      <c r="F14" s="28"/>
    </row>
    <row r="15" spans="1:6" s="25" customFormat="1" ht="19.5" customHeight="1" x14ac:dyDescent="0.25">
      <c r="C15" s="6"/>
      <c r="D15" s="4"/>
      <c r="E15" s="4"/>
      <c r="F15" s="28"/>
    </row>
    <row r="16" spans="1:6" s="25" customFormat="1" ht="19.5" customHeight="1" x14ac:dyDescent="0.25">
      <c r="C16" s="6"/>
      <c r="D16" s="4"/>
      <c r="E16" s="4"/>
      <c r="F16" s="28"/>
    </row>
    <row r="17" spans="3:6" s="25" customFormat="1" ht="19.5" customHeight="1" x14ac:dyDescent="0.25">
      <c r="C17" s="6"/>
      <c r="D17" s="4"/>
      <c r="E17" s="4"/>
      <c r="F17" s="28"/>
    </row>
    <row r="18" spans="3:6" s="25" customFormat="1" ht="19.5" customHeight="1" x14ac:dyDescent="0.25">
      <c r="C18" s="6"/>
      <c r="D18" s="4"/>
      <c r="E18" s="4"/>
      <c r="F18" s="28"/>
    </row>
    <row r="19" spans="3:6" s="25" customFormat="1" ht="19.5" customHeight="1" x14ac:dyDescent="0.25">
      <c r="C19" s="6"/>
      <c r="D19" s="4"/>
      <c r="E19" s="4"/>
      <c r="F19" s="28"/>
    </row>
    <row r="20" spans="3:6" s="25" customFormat="1" ht="19.5" customHeight="1" x14ac:dyDescent="0.25">
      <c r="C20" s="64"/>
      <c r="D20" s="64"/>
      <c r="E20" s="34"/>
      <c r="F20" s="28"/>
    </row>
    <row r="21" spans="3:6" s="25" customFormat="1" ht="19.5" customHeight="1" x14ac:dyDescent="0.25">
      <c r="D21" s="32"/>
      <c r="F21" s="28"/>
    </row>
    <row r="22" spans="3:6" s="25" customFormat="1" ht="19.5" customHeight="1" x14ac:dyDescent="0.25">
      <c r="D22" s="32"/>
      <c r="F22" s="28"/>
    </row>
    <row r="23" spans="3:6" s="25" customFormat="1" ht="19.5" customHeight="1" x14ac:dyDescent="0.25">
      <c r="D23" s="32"/>
      <c r="F23" s="28"/>
    </row>
    <row r="24" spans="3:6" s="25" customFormat="1" ht="19.5" customHeight="1" x14ac:dyDescent="0.25">
      <c r="D24" s="32"/>
      <c r="F24" s="28"/>
    </row>
    <row r="25" spans="3:6" s="25" customFormat="1" ht="19.5" customHeight="1" x14ac:dyDescent="0.25">
      <c r="D25" s="32"/>
      <c r="F25" s="28"/>
    </row>
    <row r="26" spans="3:6" ht="19.5" customHeight="1" x14ac:dyDescent="0.25"/>
    <row r="27" spans="3:6" ht="19.5" customHeight="1" x14ac:dyDescent="0.25"/>
    <row r="28" spans="3:6" ht="19.5" customHeight="1" x14ac:dyDescent="0.25"/>
    <row r="29" spans="3:6" ht="19.5" customHeight="1" x14ac:dyDescent="0.25"/>
    <row r="30" spans="3:6" ht="19.5" customHeight="1" x14ac:dyDescent="0.25"/>
    <row r="31" spans="3:6" ht="19.5" customHeight="1" x14ac:dyDescent="0.25"/>
    <row r="32" spans="3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</sheetData>
  <mergeCells count="5">
    <mergeCell ref="A1:F1"/>
    <mergeCell ref="C20:D20"/>
    <mergeCell ref="B11:C11"/>
    <mergeCell ref="C12:D12"/>
    <mergeCell ref="C13:D13"/>
  </mergeCells>
  <pageMargins left="0.19685039370078741" right="0.19685039370078741" top="0.39370078740157483" bottom="0.19685039370078741" header="0.31496062992125984" footer="0.31496062992125984"/>
  <pageSetup paperSize="9" scale="7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M30"/>
  <sheetViews>
    <sheetView tabSelected="1" topLeftCell="A7" zoomScale="85" zoomScaleNormal="85" workbookViewId="0">
      <selection activeCell="L28" sqref="L28"/>
    </sheetView>
  </sheetViews>
  <sheetFormatPr defaultRowHeight="16.5" x14ac:dyDescent="0.25"/>
  <cols>
    <col min="1" max="1" width="39.85546875" style="4" customWidth="1"/>
    <col min="2" max="2" width="9.85546875" style="5" customWidth="1"/>
    <col min="3" max="3" width="19.42578125" style="6" customWidth="1"/>
    <col min="4" max="4" width="19.28515625" style="6" customWidth="1"/>
    <col min="5" max="6" width="16" style="6" customWidth="1"/>
    <col min="7" max="7" width="16.85546875" style="4" customWidth="1"/>
    <col min="8" max="8" width="14.5703125" style="4" customWidth="1"/>
    <col min="9" max="9" width="16" style="4" customWidth="1"/>
    <col min="10" max="10" width="6.85546875" style="5" customWidth="1"/>
    <col min="11" max="11" width="15.5703125" style="6" customWidth="1"/>
    <col min="12" max="12" width="14.85546875" style="4" customWidth="1"/>
    <col min="13" max="13" width="16" style="4" customWidth="1"/>
    <col min="14" max="257" width="9.140625" style="4"/>
    <col min="258" max="258" width="28.85546875" style="4" customWidth="1"/>
    <col min="259" max="259" width="11" style="4" customWidth="1"/>
    <col min="260" max="260" width="18.7109375" style="4" customWidth="1"/>
    <col min="261" max="261" width="20.85546875" style="4" customWidth="1"/>
    <col min="262" max="262" width="0" style="4" hidden="1" customWidth="1"/>
    <col min="263" max="263" width="17" style="4" customWidth="1"/>
    <col min="264" max="264" width="15.7109375" style="4" customWidth="1"/>
    <col min="265" max="265" width="6.85546875" style="4" customWidth="1"/>
    <col min="266" max="267" width="15.28515625" style="4" customWidth="1"/>
    <col min="268" max="268" width="18.42578125" style="4" customWidth="1"/>
    <col min="269" max="269" width="0" style="4" hidden="1" customWidth="1"/>
    <col min="270" max="513" width="9.140625" style="4"/>
    <col min="514" max="514" width="28.85546875" style="4" customWidth="1"/>
    <col min="515" max="515" width="11" style="4" customWidth="1"/>
    <col min="516" max="516" width="18.7109375" style="4" customWidth="1"/>
    <col min="517" max="517" width="20.85546875" style="4" customWidth="1"/>
    <col min="518" max="518" width="0" style="4" hidden="1" customWidth="1"/>
    <col min="519" max="519" width="17" style="4" customWidth="1"/>
    <col min="520" max="520" width="15.7109375" style="4" customWidth="1"/>
    <col min="521" max="521" width="6.85546875" style="4" customWidth="1"/>
    <col min="522" max="523" width="15.28515625" style="4" customWidth="1"/>
    <col min="524" max="524" width="18.42578125" style="4" customWidth="1"/>
    <col min="525" max="525" width="0" style="4" hidden="1" customWidth="1"/>
    <col min="526" max="769" width="9.140625" style="4"/>
    <col min="770" max="770" width="28.85546875" style="4" customWidth="1"/>
    <col min="771" max="771" width="11" style="4" customWidth="1"/>
    <col min="772" max="772" width="18.7109375" style="4" customWidth="1"/>
    <col min="773" max="773" width="20.85546875" style="4" customWidth="1"/>
    <col min="774" max="774" width="0" style="4" hidden="1" customWidth="1"/>
    <col min="775" max="775" width="17" style="4" customWidth="1"/>
    <col min="776" max="776" width="15.7109375" style="4" customWidth="1"/>
    <col min="777" max="777" width="6.85546875" style="4" customWidth="1"/>
    <col min="778" max="779" width="15.28515625" style="4" customWidth="1"/>
    <col min="780" max="780" width="18.42578125" style="4" customWidth="1"/>
    <col min="781" max="781" width="0" style="4" hidden="1" customWidth="1"/>
    <col min="782" max="1025" width="9.140625" style="4"/>
    <col min="1026" max="1026" width="28.85546875" style="4" customWidth="1"/>
    <col min="1027" max="1027" width="11" style="4" customWidth="1"/>
    <col min="1028" max="1028" width="18.7109375" style="4" customWidth="1"/>
    <col min="1029" max="1029" width="20.85546875" style="4" customWidth="1"/>
    <col min="1030" max="1030" width="0" style="4" hidden="1" customWidth="1"/>
    <col min="1031" max="1031" width="17" style="4" customWidth="1"/>
    <col min="1032" max="1032" width="15.7109375" style="4" customWidth="1"/>
    <col min="1033" max="1033" width="6.85546875" style="4" customWidth="1"/>
    <col min="1034" max="1035" width="15.28515625" style="4" customWidth="1"/>
    <col min="1036" max="1036" width="18.42578125" style="4" customWidth="1"/>
    <col min="1037" max="1037" width="0" style="4" hidden="1" customWidth="1"/>
    <col min="1038" max="1281" width="9.140625" style="4"/>
    <col min="1282" max="1282" width="28.85546875" style="4" customWidth="1"/>
    <col min="1283" max="1283" width="11" style="4" customWidth="1"/>
    <col min="1284" max="1284" width="18.7109375" style="4" customWidth="1"/>
    <col min="1285" max="1285" width="20.85546875" style="4" customWidth="1"/>
    <col min="1286" max="1286" width="0" style="4" hidden="1" customWidth="1"/>
    <col min="1287" max="1287" width="17" style="4" customWidth="1"/>
    <col min="1288" max="1288" width="15.7109375" style="4" customWidth="1"/>
    <col min="1289" max="1289" width="6.85546875" style="4" customWidth="1"/>
    <col min="1290" max="1291" width="15.28515625" style="4" customWidth="1"/>
    <col min="1292" max="1292" width="18.42578125" style="4" customWidth="1"/>
    <col min="1293" max="1293" width="0" style="4" hidden="1" customWidth="1"/>
    <col min="1294" max="1537" width="9.140625" style="4"/>
    <col min="1538" max="1538" width="28.85546875" style="4" customWidth="1"/>
    <col min="1539" max="1539" width="11" style="4" customWidth="1"/>
    <col min="1540" max="1540" width="18.7109375" style="4" customWidth="1"/>
    <col min="1541" max="1541" width="20.85546875" style="4" customWidth="1"/>
    <col min="1542" max="1542" width="0" style="4" hidden="1" customWidth="1"/>
    <col min="1543" max="1543" width="17" style="4" customWidth="1"/>
    <col min="1544" max="1544" width="15.7109375" style="4" customWidth="1"/>
    <col min="1545" max="1545" width="6.85546875" style="4" customWidth="1"/>
    <col min="1546" max="1547" width="15.28515625" style="4" customWidth="1"/>
    <col min="1548" max="1548" width="18.42578125" style="4" customWidth="1"/>
    <col min="1549" max="1549" width="0" style="4" hidden="1" customWidth="1"/>
    <col min="1550" max="1793" width="9.140625" style="4"/>
    <col min="1794" max="1794" width="28.85546875" style="4" customWidth="1"/>
    <col min="1795" max="1795" width="11" style="4" customWidth="1"/>
    <col min="1796" max="1796" width="18.7109375" style="4" customWidth="1"/>
    <col min="1797" max="1797" width="20.85546875" style="4" customWidth="1"/>
    <col min="1798" max="1798" width="0" style="4" hidden="1" customWidth="1"/>
    <col min="1799" max="1799" width="17" style="4" customWidth="1"/>
    <col min="1800" max="1800" width="15.7109375" style="4" customWidth="1"/>
    <col min="1801" max="1801" width="6.85546875" style="4" customWidth="1"/>
    <col min="1802" max="1803" width="15.28515625" style="4" customWidth="1"/>
    <col min="1804" max="1804" width="18.42578125" style="4" customWidth="1"/>
    <col min="1805" max="1805" width="0" style="4" hidden="1" customWidth="1"/>
    <col min="1806" max="2049" width="9.140625" style="4"/>
    <col min="2050" max="2050" width="28.85546875" style="4" customWidth="1"/>
    <col min="2051" max="2051" width="11" style="4" customWidth="1"/>
    <col min="2052" max="2052" width="18.7109375" style="4" customWidth="1"/>
    <col min="2053" max="2053" width="20.85546875" style="4" customWidth="1"/>
    <col min="2054" max="2054" width="0" style="4" hidden="1" customWidth="1"/>
    <col min="2055" max="2055" width="17" style="4" customWidth="1"/>
    <col min="2056" max="2056" width="15.7109375" style="4" customWidth="1"/>
    <col min="2057" max="2057" width="6.85546875" style="4" customWidth="1"/>
    <col min="2058" max="2059" width="15.28515625" style="4" customWidth="1"/>
    <col min="2060" max="2060" width="18.42578125" style="4" customWidth="1"/>
    <col min="2061" max="2061" width="0" style="4" hidden="1" customWidth="1"/>
    <col min="2062" max="2305" width="9.140625" style="4"/>
    <col min="2306" max="2306" width="28.85546875" style="4" customWidth="1"/>
    <col min="2307" max="2307" width="11" style="4" customWidth="1"/>
    <col min="2308" max="2308" width="18.7109375" style="4" customWidth="1"/>
    <col min="2309" max="2309" width="20.85546875" style="4" customWidth="1"/>
    <col min="2310" max="2310" width="0" style="4" hidden="1" customWidth="1"/>
    <col min="2311" max="2311" width="17" style="4" customWidth="1"/>
    <col min="2312" max="2312" width="15.7109375" style="4" customWidth="1"/>
    <col min="2313" max="2313" width="6.85546875" style="4" customWidth="1"/>
    <col min="2314" max="2315" width="15.28515625" style="4" customWidth="1"/>
    <col min="2316" max="2316" width="18.42578125" style="4" customWidth="1"/>
    <col min="2317" max="2317" width="0" style="4" hidden="1" customWidth="1"/>
    <col min="2318" max="2561" width="9.140625" style="4"/>
    <col min="2562" max="2562" width="28.85546875" style="4" customWidth="1"/>
    <col min="2563" max="2563" width="11" style="4" customWidth="1"/>
    <col min="2564" max="2564" width="18.7109375" style="4" customWidth="1"/>
    <col min="2565" max="2565" width="20.85546875" style="4" customWidth="1"/>
    <col min="2566" max="2566" width="0" style="4" hidden="1" customWidth="1"/>
    <col min="2567" max="2567" width="17" style="4" customWidth="1"/>
    <col min="2568" max="2568" width="15.7109375" style="4" customWidth="1"/>
    <col min="2569" max="2569" width="6.85546875" style="4" customWidth="1"/>
    <col min="2570" max="2571" width="15.28515625" style="4" customWidth="1"/>
    <col min="2572" max="2572" width="18.42578125" style="4" customWidth="1"/>
    <col min="2573" max="2573" width="0" style="4" hidden="1" customWidth="1"/>
    <col min="2574" max="2817" width="9.140625" style="4"/>
    <col min="2818" max="2818" width="28.85546875" style="4" customWidth="1"/>
    <col min="2819" max="2819" width="11" style="4" customWidth="1"/>
    <col min="2820" max="2820" width="18.7109375" style="4" customWidth="1"/>
    <col min="2821" max="2821" width="20.85546875" style="4" customWidth="1"/>
    <col min="2822" max="2822" width="0" style="4" hidden="1" customWidth="1"/>
    <col min="2823" max="2823" width="17" style="4" customWidth="1"/>
    <col min="2824" max="2824" width="15.7109375" style="4" customWidth="1"/>
    <col min="2825" max="2825" width="6.85546875" style="4" customWidth="1"/>
    <col min="2826" max="2827" width="15.28515625" style="4" customWidth="1"/>
    <col min="2828" max="2828" width="18.42578125" style="4" customWidth="1"/>
    <col min="2829" max="2829" width="0" style="4" hidden="1" customWidth="1"/>
    <col min="2830" max="3073" width="9.140625" style="4"/>
    <col min="3074" max="3074" width="28.85546875" style="4" customWidth="1"/>
    <col min="3075" max="3075" width="11" style="4" customWidth="1"/>
    <col min="3076" max="3076" width="18.7109375" style="4" customWidth="1"/>
    <col min="3077" max="3077" width="20.85546875" style="4" customWidth="1"/>
    <col min="3078" max="3078" width="0" style="4" hidden="1" customWidth="1"/>
    <col min="3079" max="3079" width="17" style="4" customWidth="1"/>
    <col min="3080" max="3080" width="15.7109375" style="4" customWidth="1"/>
    <col min="3081" max="3081" width="6.85546875" style="4" customWidth="1"/>
    <col min="3082" max="3083" width="15.28515625" style="4" customWidth="1"/>
    <col min="3084" max="3084" width="18.42578125" style="4" customWidth="1"/>
    <col min="3085" max="3085" width="0" style="4" hidden="1" customWidth="1"/>
    <col min="3086" max="3329" width="9.140625" style="4"/>
    <col min="3330" max="3330" width="28.85546875" style="4" customWidth="1"/>
    <col min="3331" max="3331" width="11" style="4" customWidth="1"/>
    <col min="3332" max="3332" width="18.7109375" style="4" customWidth="1"/>
    <col min="3333" max="3333" width="20.85546875" style="4" customWidth="1"/>
    <col min="3334" max="3334" width="0" style="4" hidden="1" customWidth="1"/>
    <col min="3335" max="3335" width="17" style="4" customWidth="1"/>
    <col min="3336" max="3336" width="15.7109375" style="4" customWidth="1"/>
    <col min="3337" max="3337" width="6.85546875" style="4" customWidth="1"/>
    <col min="3338" max="3339" width="15.28515625" style="4" customWidth="1"/>
    <col min="3340" max="3340" width="18.42578125" style="4" customWidth="1"/>
    <col min="3341" max="3341" width="0" style="4" hidden="1" customWidth="1"/>
    <col min="3342" max="3585" width="9.140625" style="4"/>
    <col min="3586" max="3586" width="28.85546875" style="4" customWidth="1"/>
    <col min="3587" max="3587" width="11" style="4" customWidth="1"/>
    <col min="3588" max="3588" width="18.7109375" style="4" customWidth="1"/>
    <col min="3589" max="3589" width="20.85546875" style="4" customWidth="1"/>
    <col min="3590" max="3590" width="0" style="4" hidden="1" customWidth="1"/>
    <col min="3591" max="3591" width="17" style="4" customWidth="1"/>
    <col min="3592" max="3592" width="15.7109375" style="4" customWidth="1"/>
    <col min="3593" max="3593" width="6.85546875" style="4" customWidth="1"/>
    <col min="3594" max="3595" width="15.28515625" style="4" customWidth="1"/>
    <col min="3596" max="3596" width="18.42578125" style="4" customWidth="1"/>
    <col min="3597" max="3597" width="0" style="4" hidden="1" customWidth="1"/>
    <col min="3598" max="3841" width="9.140625" style="4"/>
    <col min="3842" max="3842" width="28.85546875" style="4" customWidth="1"/>
    <col min="3843" max="3843" width="11" style="4" customWidth="1"/>
    <col min="3844" max="3844" width="18.7109375" style="4" customWidth="1"/>
    <col min="3845" max="3845" width="20.85546875" style="4" customWidth="1"/>
    <col min="3846" max="3846" width="0" style="4" hidden="1" customWidth="1"/>
    <col min="3847" max="3847" width="17" style="4" customWidth="1"/>
    <col min="3848" max="3848" width="15.7109375" style="4" customWidth="1"/>
    <col min="3849" max="3849" width="6.85546875" style="4" customWidth="1"/>
    <col min="3850" max="3851" width="15.28515625" style="4" customWidth="1"/>
    <col min="3852" max="3852" width="18.42578125" style="4" customWidth="1"/>
    <col min="3853" max="3853" width="0" style="4" hidden="1" customWidth="1"/>
    <col min="3854" max="4097" width="9.140625" style="4"/>
    <col min="4098" max="4098" width="28.85546875" style="4" customWidth="1"/>
    <col min="4099" max="4099" width="11" style="4" customWidth="1"/>
    <col min="4100" max="4100" width="18.7109375" style="4" customWidth="1"/>
    <col min="4101" max="4101" width="20.85546875" style="4" customWidth="1"/>
    <col min="4102" max="4102" width="0" style="4" hidden="1" customWidth="1"/>
    <col min="4103" max="4103" width="17" style="4" customWidth="1"/>
    <col min="4104" max="4104" width="15.7109375" style="4" customWidth="1"/>
    <col min="4105" max="4105" width="6.85546875" style="4" customWidth="1"/>
    <col min="4106" max="4107" width="15.28515625" style="4" customWidth="1"/>
    <col min="4108" max="4108" width="18.42578125" style="4" customWidth="1"/>
    <col min="4109" max="4109" width="0" style="4" hidden="1" customWidth="1"/>
    <col min="4110" max="4353" width="9.140625" style="4"/>
    <col min="4354" max="4354" width="28.85546875" style="4" customWidth="1"/>
    <col min="4355" max="4355" width="11" style="4" customWidth="1"/>
    <col min="4356" max="4356" width="18.7109375" style="4" customWidth="1"/>
    <col min="4357" max="4357" width="20.85546875" style="4" customWidth="1"/>
    <col min="4358" max="4358" width="0" style="4" hidden="1" customWidth="1"/>
    <col min="4359" max="4359" width="17" style="4" customWidth="1"/>
    <col min="4360" max="4360" width="15.7109375" style="4" customWidth="1"/>
    <col min="4361" max="4361" width="6.85546875" style="4" customWidth="1"/>
    <col min="4362" max="4363" width="15.28515625" style="4" customWidth="1"/>
    <col min="4364" max="4364" width="18.42578125" style="4" customWidth="1"/>
    <col min="4365" max="4365" width="0" style="4" hidden="1" customWidth="1"/>
    <col min="4366" max="4609" width="9.140625" style="4"/>
    <col min="4610" max="4610" width="28.85546875" style="4" customWidth="1"/>
    <col min="4611" max="4611" width="11" style="4" customWidth="1"/>
    <col min="4612" max="4612" width="18.7109375" style="4" customWidth="1"/>
    <col min="4613" max="4613" width="20.85546875" style="4" customWidth="1"/>
    <col min="4614" max="4614" width="0" style="4" hidden="1" customWidth="1"/>
    <col min="4615" max="4615" width="17" style="4" customWidth="1"/>
    <col min="4616" max="4616" width="15.7109375" style="4" customWidth="1"/>
    <col min="4617" max="4617" width="6.85546875" style="4" customWidth="1"/>
    <col min="4618" max="4619" width="15.28515625" style="4" customWidth="1"/>
    <col min="4620" max="4620" width="18.42578125" style="4" customWidth="1"/>
    <col min="4621" max="4621" width="0" style="4" hidden="1" customWidth="1"/>
    <col min="4622" max="4865" width="9.140625" style="4"/>
    <col min="4866" max="4866" width="28.85546875" style="4" customWidth="1"/>
    <col min="4867" max="4867" width="11" style="4" customWidth="1"/>
    <col min="4868" max="4868" width="18.7109375" style="4" customWidth="1"/>
    <col min="4869" max="4869" width="20.85546875" style="4" customWidth="1"/>
    <col min="4870" max="4870" width="0" style="4" hidden="1" customWidth="1"/>
    <col min="4871" max="4871" width="17" style="4" customWidth="1"/>
    <col min="4872" max="4872" width="15.7109375" style="4" customWidth="1"/>
    <col min="4873" max="4873" width="6.85546875" style="4" customWidth="1"/>
    <col min="4874" max="4875" width="15.28515625" style="4" customWidth="1"/>
    <col min="4876" max="4876" width="18.42578125" style="4" customWidth="1"/>
    <col min="4877" max="4877" width="0" style="4" hidden="1" customWidth="1"/>
    <col min="4878" max="5121" width="9.140625" style="4"/>
    <col min="5122" max="5122" width="28.85546875" style="4" customWidth="1"/>
    <col min="5123" max="5123" width="11" style="4" customWidth="1"/>
    <col min="5124" max="5124" width="18.7109375" style="4" customWidth="1"/>
    <col min="5125" max="5125" width="20.85546875" style="4" customWidth="1"/>
    <col min="5126" max="5126" width="0" style="4" hidden="1" customWidth="1"/>
    <col min="5127" max="5127" width="17" style="4" customWidth="1"/>
    <col min="5128" max="5128" width="15.7109375" style="4" customWidth="1"/>
    <col min="5129" max="5129" width="6.85546875" style="4" customWidth="1"/>
    <col min="5130" max="5131" width="15.28515625" style="4" customWidth="1"/>
    <col min="5132" max="5132" width="18.42578125" style="4" customWidth="1"/>
    <col min="5133" max="5133" width="0" style="4" hidden="1" customWidth="1"/>
    <col min="5134" max="5377" width="9.140625" style="4"/>
    <col min="5378" max="5378" width="28.85546875" style="4" customWidth="1"/>
    <col min="5379" max="5379" width="11" style="4" customWidth="1"/>
    <col min="5380" max="5380" width="18.7109375" style="4" customWidth="1"/>
    <col min="5381" max="5381" width="20.85546875" style="4" customWidth="1"/>
    <col min="5382" max="5382" width="0" style="4" hidden="1" customWidth="1"/>
    <col min="5383" max="5383" width="17" style="4" customWidth="1"/>
    <col min="5384" max="5384" width="15.7109375" style="4" customWidth="1"/>
    <col min="5385" max="5385" width="6.85546875" style="4" customWidth="1"/>
    <col min="5386" max="5387" width="15.28515625" style="4" customWidth="1"/>
    <col min="5388" max="5388" width="18.42578125" style="4" customWidth="1"/>
    <col min="5389" max="5389" width="0" style="4" hidden="1" customWidth="1"/>
    <col min="5390" max="5633" width="9.140625" style="4"/>
    <col min="5634" max="5634" width="28.85546875" style="4" customWidth="1"/>
    <col min="5635" max="5635" width="11" style="4" customWidth="1"/>
    <col min="5636" max="5636" width="18.7109375" style="4" customWidth="1"/>
    <col min="5637" max="5637" width="20.85546875" style="4" customWidth="1"/>
    <col min="5638" max="5638" width="0" style="4" hidden="1" customWidth="1"/>
    <col min="5639" max="5639" width="17" style="4" customWidth="1"/>
    <col min="5640" max="5640" width="15.7109375" style="4" customWidth="1"/>
    <col min="5641" max="5641" width="6.85546875" style="4" customWidth="1"/>
    <col min="5642" max="5643" width="15.28515625" style="4" customWidth="1"/>
    <col min="5644" max="5644" width="18.42578125" style="4" customWidth="1"/>
    <col min="5645" max="5645" width="0" style="4" hidden="1" customWidth="1"/>
    <col min="5646" max="5889" width="9.140625" style="4"/>
    <col min="5890" max="5890" width="28.85546875" style="4" customWidth="1"/>
    <col min="5891" max="5891" width="11" style="4" customWidth="1"/>
    <col min="5892" max="5892" width="18.7109375" style="4" customWidth="1"/>
    <col min="5893" max="5893" width="20.85546875" style="4" customWidth="1"/>
    <col min="5894" max="5894" width="0" style="4" hidden="1" customWidth="1"/>
    <col min="5895" max="5895" width="17" style="4" customWidth="1"/>
    <col min="5896" max="5896" width="15.7109375" style="4" customWidth="1"/>
    <col min="5897" max="5897" width="6.85546875" style="4" customWidth="1"/>
    <col min="5898" max="5899" width="15.28515625" style="4" customWidth="1"/>
    <col min="5900" max="5900" width="18.42578125" style="4" customWidth="1"/>
    <col min="5901" max="5901" width="0" style="4" hidden="1" customWidth="1"/>
    <col min="5902" max="6145" width="9.140625" style="4"/>
    <col min="6146" max="6146" width="28.85546875" style="4" customWidth="1"/>
    <col min="6147" max="6147" width="11" style="4" customWidth="1"/>
    <col min="6148" max="6148" width="18.7109375" style="4" customWidth="1"/>
    <col min="6149" max="6149" width="20.85546875" style="4" customWidth="1"/>
    <col min="6150" max="6150" width="0" style="4" hidden="1" customWidth="1"/>
    <col min="6151" max="6151" width="17" style="4" customWidth="1"/>
    <col min="6152" max="6152" width="15.7109375" style="4" customWidth="1"/>
    <col min="6153" max="6153" width="6.85546875" style="4" customWidth="1"/>
    <col min="6154" max="6155" width="15.28515625" style="4" customWidth="1"/>
    <col min="6156" max="6156" width="18.42578125" style="4" customWidth="1"/>
    <col min="6157" max="6157" width="0" style="4" hidden="1" customWidth="1"/>
    <col min="6158" max="6401" width="9.140625" style="4"/>
    <col min="6402" max="6402" width="28.85546875" style="4" customWidth="1"/>
    <col min="6403" max="6403" width="11" style="4" customWidth="1"/>
    <col min="6404" max="6404" width="18.7109375" style="4" customWidth="1"/>
    <col min="6405" max="6405" width="20.85546875" style="4" customWidth="1"/>
    <col min="6406" max="6406" width="0" style="4" hidden="1" customWidth="1"/>
    <col min="6407" max="6407" width="17" style="4" customWidth="1"/>
    <col min="6408" max="6408" width="15.7109375" style="4" customWidth="1"/>
    <col min="6409" max="6409" width="6.85546875" style="4" customWidth="1"/>
    <col min="6410" max="6411" width="15.28515625" style="4" customWidth="1"/>
    <col min="6412" max="6412" width="18.42578125" style="4" customWidth="1"/>
    <col min="6413" max="6413" width="0" style="4" hidden="1" customWidth="1"/>
    <col min="6414" max="6657" width="9.140625" style="4"/>
    <col min="6658" max="6658" width="28.85546875" style="4" customWidth="1"/>
    <col min="6659" max="6659" width="11" style="4" customWidth="1"/>
    <col min="6660" max="6660" width="18.7109375" style="4" customWidth="1"/>
    <col min="6661" max="6661" width="20.85546875" style="4" customWidth="1"/>
    <col min="6662" max="6662" width="0" style="4" hidden="1" customWidth="1"/>
    <col min="6663" max="6663" width="17" style="4" customWidth="1"/>
    <col min="6664" max="6664" width="15.7109375" style="4" customWidth="1"/>
    <col min="6665" max="6665" width="6.85546875" style="4" customWidth="1"/>
    <col min="6666" max="6667" width="15.28515625" style="4" customWidth="1"/>
    <col min="6668" max="6668" width="18.42578125" style="4" customWidth="1"/>
    <col min="6669" max="6669" width="0" style="4" hidden="1" customWidth="1"/>
    <col min="6670" max="6913" width="9.140625" style="4"/>
    <col min="6914" max="6914" width="28.85546875" style="4" customWidth="1"/>
    <col min="6915" max="6915" width="11" style="4" customWidth="1"/>
    <col min="6916" max="6916" width="18.7109375" style="4" customWidth="1"/>
    <col min="6917" max="6917" width="20.85546875" style="4" customWidth="1"/>
    <col min="6918" max="6918" width="0" style="4" hidden="1" customWidth="1"/>
    <col min="6919" max="6919" width="17" style="4" customWidth="1"/>
    <col min="6920" max="6920" width="15.7109375" style="4" customWidth="1"/>
    <col min="6921" max="6921" width="6.85546875" style="4" customWidth="1"/>
    <col min="6922" max="6923" width="15.28515625" style="4" customWidth="1"/>
    <col min="6924" max="6924" width="18.42578125" style="4" customWidth="1"/>
    <col min="6925" max="6925" width="0" style="4" hidden="1" customWidth="1"/>
    <col min="6926" max="7169" width="9.140625" style="4"/>
    <col min="7170" max="7170" width="28.85546875" style="4" customWidth="1"/>
    <col min="7171" max="7171" width="11" style="4" customWidth="1"/>
    <col min="7172" max="7172" width="18.7109375" style="4" customWidth="1"/>
    <col min="7173" max="7173" width="20.85546875" style="4" customWidth="1"/>
    <col min="7174" max="7174" width="0" style="4" hidden="1" customWidth="1"/>
    <col min="7175" max="7175" width="17" style="4" customWidth="1"/>
    <col min="7176" max="7176" width="15.7109375" style="4" customWidth="1"/>
    <col min="7177" max="7177" width="6.85546875" style="4" customWidth="1"/>
    <col min="7178" max="7179" width="15.28515625" style="4" customWidth="1"/>
    <col min="7180" max="7180" width="18.42578125" style="4" customWidth="1"/>
    <col min="7181" max="7181" width="0" style="4" hidden="1" customWidth="1"/>
    <col min="7182" max="7425" width="9.140625" style="4"/>
    <col min="7426" max="7426" width="28.85546875" style="4" customWidth="1"/>
    <col min="7427" max="7427" width="11" style="4" customWidth="1"/>
    <col min="7428" max="7428" width="18.7109375" style="4" customWidth="1"/>
    <col min="7429" max="7429" width="20.85546875" style="4" customWidth="1"/>
    <col min="7430" max="7430" width="0" style="4" hidden="1" customWidth="1"/>
    <col min="7431" max="7431" width="17" style="4" customWidth="1"/>
    <col min="7432" max="7432" width="15.7109375" style="4" customWidth="1"/>
    <col min="7433" max="7433" width="6.85546875" style="4" customWidth="1"/>
    <col min="7434" max="7435" width="15.28515625" style="4" customWidth="1"/>
    <col min="7436" max="7436" width="18.42578125" style="4" customWidth="1"/>
    <col min="7437" max="7437" width="0" style="4" hidden="1" customWidth="1"/>
    <col min="7438" max="7681" width="9.140625" style="4"/>
    <col min="7682" max="7682" width="28.85546875" style="4" customWidth="1"/>
    <col min="7683" max="7683" width="11" style="4" customWidth="1"/>
    <col min="7684" max="7684" width="18.7109375" style="4" customWidth="1"/>
    <col min="7685" max="7685" width="20.85546875" style="4" customWidth="1"/>
    <col min="7686" max="7686" width="0" style="4" hidden="1" customWidth="1"/>
    <col min="7687" max="7687" width="17" style="4" customWidth="1"/>
    <col min="7688" max="7688" width="15.7109375" style="4" customWidth="1"/>
    <col min="7689" max="7689" width="6.85546875" style="4" customWidth="1"/>
    <col min="7690" max="7691" width="15.28515625" style="4" customWidth="1"/>
    <col min="7692" max="7692" width="18.42578125" style="4" customWidth="1"/>
    <col min="7693" max="7693" width="0" style="4" hidden="1" customWidth="1"/>
    <col min="7694" max="7937" width="9.140625" style="4"/>
    <col min="7938" max="7938" width="28.85546875" style="4" customWidth="1"/>
    <col min="7939" max="7939" width="11" style="4" customWidth="1"/>
    <col min="7940" max="7940" width="18.7109375" style="4" customWidth="1"/>
    <col min="7941" max="7941" width="20.85546875" style="4" customWidth="1"/>
    <col min="7942" max="7942" width="0" style="4" hidden="1" customWidth="1"/>
    <col min="7943" max="7943" width="17" style="4" customWidth="1"/>
    <col min="7944" max="7944" width="15.7109375" style="4" customWidth="1"/>
    <col min="7945" max="7945" width="6.85546875" style="4" customWidth="1"/>
    <col min="7946" max="7947" width="15.28515625" style="4" customWidth="1"/>
    <col min="7948" max="7948" width="18.42578125" style="4" customWidth="1"/>
    <col min="7949" max="7949" width="0" style="4" hidden="1" customWidth="1"/>
    <col min="7950" max="8193" width="9.140625" style="4"/>
    <col min="8194" max="8194" width="28.85546875" style="4" customWidth="1"/>
    <col min="8195" max="8195" width="11" style="4" customWidth="1"/>
    <col min="8196" max="8196" width="18.7109375" style="4" customWidth="1"/>
    <col min="8197" max="8197" width="20.85546875" style="4" customWidth="1"/>
    <col min="8198" max="8198" width="0" style="4" hidden="1" customWidth="1"/>
    <col min="8199" max="8199" width="17" style="4" customWidth="1"/>
    <col min="8200" max="8200" width="15.7109375" style="4" customWidth="1"/>
    <col min="8201" max="8201" width="6.85546875" style="4" customWidth="1"/>
    <col min="8202" max="8203" width="15.28515625" style="4" customWidth="1"/>
    <col min="8204" max="8204" width="18.42578125" style="4" customWidth="1"/>
    <col min="8205" max="8205" width="0" style="4" hidden="1" customWidth="1"/>
    <col min="8206" max="8449" width="9.140625" style="4"/>
    <col min="8450" max="8450" width="28.85546875" style="4" customWidth="1"/>
    <col min="8451" max="8451" width="11" style="4" customWidth="1"/>
    <col min="8452" max="8452" width="18.7109375" style="4" customWidth="1"/>
    <col min="8453" max="8453" width="20.85546875" style="4" customWidth="1"/>
    <col min="8454" max="8454" width="0" style="4" hidden="1" customWidth="1"/>
    <col min="8455" max="8455" width="17" style="4" customWidth="1"/>
    <col min="8456" max="8456" width="15.7109375" style="4" customWidth="1"/>
    <col min="8457" max="8457" width="6.85546875" style="4" customWidth="1"/>
    <col min="8458" max="8459" width="15.28515625" style="4" customWidth="1"/>
    <col min="8460" max="8460" width="18.42578125" style="4" customWidth="1"/>
    <col min="8461" max="8461" width="0" style="4" hidden="1" customWidth="1"/>
    <col min="8462" max="8705" width="9.140625" style="4"/>
    <col min="8706" max="8706" width="28.85546875" style="4" customWidth="1"/>
    <col min="8707" max="8707" width="11" style="4" customWidth="1"/>
    <col min="8708" max="8708" width="18.7109375" style="4" customWidth="1"/>
    <col min="8709" max="8709" width="20.85546875" style="4" customWidth="1"/>
    <col min="8710" max="8710" width="0" style="4" hidden="1" customWidth="1"/>
    <col min="8711" max="8711" width="17" style="4" customWidth="1"/>
    <col min="8712" max="8712" width="15.7109375" style="4" customWidth="1"/>
    <col min="8713" max="8713" width="6.85546875" style="4" customWidth="1"/>
    <col min="8714" max="8715" width="15.28515625" style="4" customWidth="1"/>
    <col min="8716" max="8716" width="18.42578125" style="4" customWidth="1"/>
    <col min="8717" max="8717" width="0" style="4" hidden="1" customWidth="1"/>
    <col min="8718" max="8961" width="9.140625" style="4"/>
    <col min="8962" max="8962" width="28.85546875" style="4" customWidth="1"/>
    <col min="8963" max="8963" width="11" style="4" customWidth="1"/>
    <col min="8964" max="8964" width="18.7109375" style="4" customWidth="1"/>
    <col min="8965" max="8965" width="20.85546875" style="4" customWidth="1"/>
    <col min="8966" max="8966" width="0" style="4" hidden="1" customWidth="1"/>
    <col min="8967" max="8967" width="17" style="4" customWidth="1"/>
    <col min="8968" max="8968" width="15.7109375" style="4" customWidth="1"/>
    <col min="8969" max="8969" width="6.85546875" style="4" customWidth="1"/>
    <col min="8970" max="8971" width="15.28515625" style="4" customWidth="1"/>
    <col min="8972" max="8972" width="18.42578125" style="4" customWidth="1"/>
    <col min="8973" max="8973" width="0" style="4" hidden="1" customWidth="1"/>
    <col min="8974" max="9217" width="9.140625" style="4"/>
    <col min="9218" max="9218" width="28.85546875" style="4" customWidth="1"/>
    <col min="9219" max="9219" width="11" style="4" customWidth="1"/>
    <col min="9220" max="9220" width="18.7109375" style="4" customWidth="1"/>
    <col min="9221" max="9221" width="20.85546875" style="4" customWidth="1"/>
    <col min="9222" max="9222" width="0" style="4" hidden="1" customWidth="1"/>
    <col min="9223" max="9223" width="17" style="4" customWidth="1"/>
    <col min="9224" max="9224" width="15.7109375" style="4" customWidth="1"/>
    <col min="9225" max="9225" width="6.85546875" style="4" customWidth="1"/>
    <col min="9226" max="9227" width="15.28515625" style="4" customWidth="1"/>
    <col min="9228" max="9228" width="18.42578125" style="4" customWidth="1"/>
    <col min="9229" max="9229" width="0" style="4" hidden="1" customWidth="1"/>
    <col min="9230" max="9473" width="9.140625" style="4"/>
    <col min="9474" max="9474" width="28.85546875" style="4" customWidth="1"/>
    <col min="9475" max="9475" width="11" style="4" customWidth="1"/>
    <col min="9476" max="9476" width="18.7109375" style="4" customWidth="1"/>
    <col min="9477" max="9477" width="20.85546875" style="4" customWidth="1"/>
    <col min="9478" max="9478" width="0" style="4" hidden="1" customWidth="1"/>
    <col min="9479" max="9479" width="17" style="4" customWidth="1"/>
    <col min="9480" max="9480" width="15.7109375" style="4" customWidth="1"/>
    <col min="9481" max="9481" width="6.85546875" style="4" customWidth="1"/>
    <col min="9482" max="9483" width="15.28515625" style="4" customWidth="1"/>
    <col min="9484" max="9484" width="18.42578125" style="4" customWidth="1"/>
    <col min="9485" max="9485" width="0" style="4" hidden="1" customWidth="1"/>
    <col min="9486" max="9729" width="9.140625" style="4"/>
    <col min="9730" max="9730" width="28.85546875" style="4" customWidth="1"/>
    <col min="9731" max="9731" width="11" style="4" customWidth="1"/>
    <col min="9732" max="9732" width="18.7109375" style="4" customWidth="1"/>
    <col min="9733" max="9733" width="20.85546875" style="4" customWidth="1"/>
    <col min="9734" max="9734" width="0" style="4" hidden="1" customWidth="1"/>
    <col min="9735" max="9735" width="17" style="4" customWidth="1"/>
    <col min="9736" max="9736" width="15.7109375" style="4" customWidth="1"/>
    <col min="9737" max="9737" width="6.85546875" style="4" customWidth="1"/>
    <col min="9738" max="9739" width="15.28515625" style="4" customWidth="1"/>
    <col min="9740" max="9740" width="18.42578125" style="4" customWidth="1"/>
    <col min="9741" max="9741" width="0" style="4" hidden="1" customWidth="1"/>
    <col min="9742" max="9985" width="9.140625" style="4"/>
    <col min="9986" max="9986" width="28.85546875" style="4" customWidth="1"/>
    <col min="9987" max="9987" width="11" style="4" customWidth="1"/>
    <col min="9988" max="9988" width="18.7109375" style="4" customWidth="1"/>
    <col min="9989" max="9989" width="20.85546875" style="4" customWidth="1"/>
    <col min="9990" max="9990" width="0" style="4" hidden="1" customWidth="1"/>
    <col min="9991" max="9991" width="17" style="4" customWidth="1"/>
    <col min="9992" max="9992" width="15.7109375" style="4" customWidth="1"/>
    <col min="9993" max="9993" width="6.85546875" style="4" customWidth="1"/>
    <col min="9994" max="9995" width="15.28515625" style="4" customWidth="1"/>
    <col min="9996" max="9996" width="18.42578125" style="4" customWidth="1"/>
    <col min="9997" max="9997" width="0" style="4" hidden="1" customWidth="1"/>
    <col min="9998" max="10241" width="9.140625" style="4"/>
    <col min="10242" max="10242" width="28.85546875" style="4" customWidth="1"/>
    <col min="10243" max="10243" width="11" style="4" customWidth="1"/>
    <col min="10244" max="10244" width="18.7109375" style="4" customWidth="1"/>
    <col min="10245" max="10245" width="20.85546875" style="4" customWidth="1"/>
    <col min="10246" max="10246" width="0" style="4" hidden="1" customWidth="1"/>
    <col min="10247" max="10247" width="17" style="4" customWidth="1"/>
    <col min="10248" max="10248" width="15.7109375" style="4" customWidth="1"/>
    <col min="10249" max="10249" width="6.85546875" style="4" customWidth="1"/>
    <col min="10250" max="10251" width="15.28515625" style="4" customWidth="1"/>
    <col min="10252" max="10252" width="18.42578125" style="4" customWidth="1"/>
    <col min="10253" max="10253" width="0" style="4" hidden="1" customWidth="1"/>
    <col min="10254" max="10497" width="9.140625" style="4"/>
    <col min="10498" max="10498" width="28.85546875" style="4" customWidth="1"/>
    <col min="10499" max="10499" width="11" style="4" customWidth="1"/>
    <col min="10500" max="10500" width="18.7109375" style="4" customWidth="1"/>
    <col min="10501" max="10501" width="20.85546875" style="4" customWidth="1"/>
    <col min="10502" max="10502" width="0" style="4" hidden="1" customWidth="1"/>
    <col min="10503" max="10503" width="17" style="4" customWidth="1"/>
    <col min="10504" max="10504" width="15.7109375" style="4" customWidth="1"/>
    <col min="10505" max="10505" width="6.85546875" style="4" customWidth="1"/>
    <col min="10506" max="10507" width="15.28515625" style="4" customWidth="1"/>
    <col min="10508" max="10508" width="18.42578125" style="4" customWidth="1"/>
    <col min="10509" max="10509" width="0" style="4" hidden="1" customWidth="1"/>
    <col min="10510" max="10753" width="9.140625" style="4"/>
    <col min="10754" max="10754" width="28.85546875" style="4" customWidth="1"/>
    <col min="10755" max="10755" width="11" style="4" customWidth="1"/>
    <col min="10756" max="10756" width="18.7109375" style="4" customWidth="1"/>
    <col min="10757" max="10757" width="20.85546875" style="4" customWidth="1"/>
    <col min="10758" max="10758" width="0" style="4" hidden="1" customWidth="1"/>
    <col min="10759" max="10759" width="17" style="4" customWidth="1"/>
    <col min="10760" max="10760" width="15.7109375" style="4" customWidth="1"/>
    <col min="10761" max="10761" width="6.85546875" style="4" customWidth="1"/>
    <col min="10762" max="10763" width="15.28515625" style="4" customWidth="1"/>
    <col min="10764" max="10764" width="18.42578125" style="4" customWidth="1"/>
    <col min="10765" max="10765" width="0" style="4" hidden="1" customWidth="1"/>
    <col min="10766" max="11009" width="9.140625" style="4"/>
    <col min="11010" max="11010" width="28.85546875" style="4" customWidth="1"/>
    <col min="11011" max="11011" width="11" style="4" customWidth="1"/>
    <col min="11012" max="11012" width="18.7109375" style="4" customWidth="1"/>
    <col min="11013" max="11013" width="20.85546875" style="4" customWidth="1"/>
    <col min="11014" max="11014" width="0" style="4" hidden="1" customWidth="1"/>
    <col min="11015" max="11015" width="17" style="4" customWidth="1"/>
    <col min="11016" max="11016" width="15.7109375" style="4" customWidth="1"/>
    <col min="11017" max="11017" width="6.85546875" style="4" customWidth="1"/>
    <col min="11018" max="11019" width="15.28515625" style="4" customWidth="1"/>
    <col min="11020" max="11020" width="18.42578125" style="4" customWidth="1"/>
    <col min="11021" max="11021" width="0" style="4" hidden="1" customWidth="1"/>
    <col min="11022" max="11265" width="9.140625" style="4"/>
    <col min="11266" max="11266" width="28.85546875" style="4" customWidth="1"/>
    <col min="11267" max="11267" width="11" style="4" customWidth="1"/>
    <col min="11268" max="11268" width="18.7109375" style="4" customWidth="1"/>
    <col min="11269" max="11269" width="20.85546875" style="4" customWidth="1"/>
    <col min="11270" max="11270" width="0" style="4" hidden="1" customWidth="1"/>
    <col min="11271" max="11271" width="17" style="4" customWidth="1"/>
    <col min="11272" max="11272" width="15.7109375" style="4" customWidth="1"/>
    <col min="11273" max="11273" width="6.85546875" style="4" customWidth="1"/>
    <col min="11274" max="11275" width="15.28515625" style="4" customWidth="1"/>
    <col min="11276" max="11276" width="18.42578125" style="4" customWidth="1"/>
    <col min="11277" max="11277" width="0" style="4" hidden="1" customWidth="1"/>
    <col min="11278" max="11521" width="9.140625" style="4"/>
    <col min="11522" max="11522" width="28.85546875" style="4" customWidth="1"/>
    <col min="11523" max="11523" width="11" style="4" customWidth="1"/>
    <col min="11524" max="11524" width="18.7109375" style="4" customWidth="1"/>
    <col min="11525" max="11525" width="20.85546875" style="4" customWidth="1"/>
    <col min="11526" max="11526" width="0" style="4" hidden="1" customWidth="1"/>
    <col min="11527" max="11527" width="17" style="4" customWidth="1"/>
    <col min="11528" max="11528" width="15.7109375" style="4" customWidth="1"/>
    <col min="11529" max="11529" width="6.85546875" style="4" customWidth="1"/>
    <col min="11530" max="11531" width="15.28515625" style="4" customWidth="1"/>
    <col min="11532" max="11532" width="18.42578125" style="4" customWidth="1"/>
    <col min="11533" max="11533" width="0" style="4" hidden="1" customWidth="1"/>
    <col min="11534" max="11777" width="9.140625" style="4"/>
    <col min="11778" max="11778" width="28.85546875" style="4" customWidth="1"/>
    <col min="11779" max="11779" width="11" style="4" customWidth="1"/>
    <col min="11780" max="11780" width="18.7109375" style="4" customWidth="1"/>
    <col min="11781" max="11781" width="20.85546875" style="4" customWidth="1"/>
    <col min="11782" max="11782" width="0" style="4" hidden="1" customWidth="1"/>
    <col min="11783" max="11783" width="17" style="4" customWidth="1"/>
    <col min="11784" max="11784" width="15.7109375" style="4" customWidth="1"/>
    <col min="11785" max="11785" width="6.85546875" style="4" customWidth="1"/>
    <col min="11786" max="11787" width="15.28515625" style="4" customWidth="1"/>
    <col min="11788" max="11788" width="18.42578125" style="4" customWidth="1"/>
    <col min="11789" max="11789" width="0" style="4" hidden="1" customWidth="1"/>
    <col min="11790" max="12033" width="9.140625" style="4"/>
    <col min="12034" max="12034" width="28.85546875" style="4" customWidth="1"/>
    <col min="12035" max="12035" width="11" style="4" customWidth="1"/>
    <col min="12036" max="12036" width="18.7109375" style="4" customWidth="1"/>
    <col min="12037" max="12037" width="20.85546875" style="4" customWidth="1"/>
    <col min="12038" max="12038" width="0" style="4" hidden="1" customWidth="1"/>
    <col min="12039" max="12039" width="17" style="4" customWidth="1"/>
    <col min="12040" max="12040" width="15.7109375" style="4" customWidth="1"/>
    <col min="12041" max="12041" width="6.85546875" style="4" customWidth="1"/>
    <col min="12042" max="12043" width="15.28515625" style="4" customWidth="1"/>
    <col min="12044" max="12044" width="18.42578125" style="4" customWidth="1"/>
    <col min="12045" max="12045" width="0" style="4" hidden="1" customWidth="1"/>
    <col min="12046" max="12289" width="9.140625" style="4"/>
    <col min="12290" max="12290" width="28.85546875" style="4" customWidth="1"/>
    <col min="12291" max="12291" width="11" style="4" customWidth="1"/>
    <col min="12292" max="12292" width="18.7109375" style="4" customWidth="1"/>
    <col min="12293" max="12293" width="20.85546875" style="4" customWidth="1"/>
    <col min="12294" max="12294" width="0" style="4" hidden="1" customWidth="1"/>
    <col min="12295" max="12295" width="17" style="4" customWidth="1"/>
    <col min="12296" max="12296" width="15.7109375" style="4" customWidth="1"/>
    <col min="12297" max="12297" width="6.85546875" style="4" customWidth="1"/>
    <col min="12298" max="12299" width="15.28515625" style="4" customWidth="1"/>
    <col min="12300" max="12300" width="18.42578125" style="4" customWidth="1"/>
    <col min="12301" max="12301" width="0" style="4" hidden="1" customWidth="1"/>
    <col min="12302" max="12545" width="9.140625" style="4"/>
    <col min="12546" max="12546" width="28.85546875" style="4" customWidth="1"/>
    <col min="12547" max="12547" width="11" style="4" customWidth="1"/>
    <col min="12548" max="12548" width="18.7109375" style="4" customWidth="1"/>
    <col min="12549" max="12549" width="20.85546875" style="4" customWidth="1"/>
    <col min="12550" max="12550" width="0" style="4" hidden="1" customWidth="1"/>
    <col min="12551" max="12551" width="17" style="4" customWidth="1"/>
    <col min="12552" max="12552" width="15.7109375" style="4" customWidth="1"/>
    <col min="12553" max="12553" width="6.85546875" style="4" customWidth="1"/>
    <col min="12554" max="12555" width="15.28515625" style="4" customWidth="1"/>
    <col min="12556" max="12556" width="18.42578125" style="4" customWidth="1"/>
    <col min="12557" max="12557" width="0" style="4" hidden="1" customWidth="1"/>
    <col min="12558" max="12801" width="9.140625" style="4"/>
    <col min="12802" max="12802" width="28.85546875" style="4" customWidth="1"/>
    <col min="12803" max="12803" width="11" style="4" customWidth="1"/>
    <col min="12804" max="12804" width="18.7109375" style="4" customWidth="1"/>
    <col min="12805" max="12805" width="20.85546875" style="4" customWidth="1"/>
    <col min="12806" max="12806" width="0" style="4" hidden="1" customWidth="1"/>
    <col min="12807" max="12807" width="17" style="4" customWidth="1"/>
    <col min="12808" max="12808" width="15.7109375" style="4" customWidth="1"/>
    <col min="12809" max="12809" width="6.85546875" style="4" customWidth="1"/>
    <col min="12810" max="12811" width="15.28515625" style="4" customWidth="1"/>
    <col min="12812" max="12812" width="18.42578125" style="4" customWidth="1"/>
    <col min="12813" max="12813" width="0" style="4" hidden="1" customWidth="1"/>
    <col min="12814" max="13057" width="9.140625" style="4"/>
    <col min="13058" max="13058" width="28.85546875" style="4" customWidth="1"/>
    <col min="13059" max="13059" width="11" style="4" customWidth="1"/>
    <col min="13060" max="13060" width="18.7109375" style="4" customWidth="1"/>
    <col min="13061" max="13061" width="20.85546875" style="4" customWidth="1"/>
    <col min="13062" max="13062" width="0" style="4" hidden="1" customWidth="1"/>
    <col min="13063" max="13063" width="17" style="4" customWidth="1"/>
    <col min="13064" max="13064" width="15.7109375" style="4" customWidth="1"/>
    <col min="13065" max="13065" width="6.85546875" style="4" customWidth="1"/>
    <col min="13066" max="13067" width="15.28515625" style="4" customWidth="1"/>
    <col min="13068" max="13068" width="18.42578125" style="4" customWidth="1"/>
    <col min="13069" max="13069" width="0" style="4" hidden="1" customWidth="1"/>
    <col min="13070" max="13313" width="9.140625" style="4"/>
    <col min="13314" max="13314" width="28.85546875" style="4" customWidth="1"/>
    <col min="13315" max="13315" width="11" style="4" customWidth="1"/>
    <col min="13316" max="13316" width="18.7109375" style="4" customWidth="1"/>
    <col min="13317" max="13317" width="20.85546875" style="4" customWidth="1"/>
    <col min="13318" max="13318" width="0" style="4" hidden="1" customWidth="1"/>
    <col min="13319" max="13319" width="17" style="4" customWidth="1"/>
    <col min="13320" max="13320" width="15.7109375" style="4" customWidth="1"/>
    <col min="13321" max="13321" width="6.85546875" style="4" customWidth="1"/>
    <col min="13322" max="13323" width="15.28515625" style="4" customWidth="1"/>
    <col min="13324" max="13324" width="18.42578125" style="4" customWidth="1"/>
    <col min="13325" max="13325" width="0" style="4" hidden="1" customWidth="1"/>
    <col min="13326" max="13569" width="9.140625" style="4"/>
    <col min="13570" max="13570" width="28.85546875" style="4" customWidth="1"/>
    <col min="13571" max="13571" width="11" style="4" customWidth="1"/>
    <col min="13572" max="13572" width="18.7109375" style="4" customWidth="1"/>
    <col min="13573" max="13573" width="20.85546875" style="4" customWidth="1"/>
    <col min="13574" max="13574" width="0" style="4" hidden="1" customWidth="1"/>
    <col min="13575" max="13575" width="17" style="4" customWidth="1"/>
    <col min="13576" max="13576" width="15.7109375" style="4" customWidth="1"/>
    <col min="13577" max="13577" width="6.85546875" style="4" customWidth="1"/>
    <col min="13578" max="13579" width="15.28515625" style="4" customWidth="1"/>
    <col min="13580" max="13580" width="18.42578125" style="4" customWidth="1"/>
    <col min="13581" max="13581" width="0" style="4" hidden="1" customWidth="1"/>
    <col min="13582" max="13825" width="9.140625" style="4"/>
    <col min="13826" max="13826" width="28.85546875" style="4" customWidth="1"/>
    <col min="13827" max="13827" width="11" style="4" customWidth="1"/>
    <col min="13828" max="13828" width="18.7109375" style="4" customWidth="1"/>
    <col min="13829" max="13829" width="20.85546875" style="4" customWidth="1"/>
    <col min="13830" max="13830" width="0" style="4" hidden="1" customWidth="1"/>
    <col min="13831" max="13831" width="17" style="4" customWidth="1"/>
    <col min="13832" max="13832" width="15.7109375" style="4" customWidth="1"/>
    <col min="13833" max="13833" width="6.85546875" style="4" customWidth="1"/>
    <col min="13834" max="13835" width="15.28515625" style="4" customWidth="1"/>
    <col min="13836" max="13836" width="18.42578125" style="4" customWidth="1"/>
    <col min="13837" max="13837" width="0" style="4" hidden="1" customWidth="1"/>
    <col min="13838" max="14081" width="9.140625" style="4"/>
    <col min="14082" max="14082" width="28.85546875" style="4" customWidth="1"/>
    <col min="14083" max="14083" width="11" style="4" customWidth="1"/>
    <col min="14084" max="14084" width="18.7109375" style="4" customWidth="1"/>
    <col min="14085" max="14085" width="20.85546875" style="4" customWidth="1"/>
    <col min="14086" max="14086" width="0" style="4" hidden="1" customWidth="1"/>
    <col min="14087" max="14087" width="17" style="4" customWidth="1"/>
    <col min="14088" max="14088" width="15.7109375" style="4" customWidth="1"/>
    <col min="14089" max="14089" width="6.85546875" style="4" customWidth="1"/>
    <col min="14090" max="14091" width="15.28515625" style="4" customWidth="1"/>
    <col min="14092" max="14092" width="18.42578125" style="4" customWidth="1"/>
    <col min="14093" max="14093" width="0" style="4" hidden="1" customWidth="1"/>
    <col min="14094" max="14337" width="9.140625" style="4"/>
    <col min="14338" max="14338" width="28.85546875" style="4" customWidth="1"/>
    <col min="14339" max="14339" width="11" style="4" customWidth="1"/>
    <col min="14340" max="14340" width="18.7109375" style="4" customWidth="1"/>
    <col min="14341" max="14341" width="20.85546875" style="4" customWidth="1"/>
    <col min="14342" max="14342" width="0" style="4" hidden="1" customWidth="1"/>
    <col min="14343" max="14343" width="17" style="4" customWidth="1"/>
    <col min="14344" max="14344" width="15.7109375" style="4" customWidth="1"/>
    <col min="14345" max="14345" width="6.85546875" style="4" customWidth="1"/>
    <col min="14346" max="14347" width="15.28515625" style="4" customWidth="1"/>
    <col min="14348" max="14348" width="18.42578125" style="4" customWidth="1"/>
    <col min="14349" max="14349" width="0" style="4" hidden="1" customWidth="1"/>
    <col min="14350" max="14593" width="9.140625" style="4"/>
    <col min="14594" max="14594" width="28.85546875" style="4" customWidth="1"/>
    <col min="14595" max="14595" width="11" style="4" customWidth="1"/>
    <col min="14596" max="14596" width="18.7109375" style="4" customWidth="1"/>
    <col min="14597" max="14597" width="20.85546875" style="4" customWidth="1"/>
    <col min="14598" max="14598" width="0" style="4" hidden="1" customWidth="1"/>
    <col min="14599" max="14599" width="17" style="4" customWidth="1"/>
    <col min="14600" max="14600" width="15.7109375" style="4" customWidth="1"/>
    <col min="14601" max="14601" width="6.85546875" style="4" customWidth="1"/>
    <col min="14602" max="14603" width="15.28515625" style="4" customWidth="1"/>
    <col min="14604" max="14604" width="18.42578125" style="4" customWidth="1"/>
    <col min="14605" max="14605" width="0" style="4" hidden="1" customWidth="1"/>
    <col min="14606" max="14849" width="9.140625" style="4"/>
    <col min="14850" max="14850" width="28.85546875" style="4" customWidth="1"/>
    <col min="14851" max="14851" width="11" style="4" customWidth="1"/>
    <col min="14852" max="14852" width="18.7109375" style="4" customWidth="1"/>
    <col min="14853" max="14853" width="20.85546875" style="4" customWidth="1"/>
    <col min="14854" max="14854" width="0" style="4" hidden="1" customWidth="1"/>
    <col min="14855" max="14855" width="17" style="4" customWidth="1"/>
    <col min="14856" max="14856" width="15.7109375" style="4" customWidth="1"/>
    <col min="14857" max="14857" width="6.85546875" style="4" customWidth="1"/>
    <col min="14858" max="14859" width="15.28515625" style="4" customWidth="1"/>
    <col min="14860" max="14860" width="18.42578125" style="4" customWidth="1"/>
    <col min="14861" max="14861" width="0" style="4" hidden="1" customWidth="1"/>
    <col min="14862" max="15105" width="9.140625" style="4"/>
    <col min="15106" max="15106" width="28.85546875" style="4" customWidth="1"/>
    <col min="15107" max="15107" width="11" style="4" customWidth="1"/>
    <col min="15108" max="15108" width="18.7109375" style="4" customWidth="1"/>
    <col min="15109" max="15109" width="20.85546875" style="4" customWidth="1"/>
    <col min="15110" max="15110" width="0" style="4" hidden="1" customWidth="1"/>
    <col min="15111" max="15111" width="17" style="4" customWidth="1"/>
    <col min="15112" max="15112" width="15.7109375" style="4" customWidth="1"/>
    <col min="15113" max="15113" width="6.85546875" style="4" customWidth="1"/>
    <col min="15114" max="15115" width="15.28515625" style="4" customWidth="1"/>
    <col min="15116" max="15116" width="18.42578125" style="4" customWidth="1"/>
    <col min="15117" max="15117" width="0" style="4" hidden="1" customWidth="1"/>
    <col min="15118" max="15361" width="9.140625" style="4"/>
    <col min="15362" max="15362" width="28.85546875" style="4" customWidth="1"/>
    <col min="15363" max="15363" width="11" style="4" customWidth="1"/>
    <col min="15364" max="15364" width="18.7109375" style="4" customWidth="1"/>
    <col min="15365" max="15365" width="20.85546875" style="4" customWidth="1"/>
    <col min="15366" max="15366" width="0" style="4" hidden="1" customWidth="1"/>
    <col min="15367" max="15367" width="17" style="4" customWidth="1"/>
    <col min="15368" max="15368" width="15.7109375" style="4" customWidth="1"/>
    <col min="15369" max="15369" width="6.85546875" style="4" customWidth="1"/>
    <col min="15370" max="15371" width="15.28515625" style="4" customWidth="1"/>
    <col min="15372" max="15372" width="18.42578125" style="4" customWidth="1"/>
    <col min="15373" max="15373" width="0" style="4" hidden="1" customWidth="1"/>
    <col min="15374" max="15617" width="9.140625" style="4"/>
    <col min="15618" max="15618" width="28.85546875" style="4" customWidth="1"/>
    <col min="15619" max="15619" width="11" style="4" customWidth="1"/>
    <col min="15620" max="15620" width="18.7109375" style="4" customWidth="1"/>
    <col min="15621" max="15621" width="20.85546875" style="4" customWidth="1"/>
    <col min="15622" max="15622" width="0" style="4" hidden="1" customWidth="1"/>
    <col min="15623" max="15623" width="17" style="4" customWidth="1"/>
    <col min="15624" max="15624" width="15.7109375" style="4" customWidth="1"/>
    <col min="15625" max="15625" width="6.85546875" style="4" customWidth="1"/>
    <col min="15626" max="15627" width="15.28515625" style="4" customWidth="1"/>
    <col min="15628" max="15628" width="18.42578125" style="4" customWidth="1"/>
    <col min="15629" max="15629" width="0" style="4" hidden="1" customWidth="1"/>
    <col min="15630" max="15873" width="9.140625" style="4"/>
    <col min="15874" max="15874" width="28.85546875" style="4" customWidth="1"/>
    <col min="15875" max="15875" width="11" style="4" customWidth="1"/>
    <col min="15876" max="15876" width="18.7109375" style="4" customWidth="1"/>
    <col min="15877" max="15877" width="20.85546875" style="4" customWidth="1"/>
    <col min="15878" max="15878" width="0" style="4" hidden="1" customWidth="1"/>
    <col min="15879" max="15879" width="17" style="4" customWidth="1"/>
    <col min="15880" max="15880" width="15.7109375" style="4" customWidth="1"/>
    <col min="15881" max="15881" width="6.85546875" style="4" customWidth="1"/>
    <col min="15882" max="15883" width="15.28515625" style="4" customWidth="1"/>
    <col min="15884" max="15884" width="18.42578125" style="4" customWidth="1"/>
    <col min="15885" max="15885" width="0" style="4" hidden="1" customWidth="1"/>
    <col min="15886" max="16129" width="9.140625" style="4"/>
    <col min="16130" max="16130" width="28.85546875" style="4" customWidth="1"/>
    <col min="16131" max="16131" width="11" style="4" customWidth="1"/>
    <col min="16132" max="16132" width="18.7109375" style="4" customWidth="1"/>
    <col min="16133" max="16133" width="20.85546875" style="4" customWidth="1"/>
    <col min="16134" max="16134" width="0" style="4" hidden="1" customWidth="1"/>
    <col min="16135" max="16135" width="17" style="4" customWidth="1"/>
    <col min="16136" max="16136" width="15.7109375" style="4" customWidth="1"/>
    <col min="16137" max="16137" width="6.85546875" style="4" customWidth="1"/>
    <col min="16138" max="16139" width="15.28515625" style="4" customWidth="1"/>
    <col min="16140" max="16140" width="18.42578125" style="4" customWidth="1"/>
    <col min="16141" max="16141" width="0" style="4" hidden="1" customWidth="1"/>
    <col min="16142" max="16384" width="9.140625" style="4"/>
  </cols>
  <sheetData>
    <row r="1" spans="1:13" s="1" customFormat="1" ht="33" x14ac:dyDescent="0.25">
      <c r="A1" s="48" t="s">
        <v>34</v>
      </c>
      <c r="B1" s="2"/>
      <c r="C1" s="3"/>
      <c r="D1" s="3"/>
      <c r="E1" s="3"/>
      <c r="F1" s="3"/>
      <c r="J1" s="2"/>
      <c r="K1" s="3"/>
    </row>
    <row r="2" spans="1:13" s="1" customFormat="1" x14ac:dyDescent="0.25">
      <c r="A2" s="1" t="s">
        <v>35</v>
      </c>
      <c r="B2" s="2"/>
      <c r="C2" s="3"/>
      <c r="D2" s="3"/>
      <c r="E2" s="3"/>
      <c r="F2" s="3"/>
      <c r="J2" s="2"/>
      <c r="K2" s="3"/>
    </row>
    <row r="3" spans="1:13" s="7" customFormat="1" ht="20.25" x14ac:dyDescent="0.3">
      <c r="A3" s="67" t="s">
        <v>38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</row>
    <row r="5" spans="1:13" s="33" customFormat="1" ht="42" customHeight="1" x14ac:dyDescent="0.25">
      <c r="A5" s="8" t="s">
        <v>1</v>
      </c>
      <c r="B5" s="37" t="s">
        <v>2</v>
      </c>
      <c r="C5" s="10" t="s">
        <v>0</v>
      </c>
      <c r="D5" s="10" t="s">
        <v>18</v>
      </c>
      <c r="E5" s="49" t="s">
        <v>21</v>
      </c>
      <c r="F5" s="49" t="s">
        <v>33</v>
      </c>
      <c r="G5" s="8" t="s">
        <v>3</v>
      </c>
      <c r="H5" s="8" t="s">
        <v>19</v>
      </c>
      <c r="I5" s="38" t="s">
        <v>20</v>
      </c>
      <c r="J5" s="9" t="s">
        <v>4</v>
      </c>
      <c r="K5" s="10" t="s">
        <v>5</v>
      </c>
      <c r="L5" s="8" t="s">
        <v>22</v>
      </c>
      <c r="M5" s="38" t="s">
        <v>16</v>
      </c>
    </row>
    <row r="6" spans="1:13" s="1" customFormat="1" hidden="1" x14ac:dyDescent="0.25">
      <c r="A6" s="11" t="s">
        <v>6</v>
      </c>
      <c r="B6" s="12">
        <f>C6/C16</f>
        <v>0</v>
      </c>
      <c r="C6" s="13">
        <f>+C7</f>
        <v>0</v>
      </c>
      <c r="D6" s="13"/>
      <c r="E6" s="13"/>
      <c r="F6" s="13"/>
      <c r="G6" s="14">
        <f>+B6*G16</f>
        <v>0</v>
      </c>
      <c r="H6" s="14"/>
      <c r="I6" s="14"/>
      <c r="J6" s="15">
        <v>0.2</v>
      </c>
      <c r="K6" s="13">
        <f>+J6*G6</f>
        <v>0</v>
      </c>
      <c r="L6" s="16">
        <v>0</v>
      </c>
      <c r="M6" s="14">
        <f>+K6-L6</f>
        <v>0</v>
      </c>
    </row>
    <row r="7" spans="1:13" ht="15.75" customHeight="1" x14ac:dyDescent="0.25">
      <c r="A7" s="17"/>
      <c r="B7" s="18"/>
      <c r="C7" s="19"/>
      <c r="D7" s="19"/>
      <c r="E7" s="19"/>
      <c r="F7" s="19"/>
      <c r="G7" s="17"/>
      <c r="H7" s="17"/>
      <c r="I7" s="17"/>
      <c r="J7" s="20"/>
      <c r="K7" s="19"/>
      <c r="L7" s="17"/>
      <c r="M7" s="17"/>
    </row>
    <row r="8" spans="1:13" s="1" customFormat="1" x14ac:dyDescent="0.25">
      <c r="A8" s="39" t="s">
        <v>32</v>
      </c>
      <c r="B8" s="36">
        <f>C8/C16</f>
        <v>0.76138636206920762</v>
      </c>
      <c r="C8" s="13">
        <f>SUM(C9:C12)</f>
        <v>391829588</v>
      </c>
      <c r="D8" s="13">
        <f>SUM(D9:D12)</f>
        <v>364129813</v>
      </c>
      <c r="E8" s="13">
        <f>E16*B8</f>
        <v>2517904.6993628698</v>
      </c>
      <c r="F8" s="13">
        <f>F16*B8</f>
        <v>707708.62354332849</v>
      </c>
      <c r="G8" s="14">
        <f>C8-D8-E8-F8</f>
        <v>24474161.6770938</v>
      </c>
      <c r="H8" s="14">
        <v>0</v>
      </c>
      <c r="I8" s="14">
        <f>G8-H8</f>
        <v>24474161.6770938</v>
      </c>
      <c r="J8" s="15">
        <v>0.17</v>
      </c>
      <c r="K8" s="13">
        <f>I8*J8</f>
        <v>4160607.4851059462</v>
      </c>
      <c r="L8" s="14">
        <v>0</v>
      </c>
      <c r="M8" s="14">
        <f>K8-L8</f>
        <v>4160607.4851059462</v>
      </c>
    </row>
    <row r="9" spans="1:13" x14ac:dyDescent="0.25">
      <c r="A9" s="17">
        <v>5111</v>
      </c>
      <c r="B9" s="18"/>
      <c r="C9" s="19"/>
      <c r="D9" s="19"/>
      <c r="E9" s="19"/>
      <c r="F9" s="19"/>
      <c r="G9" s="17"/>
      <c r="H9" s="17"/>
      <c r="I9" s="17"/>
      <c r="J9" s="20"/>
      <c r="K9" s="19"/>
      <c r="L9" s="17"/>
      <c r="M9" s="14">
        <f t="shared" ref="M9:M12" si="0">K9-L9</f>
        <v>0</v>
      </c>
    </row>
    <row r="10" spans="1:13" x14ac:dyDescent="0.25">
      <c r="A10" s="17">
        <v>5112</v>
      </c>
      <c r="B10" s="18"/>
      <c r="C10" s="19">
        <f>'BANG KE DOANH THU CT 2022'!D3</f>
        <v>391821296</v>
      </c>
      <c r="D10" s="19">
        <f>'BANG KE DOANH THU CT 2022'!E3</f>
        <v>364129813</v>
      </c>
      <c r="E10" s="19"/>
      <c r="F10" s="19"/>
      <c r="G10" s="17"/>
      <c r="H10" s="17"/>
      <c r="I10" s="17"/>
      <c r="J10" s="20"/>
      <c r="K10" s="19"/>
      <c r="L10" s="17"/>
      <c r="M10" s="14">
        <f t="shared" si="0"/>
        <v>0</v>
      </c>
    </row>
    <row r="11" spans="1:13" x14ac:dyDescent="0.25">
      <c r="A11" s="17">
        <v>5151</v>
      </c>
      <c r="B11" s="18"/>
      <c r="C11" s="19">
        <v>8292</v>
      </c>
      <c r="D11" s="19"/>
      <c r="E11" s="19"/>
      <c r="F11" s="19"/>
      <c r="G11" s="17"/>
      <c r="H11" s="17"/>
      <c r="I11" s="17"/>
      <c r="J11" s="20"/>
      <c r="K11" s="19"/>
      <c r="L11" s="17"/>
      <c r="M11" s="14">
        <f t="shared" si="0"/>
        <v>0</v>
      </c>
    </row>
    <row r="12" spans="1:13" x14ac:dyDescent="0.25">
      <c r="A12" s="17">
        <v>711</v>
      </c>
      <c r="B12" s="18"/>
      <c r="C12" s="19">
        <v>0</v>
      </c>
      <c r="D12" s="19"/>
      <c r="E12" s="19"/>
      <c r="F12" s="19"/>
      <c r="G12" s="17"/>
      <c r="H12" s="17"/>
      <c r="I12" s="17"/>
      <c r="J12" s="20"/>
      <c r="K12" s="19"/>
      <c r="L12" s="17"/>
      <c r="M12" s="14">
        <f t="shared" si="0"/>
        <v>0</v>
      </c>
    </row>
    <row r="13" spans="1:13" s="1" customFormat="1" x14ac:dyDescent="0.25">
      <c r="A13" s="21" t="s">
        <v>31</v>
      </c>
      <c r="B13" s="36">
        <f>C13/C16</f>
        <v>0.2386136379307924</v>
      </c>
      <c r="C13" s="13">
        <f>+C14+C15</f>
        <v>122796898</v>
      </c>
      <c r="D13" s="13">
        <f>SUM(D14:D15)</f>
        <v>97042388</v>
      </c>
      <c r="E13" s="13">
        <f>E16*B13</f>
        <v>789095.30063713051</v>
      </c>
      <c r="F13" s="13">
        <f>F16*B13</f>
        <v>221791.37645667154</v>
      </c>
      <c r="G13" s="14">
        <f>C13-D13-E13-F13</f>
        <v>24743623.3229062</v>
      </c>
      <c r="H13" s="14">
        <v>0</v>
      </c>
      <c r="I13" s="14">
        <f>G13-H13</f>
        <v>24743623.3229062</v>
      </c>
      <c r="J13" s="15">
        <v>0.1</v>
      </c>
      <c r="K13" s="13">
        <f>I13*J13</f>
        <v>2474362.3322906201</v>
      </c>
      <c r="L13" s="14">
        <v>2474362</v>
      </c>
      <c r="M13" s="14">
        <f>K13-L13</f>
        <v>0.3322906200774014</v>
      </c>
    </row>
    <row r="14" spans="1:13" x14ac:dyDescent="0.25">
      <c r="A14" s="17">
        <v>5112</v>
      </c>
      <c r="B14" s="18"/>
      <c r="C14" s="19">
        <f>'BANG KE DOANH THU CT 2022'!D5</f>
        <v>122796898</v>
      </c>
      <c r="D14" s="19">
        <f>'BANG KE DOANH THU CT 2022'!E5</f>
        <v>97042388</v>
      </c>
      <c r="E14" s="19"/>
      <c r="F14" s="19"/>
      <c r="G14" s="17"/>
      <c r="H14" s="17"/>
      <c r="I14" s="17"/>
      <c r="J14" s="20"/>
      <c r="K14" s="19"/>
      <c r="L14" s="17"/>
      <c r="M14" s="17"/>
    </row>
    <row r="15" spans="1:13" x14ac:dyDescent="0.25">
      <c r="A15" s="17">
        <v>5113</v>
      </c>
      <c r="B15" s="18"/>
      <c r="C15" s="19"/>
      <c r="D15" s="19"/>
      <c r="E15" s="19"/>
      <c r="F15" s="19"/>
      <c r="G15" s="17"/>
      <c r="H15" s="17"/>
      <c r="I15" s="17"/>
      <c r="J15" s="20"/>
      <c r="K15" s="19"/>
      <c r="L15" s="17"/>
      <c r="M15" s="17"/>
    </row>
    <row r="16" spans="1:13" s="1" customFormat="1" x14ac:dyDescent="0.25">
      <c r="A16" s="16" t="s">
        <v>7</v>
      </c>
      <c r="B16" s="12">
        <f>B8+B13</f>
        <v>1</v>
      </c>
      <c r="C16" s="13">
        <f>C8+C13</f>
        <v>514626486</v>
      </c>
      <c r="D16" s="13">
        <f>D8+D13</f>
        <v>461172201</v>
      </c>
      <c r="E16" s="13">
        <v>3307000</v>
      </c>
      <c r="F16" s="13">
        <v>929500</v>
      </c>
      <c r="G16" s="13">
        <f>G8+G13</f>
        <v>49217785</v>
      </c>
      <c r="H16" s="13"/>
      <c r="I16" s="13">
        <f>I8+I13</f>
        <v>49217785</v>
      </c>
      <c r="J16" s="13"/>
      <c r="K16" s="13">
        <f>K8+K13</f>
        <v>6634969.8173965663</v>
      </c>
      <c r="L16" s="13">
        <f>L8</f>
        <v>0</v>
      </c>
      <c r="M16" s="13">
        <f>M13+M8</f>
        <v>4160607.8173965663</v>
      </c>
    </row>
    <row r="17" spans="1:13" hidden="1" x14ac:dyDescent="0.25">
      <c r="G17" s="22" t="e">
        <f>+C16-#REF!-#REF!-#REF!</f>
        <v>#REF!</v>
      </c>
      <c r="H17" s="22"/>
      <c r="I17" s="22"/>
    </row>
    <row r="18" spans="1:13" hidden="1" x14ac:dyDescent="0.25">
      <c r="C18" s="6">
        <v>10793007946</v>
      </c>
      <c r="G18" s="6">
        <v>720227155</v>
      </c>
      <c r="H18" s="6"/>
      <c r="I18" s="6"/>
      <c r="L18" s="4">
        <v>74441349</v>
      </c>
    </row>
    <row r="19" spans="1:13" hidden="1" x14ac:dyDescent="0.25">
      <c r="C19" s="6">
        <v>454939007</v>
      </c>
      <c r="G19" s="22">
        <f>G18-G16</f>
        <v>671009370</v>
      </c>
      <c r="H19" s="22"/>
      <c r="I19" s="22"/>
      <c r="L19" s="22">
        <f>+L18-M16</f>
        <v>70280741.182603434</v>
      </c>
    </row>
    <row r="20" spans="1:13" hidden="1" x14ac:dyDescent="0.25">
      <c r="C20" s="6">
        <v>781954</v>
      </c>
      <c r="K20" s="6">
        <v>54680132</v>
      </c>
    </row>
    <row r="21" spans="1:13" hidden="1" x14ac:dyDescent="0.25">
      <c r="C21" s="6">
        <f>+C20+C19+C18</f>
        <v>11248728907</v>
      </c>
      <c r="G21" s="6"/>
      <c r="H21" s="6"/>
      <c r="I21" s="6"/>
      <c r="K21" s="6">
        <f>+K20-K6</f>
        <v>54680132</v>
      </c>
    </row>
    <row r="22" spans="1:13" ht="29.25" customHeight="1" x14ac:dyDescent="0.25">
      <c r="G22" s="22"/>
      <c r="H22" s="22"/>
      <c r="I22" s="22"/>
      <c r="J22" s="27"/>
      <c r="K22" s="68" t="s">
        <v>36</v>
      </c>
      <c r="L22" s="68"/>
      <c r="M22" s="68"/>
    </row>
    <row r="23" spans="1:13" x14ac:dyDescent="0.25">
      <c r="A23" s="69" t="s">
        <v>8</v>
      </c>
      <c r="B23" s="69"/>
      <c r="D23" s="42"/>
      <c r="E23" s="42"/>
      <c r="F23" s="42">
        <f>I16*20%</f>
        <v>9843557</v>
      </c>
      <c r="G23" s="43"/>
      <c r="H23" s="43"/>
      <c r="I23" s="43"/>
      <c r="K23" s="64" t="s">
        <v>9</v>
      </c>
      <c r="L23" s="64"/>
      <c r="M23" s="64"/>
    </row>
    <row r="24" spans="1:13" x14ac:dyDescent="0.25">
      <c r="D24" s="42"/>
      <c r="E24" s="42"/>
      <c r="F24" s="42">
        <f>K8</f>
        <v>4160607.4851059462</v>
      </c>
      <c r="G24" s="44"/>
      <c r="H24" s="44"/>
      <c r="I24" s="44"/>
    </row>
    <row r="25" spans="1:13" x14ac:dyDescent="0.25">
      <c r="D25" s="42"/>
      <c r="E25" s="42"/>
      <c r="F25" s="42">
        <f>K13</f>
        <v>2474362.3322906201</v>
      </c>
      <c r="G25" s="42"/>
      <c r="H25" s="42"/>
      <c r="I25" s="42"/>
    </row>
    <row r="26" spans="1:13" x14ac:dyDescent="0.25">
      <c r="D26" s="5"/>
      <c r="F26" s="6">
        <f>F24+F25</f>
        <v>6634969.8173965663</v>
      </c>
      <c r="G26" s="6"/>
      <c r="H26" s="6"/>
      <c r="I26" s="6"/>
    </row>
    <row r="27" spans="1:13" x14ac:dyDescent="0.25">
      <c r="D27" s="5"/>
      <c r="F27" s="6">
        <f>F23-F26</f>
        <v>3208587.1826034337</v>
      </c>
      <c r="G27" s="41"/>
      <c r="H27" s="41"/>
      <c r="I27" s="41"/>
      <c r="L27" s="47" t="s">
        <v>39</v>
      </c>
    </row>
    <row r="28" spans="1:13" x14ac:dyDescent="0.25">
      <c r="D28" s="46"/>
      <c r="G28" s="6"/>
      <c r="H28" s="6"/>
      <c r="I28" s="6"/>
    </row>
    <row r="29" spans="1:13" s="1" customFormat="1" x14ac:dyDescent="0.25">
      <c r="B29" s="5"/>
      <c r="C29" s="6"/>
      <c r="D29" s="45"/>
      <c r="E29" s="3"/>
      <c r="F29" s="3"/>
      <c r="G29" s="3"/>
      <c r="H29" s="3"/>
      <c r="I29" s="3"/>
      <c r="J29" s="2"/>
      <c r="K29" s="64"/>
      <c r="L29" s="64"/>
      <c r="M29" s="64"/>
    </row>
    <row r="30" spans="1:13" x14ac:dyDescent="0.25">
      <c r="G30" s="22"/>
      <c r="H30" s="22"/>
      <c r="I30" s="22"/>
    </row>
  </sheetData>
  <mergeCells count="5">
    <mergeCell ref="A3:M3"/>
    <mergeCell ref="K22:M22"/>
    <mergeCell ref="A23:B23"/>
    <mergeCell ref="K23:M23"/>
    <mergeCell ref="K29:M29"/>
  </mergeCells>
  <pageMargins left="0.25" right="0.25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2022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2024-03-16T03:39:21Z</dcterms:modified>
</cp:coreProperties>
</file>