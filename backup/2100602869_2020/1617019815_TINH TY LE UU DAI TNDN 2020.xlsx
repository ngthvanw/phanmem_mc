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285" windowWidth="14805" windowHeight="7830" firstSheet="1" activeTab="2"/>
  </bookViews>
  <sheets>
    <sheet name="Sheet1" sheetId="4" state="hidden" r:id="rId1"/>
    <sheet name="DS CONG TRINH 2020" sheetId="5" r:id="rId2"/>
    <sheet name="TINH THUE TNDN" sheetId="3" r:id="rId3"/>
  </sheets>
  <calcPr calcId="145621"/>
</workbook>
</file>

<file path=xl/calcChain.xml><?xml version="1.0" encoding="utf-8"?>
<calcChain xmlns="http://schemas.openxmlformats.org/spreadsheetml/2006/main">
  <c r="K15" i="3" l="1"/>
  <c r="J15" i="3"/>
  <c r="I7" i="3"/>
  <c r="I9" i="3"/>
  <c r="K9" i="3"/>
  <c r="I12" i="3"/>
  <c r="I15" i="3"/>
  <c r="C11" i="3" l="1"/>
  <c r="C10" i="3"/>
  <c r="F29" i="5"/>
  <c r="F28" i="5"/>
  <c r="C8" i="3"/>
  <c r="D30" i="5"/>
  <c r="D5" i="5"/>
  <c r="D31" i="5" s="1"/>
  <c r="D22" i="4" l="1"/>
  <c r="C20" i="4"/>
  <c r="D18" i="4"/>
  <c r="C9" i="4"/>
  <c r="C7" i="4"/>
  <c r="C15" i="4" s="1"/>
  <c r="I5" i="4"/>
  <c r="D16" i="4" l="1"/>
  <c r="B12" i="4"/>
  <c r="D12" i="4" s="1"/>
  <c r="F12" i="4" s="1"/>
  <c r="B9" i="4"/>
  <c r="D9" i="4" s="1"/>
  <c r="B7" i="4"/>
  <c r="D7" i="4" s="1"/>
  <c r="D22" i="3"/>
  <c r="C9" i="3"/>
  <c r="F9" i="4" l="1"/>
  <c r="D25" i="4" s="1"/>
  <c r="J22" i="4"/>
  <c r="J23" i="4" s="1"/>
  <c r="I4" i="4"/>
  <c r="F7" i="4"/>
  <c r="G12" i="4"/>
  <c r="H12" i="4" s="1"/>
  <c r="F15" i="4"/>
  <c r="D23" i="4" s="1"/>
  <c r="G9" i="4"/>
  <c r="H9" i="4" s="1"/>
  <c r="C7" i="3"/>
  <c r="C20" i="3"/>
  <c r="I5" i="3"/>
  <c r="F20" i="4" l="1"/>
  <c r="H7" i="4"/>
  <c r="H15" i="4" s="1"/>
  <c r="G18" i="4" s="1"/>
  <c r="G15" i="4"/>
  <c r="C15" i="3"/>
  <c r="B12" i="3" s="1"/>
  <c r="D12" i="3" s="1"/>
  <c r="B7" i="3" l="1"/>
  <c r="D7" i="3" s="1"/>
  <c r="B9" i="3"/>
  <c r="D9" i="3" s="1"/>
  <c r="D16" i="3"/>
  <c r="F9" i="3" l="1"/>
  <c r="G9" i="3" s="1"/>
  <c r="H9" i="3" l="1"/>
  <c r="F12" i="3" l="1"/>
  <c r="F7" i="3"/>
  <c r="I4" i="3"/>
  <c r="G12" i="3" l="1"/>
  <c r="D25" i="3"/>
  <c r="D18" i="3"/>
  <c r="F15" i="3"/>
  <c r="D23" i="3" s="1"/>
  <c r="G15" i="3"/>
  <c r="H7" i="3"/>
  <c r="F20" i="3"/>
  <c r="H12" i="3" l="1"/>
  <c r="H15" i="3" s="1"/>
  <c r="G18" i="3" l="1"/>
</calcChain>
</file>

<file path=xl/sharedStrings.xml><?xml version="1.0" encoding="utf-8"?>
<sst xmlns="http://schemas.openxmlformats.org/spreadsheetml/2006/main" count="103" uniqueCount="82">
  <si>
    <t>Doanh thu</t>
  </si>
  <si>
    <t xml:space="preserve">Doanh thu </t>
  </si>
  <si>
    <t>Tỉ lệ / DT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</si>
  <si>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</si>
  <si>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</si>
  <si>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</si>
  <si>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</si>
  <si>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</si>
  <si>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</si>
  <si>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</si>
  <si>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</si>
  <si>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</si>
  <si>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</si>
  <si>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TS 20%</t>
  </si>
  <si>
    <t>Chênh lệch</t>
  </si>
  <si>
    <t>CÔNG TY TNHH MTV TVXD THANH TÂN</t>
  </si>
  <si>
    <t>MST: 2100602869</t>
  </si>
  <si>
    <t>Trà Vinh, ngày 31 tháng 12 năm 2019</t>
  </si>
  <si>
    <t>BẢNG XÁC ĐỊNH THU NHẬP CHỊU THUẾ TNDN NĂM 2019</t>
  </si>
  <si>
    <t>TNCT</t>
  </si>
  <si>
    <t>DANH SÁCH CÔNG TRÌNH 2019</t>
  </si>
  <si>
    <t>STT</t>
  </si>
  <si>
    <t>Mã CT</t>
  </si>
  <si>
    <t>Tên công trình, dịch vụ</t>
  </si>
  <si>
    <t>Doanh thu thuần</t>
  </si>
  <si>
    <t>----ĐỊA BÀN KHÔNG ƯU ĐÃI</t>
  </si>
  <si>
    <t>----ĐỊA BÀN KHÓ KHĂN</t>
  </si>
  <si>
    <t>TỔNG CỔNG</t>
  </si>
  <si>
    <t>GSTC-106</t>
  </si>
  <si>
    <t>  2020_TVGS: Gia cố 04 đoạn đê bao Cồn Hô, ấp Mỹ Hiệp A và ấp Mỹ Hiệp, xã Đức Mỹ</t>
  </si>
  <si>
    <t>GSTC-109</t>
  </si>
  <si>
    <t>  TVGS TCCT: Đầu tư xây dựng mới nhà văn hóa ấp Trung và ấp Hạ, xã Đại Phước 03/2020/HĐ-GS ngày 03/11/2020)</t>
  </si>
  <si>
    <t>BCKTKT-056</t>
  </si>
  <si>
    <t>  2020_BCKTKTCT: Nhà Văn hóa ấp Nhứt</t>
  </si>
  <si>
    <t>GSTC-098</t>
  </si>
  <si>
    <t>  2020_GSTC XDCT Sửa chữa nâng cấp khu hành chính xã Tân Hùng</t>
  </si>
  <si>
    <t>GSTC-099</t>
  </si>
  <si>
    <t>  2020_TVGS TCXD: Đường đan cặp kênh Thống Nhất</t>
  </si>
  <si>
    <t>GSTC-100</t>
  </si>
  <si>
    <t>  2020_GSTC: Lát gạch khu vui chơi giải trí xã Kim Hoà</t>
  </si>
  <si>
    <t>GSTC-101</t>
  </si>
  <si>
    <t>  2020_GDTC: Đường đan khu dân cư ấp Sóc Chuối</t>
  </si>
  <si>
    <t>GSTC-102</t>
  </si>
  <si>
    <t>  2020_GSTC: Đường đan khu dân cư ấp Hoà Lục</t>
  </si>
  <si>
    <t>GSTC-103</t>
  </si>
  <si>
    <t>  2020_GSTC: Nâng cấp mở rộng đường đan ấp Kim Hoà giáp Vinh Kim</t>
  </si>
  <si>
    <t>GSTC-104</t>
  </si>
  <si>
    <t>  2020_GSTC: Gia cố đê bao ấp Đại Đức và ấp Hiệp Mỹ A</t>
  </si>
  <si>
    <t>GSTC-105</t>
  </si>
  <si>
    <t>  2020_GSTC: Đường nhựa GTNT ấp Cao Một xã Tân Hoà (GĐ 2)</t>
  </si>
  <si>
    <t>GSTC-107</t>
  </si>
  <si>
    <t>  2020_TVGS: Đường đal liên ấp Kim Hòa - ấp Giữa</t>
  </si>
  <si>
    <t>GSTC-108</t>
  </si>
  <si>
    <t>  2020_TVGS: Nhà văn hóa ấp Nhứt</t>
  </si>
  <si>
    <t>GSTC-110</t>
  </si>
  <si>
    <t>  TVGS TCXDCT: Nâng cấp đường vào vòng nguyên liệu dừa ấp Nhì - Te Te 2, xã Tân Hùng</t>
  </si>
  <si>
    <t>KSCT-014</t>
  </si>
  <si>
    <t>  TVKS, LBCKTKT: Đường nhựa Ấp Trem, xã Tân Hòa (từ cống Trạm Lớn - Tỉnh Lộ 915)</t>
  </si>
  <si>
    <t>TCXD-001</t>
  </si>
  <si>
    <t>  2020_Sửa chữa, cải tạo CQ BQL khu kinh tế Trà Vinh HĐ 01/HDKT-2020 ngày 13/02/2020</t>
  </si>
  <si>
    <t>TCXD-002</t>
  </si>
  <si>
    <t>  2020_TCXD Gia cố bờ kè bằng cọc dừa (GĐ 1) 01/2020/HD-TT-TB ngày 05/02/2020</t>
  </si>
  <si>
    <t>TCXD-003</t>
  </si>
  <si>
    <t>  2020_TCXD: Công ty CP Trà Bắc - Xí nghiệp Rạch Lọp. Hạng mục: Nạo vét kênh thuộc HĐ 02/2020/HĐ-TT-TB 06/03/2020</t>
  </si>
  <si>
    <t>TCXD-004</t>
  </si>
  <si>
    <t>  2020_TCXD: Công ty CP Trà Bắc hạng mục: Gia cố bờ kè bằng cọc dừa ( GĐ 2) theo hợp đồng số 03/HĐ-TT-TB ngày 06/04/2020</t>
  </si>
  <si>
    <t>TTBV-004</t>
  </si>
  <si>
    <t>  2020_TTBV và dự toán công trình: Nhà làm việc UBMTTQ huyện</t>
  </si>
  <si>
    <t>TVTK-011</t>
  </si>
  <si>
    <t>  TVTK TCXD: Đường nhựa GTNT ấp Cao Một, xã Tân Hòa (GĐ 2)</t>
  </si>
  <si>
    <t>TVTK-012</t>
  </si>
  <si>
    <t>  2020_TVKS và LBCKTKT: Đường đan từ đường nhựa ấp 3 đến kênh ĐTN 3 ấp Cái Già Trên, xã Hiệp Mỹ Đông, huyện Cầu Ngang</t>
  </si>
  <si>
    <t>TVTK-013</t>
  </si>
  <si>
    <t>  2020_TVKS và LBCKTKT: Đường nối hương lộ 34 đến kênh Mặt Sẫm, K6, TT. Cầu Quan</t>
  </si>
  <si>
    <t>TVTK-014</t>
  </si>
  <si>
    <t>  2020_TVTK và LBCKT kỹ thuật CT: Đường đal từ nhà ông Thạch Thanh Dân đến nhà ông Thạch Chánh, xã Thạnh Hòa Sơn</t>
  </si>
  <si>
    <t>TVTK-015</t>
  </si>
  <si>
    <t>  2020_TVTK: Đường đal ấp Trà Cú B nối tiếp (từ nhà Son Ni đến Diệp Rân), xã Kim Sơn</t>
  </si>
  <si>
    <t>TVTK-016</t>
  </si>
  <si>
    <t>  2020_TVTK: Đường nhựa ấp Thanh Xuyên - Đan Kosla xã Kim Sơn</t>
  </si>
  <si>
    <t>Giảm 30%</t>
  </si>
  <si>
    <t>Số thuế còn phải nộp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</si>
</sst>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sz val="10"/>
      <color rgb="FF000000"/>
      <name val="Times"/>
      <family val="1"/>
    </font>
    <font>
      <b/>
      <sz val="11"/>
      <color rgb="FF000000"/>
      <name val="Times"/>
      <family val="1"/>
    </font>
    <font>
      <sz val="10"/>
      <color rgb="FF000000"/>
      <name val="Times"/>
      <family val="1"/>
    </font>
    <font>
      <sz val="11"/>
      <color rgb="FF000000"/>
      <name val="Times"/>
      <family val="1"/>
    </font>
    <font>
      <sz val="11"/>
      <color theme="1"/>
      <name val="Times"/>
      <family val="1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165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5" fontId="3" fillId="0" borderId="0" xfId="0" applyNumberFormat="1" applyFont="1"/>
    <xf numFmtId="165" fontId="3" fillId="0" borderId="0" xfId="1" applyNumberFormat="1" applyFont="1" applyAlignment="1"/>
    <xf numFmtId="0" fontId="2" fillId="0" borderId="0" xfId="0" applyFont="1" applyAlignment="1">
      <alignment horizontal="center"/>
    </xf>
    <xf numFmtId="166" fontId="2" fillId="0" borderId="0" xfId="1" applyNumberFormat="1" applyFont="1"/>
    <xf numFmtId="166" fontId="4" fillId="0" borderId="0" xfId="1" applyNumberFormat="1" applyFont="1"/>
    <xf numFmtId="166" fontId="3" fillId="0" borderId="0" xfId="1" applyNumberFormat="1" applyFont="1"/>
    <xf numFmtId="166" fontId="2" fillId="0" borderId="0" xfId="1" applyNumberFormat="1" applyFont="1" applyAlignment="1">
      <alignment horizontal="center"/>
    </xf>
    <xf numFmtId="166" fontId="3" fillId="5" borderId="0" xfId="1" applyNumberFormat="1" applyFont="1" applyFill="1"/>
    <xf numFmtId="0" fontId="6" fillId="0" borderId="0" xfId="0" applyFont="1"/>
    <xf numFmtId="0" fontId="7" fillId="0" borderId="1" xfId="0" applyFont="1" applyBorder="1" applyAlignment="1">
      <alignment wrapText="1"/>
    </xf>
    <xf numFmtId="0" fontId="8" fillId="0" borderId="0" xfId="0" applyFont="1"/>
    <xf numFmtId="3" fontId="7" fillId="0" borderId="1" xfId="0" applyNumberFormat="1" applyFont="1" applyBorder="1" applyAlignment="1">
      <alignment wrapText="1"/>
    </xf>
    <xf numFmtId="3" fontId="5" fillId="0" borderId="1" xfId="0" applyNumberFormat="1" applyFont="1" applyBorder="1" applyAlignment="1">
      <alignment wrapText="1"/>
    </xf>
    <xf numFmtId="0" fontId="9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wrapText="1"/>
    </xf>
    <xf numFmtId="3" fontId="8" fillId="0" borderId="0" xfId="0" applyNumberFormat="1" applyFont="1"/>
    <xf numFmtId="0" fontId="4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J18" sqref="J18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10" width="16.5703125" style="31" customWidth="1"/>
    <col min="11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10" s="1" customFormat="1" x14ac:dyDescent="0.25">
      <c r="A1" s="1" t="s">
        <v>15</v>
      </c>
      <c r="B1" s="2"/>
      <c r="C1" s="3"/>
      <c r="E1" s="2"/>
      <c r="F1" s="3"/>
      <c r="I1" s="3"/>
      <c r="J1" s="29"/>
    </row>
    <row r="2" spans="1:10" s="1" customFormat="1" ht="15" x14ac:dyDescent="0.25">
      <c r="A2" s="1" t="s">
        <v>16</v>
      </c>
      <c r="B2" s="2"/>
      <c r="C2" s="3"/>
      <c r="E2" s="2"/>
      <c r="F2" s="3"/>
      <c r="I2" s="3"/>
      <c r="J2" s="29"/>
    </row>
    <row r="4" spans="1:10" s="8" customFormat="1" ht="20.25" x14ac:dyDescent="0.3">
      <c r="A4" s="43" t="s">
        <v>18</v>
      </c>
      <c r="B4" s="43"/>
      <c r="C4" s="43"/>
      <c r="D4" s="43"/>
      <c r="E4" s="43"/>
      <c r="F4" s="43"/>
      <c r="G4" s="43"/>
      <c r="H4" s="43"/>
      <c r="I4" s="7">
        <f>+D7-I5</f>
        <v>-56206163.622166075</v>
      </c>
      <c r="J4" s="30"/>
    </row>
    <row r="5" spans="1:10" ht="15" x14ac:dyDescent="0.25">
      <c r="I5" s="6">
        <f>+I7/I6</f>
        <v>57371177.777777776</v>
      </c>
    </row>
    <row r="6" spans="1:10" s="28" customFormat="1" x14ac:dyDescent="0.25">
      <c r="A6" s="9" t="s">
        <v>1</v>
      </c>
      <c r="B6" s="10" t="s">
        <v>2</v>
      </c>
      <c r="C6" s="11" t="s">
        <v>0</v>
      </c>
      <c r="D6" s="9" t="s">
        <v>19</v>
      </c>
      <c r="E6" s="10" t="s">
        <v>3</v>
      </c>
      <c r="F6" s="11" t="s">
        <v>4</v>
      </c>
      <c r="G6" s="9" t="s">
        <v>5</v>
      </c>
      <c r="H6" s="9" t="s">
        <v>6</v>
      </c>
      <c r="I6" s="12">
        <v>0.22500000000000001</v>
      </c>
      <c r="J6" s="32"/>
    </row>
    <row r="7" spans="1:10" s="1" customFormat="1" x14ac:dyDescent="0.25">
      <c r="A7" s="14" t="s">
        <v>7</v>
      </c>
      <c r="B7" s="15">
        <f>C7/C15</f>
        <v>1.2883628098076229E-2</v>
      </c>
      <c r="C7" s="16">
        <f>+C8</f>
        <v>16925884</v>
      </c>
      <c r="D7" s="17">
        <f>+B7*D15</f>
        <v>1165014.155611699</v>
      </c>
      <c r="E7" s="18">
        <v>0.2</v>
      </c>
      <c r="F7" s="16">
        <f>+E7*D7</f>
        <v>233002.83112233982</v>
      </c>
      <c r="G7" s="19">
        <v>0</v>
      </c>
      <c r="H7" s="17">
        <f>+F7-G7</f>
        <v>233002.83112233982</v>
      </c>
      <c r="I7" s="3">
        <v>12908515</v>
      </c>
      <c r="J7" s="29"/>
    </row>
    <row r="8" spans="1:10" ht="15" x14ac:dyDescent="0.25">
      <c r="A8" s="20">
        <v>5113</v>
      </c>
      <c r="B8" s="21"/>
      <c r="C8" s="22">
        <v>16925884</v>
      </c>
      <c r="D8" s="20"/>
      <c r="E8" s="23"/>
      <c r="F8" s="22"/>
      <c r="G8" s="20"/>
      <c r="H8" s="20"/>
    </row>
    <row r="9" spans="1:10" s="1" customFormat="1" x14ac:dyDescent="0.25">
      <c r="A9" s="24" t="s">
        <v>8</v>
      </c>
      <c r="B9" s="15">
        <f>C9/C15</f>
        <v>0.98711637190192381</v>
      </c>
      <c r="C9" s="16">
        <f>+C10+C11</f>
        <v>1296825481</v>
      </c>
      <c r="D9" s="17">
        <f>+B9*D15</f>
        <v>89260923.844388306</v>
      </c>
      <c r="E9" s="18">
        <v>0.17</v>
      </c>
      <c r="F9" s="16">
        <f>D9*E9</f>
        <v>15174357.053546013</v>
      </c>
      <c r="G9" s="17">
        <f>+F9/2</f>
        <v>7587178.5267730067</v>
      </c>
      <c r="H9" s="17">
        <f>+F9-G9</f>
        <v>7587178.5267730067</v>
      </c>
      <c r="I9" s="3"/>
      <c r="J9" s="29"/>
    </row>
    <row r="10" spans="1:10" ht="15" x14ac:dyDescent="0.25">
      <c r="A10" s="20">
        <v>5113</v>
      </c>
      <c r="B10" s="21"/>
      <c r="C10" s="22">
        <v>1296766413</v>
      </c>
      <c r="D10" s="20"/>
      <c r="E10" s="23"/>
      <c r="F10" s="22"/>
      <c r="G10" s="20"/>
      <c r="H10" s="20"/>
    </row>
    <row r="11" spans="1:10" ht="15" x14ac:dyDescent="0.25">
      <c r="A11" s="20">
        <v>5151</v>
      </c>
      <c r="B11" s="21"/>
      <c r="C11" s="22">
        <v>59068</v>
      </c>
      <c r="D11" s="20"/>
      <c r="E11" s="23"/>
      <c r="F11" s="22"/>
      <c r="G11" s="20"/>
      <c r="H11" s="20"/>
    </row>
    <row r="12" spans="1:10" s="1" customFormat="1" x14ac:dyDescent="0.25">
      <c r="A12" s="25" t="s">
        <v>9</v>
      </c>
      <c r="B12" s="15">
        <f>C12/C15</f>
        <v>0</v>
      </c>
      <c r="C12" s="16"/>
      <c r="D12" s="17">
        <f>+B12*D15</f>
        <v>0</v>
      </c>
      <c r="E12" s="18">
        <v>0.1</v>
      </c>
      <c r="F12" s="16">
        <f>+E12*D12</f>
        <v>0</v>
      </c>
      <c r="G12" s="17">
        <f>+F12</f>
        <v>0</v>
      </c>
      <c r="H12" s="17">
        <f>+F12-G12</f>
        <v>0</v>
      </c>
      <c r="I12" s="3"/>
      <c r="J12" s="29"/>
    </row>
    <row r="13" spans="1:10" ht="15" x14ac:dyDescent="0.25">
      <c r="A13" s="20">
        <v>5113</v>
      </c>
      <c r="B13" s="21"/>
      <c r="C13" s="22"/>
      <c r="D13" s="20"/>
      <c r="E13" s="23"/>
      <c r="F13" s="22"/>
      <c r="G13" s="20"/>
      <c r="H13" s="20"/>
    </row>
    <row r="14" spans="1:10" ht="15" x14ac:dyDescent="0.25">
      <c r="A14" s="20"/>
      <c r="B14" s="21"/>
      <c r="C14" s="22"/>
      <c r="D14" s="20"/>
      <c r="E14" s="23"/>
      <c r="F14" s="22"/>
      <c r="G14" s="20"/>
      <c r="H14" s="20"/>
    </row>
    <row r="15" spans="1:10" s="1" customFormat="1" x14ac:dyDescent="0.25">
      <c r="A15" s="19" t="s">
        <v>10</v>
      </c>
      <c r="B15" s="15"/>
      <c r="C15" s="16">
        <f>+C7+C9+C12</f>
        <v>1313751365</v>
      </c>
      <c r="D15" s="16">
        <v>90425938</v>
      </c>
      <c r="E15" s="16"/>
      <c r="F15" s="16">
        <f>F12+F9+F7</f>
        <v>15407359.884668354</v>
      </c>
      <c r="G15" s="16">
        <f>G12+G9+G7</f>
        <v>7587178.5267730067</v>
      </c>
      <c r="H15" s="16">
        <f>H12+H9+H7</f>
        <v>7820181.3578953464</v>
      </c>
      <c r="I15" s="3"/>
      <c r="J15" s="29"/>
    </row>
    <row r="16" spans="1:10" ht="15" x14ac:dyDescent="0.25">
      <c r="D16" s="26" t="e">
        <f>+C15-#REF!-#REF!-#REF!</f>
        <v>#REF!</v>
      </c>
    </row>
    <row r="17" spans="1:10" ht="15" x14ac:dyDescent="0.25">
      <c r="C17" s="6">
        <v>10793007946</v>
      </c>
      <c r="D17" s="6">
        <v>720227155</v>
      </c>
      <c r="G17" s="4">
        <v>74441349</v>
      </c>
    </row>
    <row r="18" spans="1:10" ht="15" x14ac:dyDescent="0.25">
      <c r="C18" s="6">
        <v>454939007</v>
      </c>
      <c r="D18" s="26">
        <f>D17-D15</f>
        <v>629801217</v>
      </c>
      <c r="G18" s="26">
        <f>+G17-H15</f>
        <v>66621167.642104656</v>
      </c>
    </row>
    <row r="19" spans="1:10" ht="15" x14ac:dyDescent="0.25">
      <c r="C19" s="6">
        <v>781954</v>
      </c>
      <c r="F19" s="6">
        <v>54680132</v>
      </c>
    </row>
    <row r="20" spans="1:10" ht="15" x14ac:dyDescent="0.25">
      <c r="C20" s="6">
        <f>+C19+C18+C17</f>
        <v>11248728907</v>
      </c>
      <c r="D20" s="6"/>
      <c r="F20" s="6">
        <f>+F19-F7</f>
        <v>54447129.168877661</v>
      </c>
    </row>
    <row r="21" spans="1:10" x14ac:dyDescent="0.25">
      <c r="D21" s="26"/>
      <c r="E21" s="27"/>
      <c r="F21" s="44" t="s">
        <v>17</v>
      </c>
      <c r="G21" s="44"/>
      <c r="H21" s="44"/>
      <c r="J21" s="33"/>
    </row>
    <row r="22" spans="1:10" x14ac:dyDescent="0.25">
      <c r="A22" s="45" t="s">
        <v>11</v>
      </c>
      <c r="B22" s="45"/>
      <c r="C22" s="6" t="s">
        <v>13</v>
      </c>
      <c r="D22" s="26">
        <f>+D15*0.2</f>
        <v>18085187.600000001</v>
      </c>
      <c r="F22" s="46" t="s">
        <v>12</v>
      </c>
      <c r="G22" s="46"/>
      <c r="H22" s="46"/>
      <c r="J22" s="33">
        <f>+D9*0.2</f>
        <v>17852184.768877663</v>
      </c>
    </row>
    <row r="23" spans="1:10" x14ac:dyDescent="0.25">
      <c r="C23" s="6" t="s">
        <v>14</v>
      </c>
      <c r="D23" s="6">
        <f>+D22-F15</f>
        <v>2677827.7153316475</v>
      </c>
      <c r="J23" s="33">
        <f>+J22-F9</f>
        <v>2677827.7153316494</v>
      </c>
    </row>
    <row r="24" spans="1:10" x14ac:dyDescent="0.25">
      <c r="D24" s="6"/>
      <c r="J24" s="33"/>
    </row>
    <row r="25" spans="1:10" x14ac:dyDescent="0.25">
      <c r="D25" s="6">
        <f>+D22-F12-F9</f>
        <v>2910830.5464539882</v>
      </c>
      <c r="J25" s="33"/>
    </row>
    <row r="26" spans="1:10" x14ac:dyDescent="0.25">
      <c r="D26" s="6"/>
      <c r="J26" s="33"/>
    </row>
    <row r="28" spans="1:10" x14ac:dyDescent="0.25">
      <c r="D28" s="6"/>
    </row>
    <row r="29" spans="1:10" s="1" customFormat="1" x14ac:dyDescent="0.25">
      <c r="B29" s="2"/>
      <c r="C29" s="3"/>
      <c r="D29" s="3"/>
      <c r="E29" s="2"/>
      <c r="F29" s="46"/>
      <c r="G29" s="46"/>
      <c r="H29" s="46"/>
      <c r="I29" s="3"/>
      <c r="J29" s="29"/>
    </row>
    <row r="30" spans="1:10" x14ac:dyDescent="0.25">
      <c r="D30" s="26"/>
    </row>
  </sheetData>
  <mergeCells count="5">
    <mergeCell ref="A4:H4"/>
    <mergeCell ref="F21:H21"/>
    <mergeCell ref="A22:B22"/>
    <mergeCell ref="F22:H22"/>
    <mergeCell ref="F29:H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1" workbookViewId="0">
      <selection activeCell="F30" sqref="F30"/>
    </sheetView>
  </sheetViews>
  <sheetFormatPr defaultRowHeight="15" x14ac:dyDescent="0.25"/>
  <cols>
    <col min="1" max="1" width="5" style="39" bestFit="1" customWidth="1"/>
    <col min="2" max="2" width="10.28515625" style="39" bestFit="1" customWidth="1"/>
    <col min="3" max="3" width="78.85546875" style="39" customWidth="1"/>
    <col min="4" max="4" width="15.140625" style="39" customWidth="1"/>
    <col min="5" max="5" width="9.7109375" style="39" customWidth="1"/>
    <col min="6" max="6" width="11.140625" style="39" bestFit="1" customWidth="1"/>
    <col min="7" max="16384" width="9.140625" style="39"/>
  </cols>
  <sheetData>
    <row r="1" spans="1:4" s="34" customFormat="1" ht="14.25" customHeight="1" x14ac:dyDescent="0.2">
      <c r="A1" s="47" t="s">
        <v>20</v>
      </c>
      <c r="B1" s="48"/>
      <c r="C1" s="48"/>
      <c r="D1" s="48"/>
    </row>
    <row r="2" spans="1:4" s="34" customFormat="1" ht="14.25" x14ac:dyDescent="0.2">
      <c r="A2" s="35" t="s">
        <v>21</v>
      </c>
      <c r="B2" s="35" t="s">
        <v>22</v>
      </c>
      <c r="C2" s="35" t="s">
        <v>23</v>
      </c>
      <c r="D2" s="35" t="s">
        <v>24</v>
      </c>
    </row>
    <row r="3" spans="1:4" s="36" customFormat="1" x14ac:dyDescent="0.25">
      <c r="A3" s="35">
        <v>1</v>
      </c>
      <c r="B3" s="35" t="s">
        <v>28</v>
      </c>
      <c r="C3" s="35" t="s">
        <v>29</v>
      </c>
      <c r="D3" s="37">
        <v>3399090</v>
      </c>
    </row>
    <row r="4" spans="1:4" s="36" customFormat="1" ht="26.25" x14ac:dyDescent="0.25">
      <c r="A4" s="35">
        <v>2</v>
      </c>
      <c r="B4" s="35" t="s">
        <v>30</v>
      </c>
      <c r="C4" s="35" t="s">
        <v>31</v>
      </c>
      <c r="D4" s="37">
        <v>20676740</v>
      </c>
    </row>
    <row r="5" spans="1:4" s="36" customFormat="1" x14ac:dyDescent="0.25">
      <c r="A5" s="49" t="s">
        <v>25</v>
      </c>
      <c r="B5" s="49"/>
      <c r="C5" s="49"/>
      <c r="D5" s="38">
        <f>D3+D4</f>
        <v>24075830</v>
      </c>
    </row>
    <row r="6" spans="1:4" s="36" customFormat="1" ht="15" customHeight="1" x14ac:dyDescent="0.25">
      <c r="A6" s="35">
        <v>3</v>
      </c>
      <c r="B6" s="35" t="s">
        <v>32</v>
      </c>
      <c r="C6" s="35" t="s">
        <v>33</v>
      </c>
      <c r="D6" s="37">
        <v>48973636</v>
      </c>
    </row>
    <row r="7" spans="1:4" s="36" customFormat="1" x14ac:dyDescent="0.25">
      <c r="A7" s="35">
        <v>4</v>
      </c>
      <c r="B7" s="35" t="s">
        <v>34</v>
      </c>
      <c r="C7" s="35" t="s">
        <v>35</v>
      </c>
      <c r="D7" s="37">
        <v>24000000</v>
      </c>
    </row>
    <row r="8" spans="1:4" s="36" customFormat="1" x14ac:dyDescent="0.25">
      <c r="A8" s="35">
        <v>5</v>
      </c>
      <c r="B8" s="35" t="s">
        <v>36</v>
      </c>
      <c r="C8" s="35" t="s">
        <v>37</v>
      </c>
      <c r="D8" s="37">
        <v>23989090</v>
      </c>
    </row>
    <row r="9" spans="1:4" s="36" customFormat="1" x14ac:dyDescent="0.25">
      <c r="A9" s="35">
        <v>6</v>
      </c>
      <c r="B9" s="35" t="s">
        <v>38</v>
      </c>
      <c r="C9" s="35" t="s">
        <v>39</v>
      </c>
      <c r="D9" s="37">
        <v>6352727</v>
      </c>
    </row>
    <row r="10" spans="1:4" s="36" customFormat="1" x14ac:dyDescent="0.25">
      <c r="A10" s="35">
        <v>7</v>
      </c>
      <c r="B10" s="35" t="s">
        <v>40</v>
      </c>
      <c r="C10" s="35" t="s">
        <v>41</v>
      </c>
      <c r="D10" s="37">
        <v>9171818</v>
      </c>
    </row>
    <row r="11" spans="1:4" s="36" customFormat="1" x14ac:dyDescent="0.25">
      <c r="A11" s="35">
        <v>8</v>
      </c>
      <c r="B11" s="35" t="s">
        <v>42</v>
      </c>
      <c r="C11" s="35" t="s">
        <v>43</v>
      </c>
      <c r="D11" s="37">
        <v>21385454</v>
      </c>
    </row>
    <row r="12" spans="1:4" s="36" customFormat="1" x14ac:dyDescent="0.25">
      <c r="A12" s="35">
        <v>9</v>
      </c>
      <c r="B12" s="35" t="s">
        <v>44</v>
      </c>
      <c r="C12" s="35" t="s">
        <v>45</v>
      </c>
      <c r="D12" s="37">
        <v>14363636</v>
      </c>
    </row>
    <row r="13" spans="1:4" s="36" customFormat="1" x14ac:dyDescent="0.25">
      <c r="A13" s="35">
        <v>10</v>
      </c>
      <c r="B13" s="35" t="s">
        <v>46</v>
      </c>
      <c r="C13" s="35" t="s">
        <v>47</v>
      </c>
      <c r="D13" s="37">
        <v>2192727</v>
      </c>
    </row>
    <row r="14" spans="1:4" s="36" customFormat="1" x14ac:dyDescent="0.25">
      <c r="A14" s="35">
        <v>11</v>
      </c>
      <c r="B14" s="35" t="s">
        <v>48</v>
      </c>
      <c r="C14" s="35" t="s">
        <v>49</v>
      </c>
      <c r="D14" s="37">
        <v>23470000</v>
      </c>
    </row>
    <row r="15" spans="1:4" s="36" customFormat="1" x14ac:dyDescent="0.25">
      <c r="A15" s="35">
        <v>12</v>
      </c>
      <c r="B15" s="35" t="s">
        <v>50</v>
      </c>
      <c r="C15" s="35" t="s">
        <v>51</v>
      </c>
      <c r="D15" s="37">
        <v>26105454</v>
      </c>
    </row>
    <row r="16" spans="1:4" s="36" customFormat="1" x14ac:dyDescent="0.25">
      <c r="A16" s="35">
        <v>13</v>
      </c>
      <c r="B16" s="35" t="s">
        <v>52</v>
      </c>
      <c r="C16" s="35" t="s">
        <v>53</v>
      </c>
      <c r="D16" s="37">
        <v>25795454</v>
      </c>
    </row>
    <row r="17" spans="1:6" s="36" customFormat="1" x14ac:dyDescent="0.25">
      <c r="A17" s="35">
        <v>14</v>
      </c>
      <c r="B17" s="35" t="s">
        <v>54</v>
      </c>
      <c r="C17" s="35" t="s">
        <v>55</v>
      </c>
      <c r="D17" s="37">
        <v>41693000</v>
      </c>
    </row>
    <row r="18" spans="1:6" s="36" customFormat="1" x14ac:dyDescent="0.25">
      <c r="A18" s="35">
        <v>15</v>
      </c>
      <c r="B18" s="35" t="s">
        <v>56</v>
      </c>
      <c r="C18" s="35" t="s">
        <v>57</v>
      </c>
      <c r="D18" s="37">
        <v>108167272</v>
      </c>
    </row>
    <row r="19" spans="1:6" s="36" customFormat="1" x14ac:dyDescent="0.25">
      <c r="A19" s="35">
        <v>16</v>
      </c>
      <c r="B19" s="35" t="s">
        <v>58</v>
      </c>
      <c r="C19" s="35" t="s">
        <v>59</v>
      </c>
      <c r="D19" s="37">
        <v>81801818</v>
      </c>
    </row>
    <row r="20" spans="1:6" s="36" customFormat="1" x14ac:dyDescent="0.25">
      <c r="A20" s="35">
        <v>17</v>
      </c>
      <c r="B20" s="35" t="s">
        <v>60</v>
      </c>
      <c r="C20" s="35" t="s">
        <v>61</v>
      </c>
      <c r="D20" s="37">
        <v>272727272</v>
      </c>
    </row>
    <row r="21" spans="1:6" s="36" customFormat="1" ht="26.25" x14ac:dyDescent="0.25">
      <c r="A21" s="35">
        <v>18</v>
      </c>
      <c r="B21" s="35" t="s">
        <v>62</v>
      </c>
      <c r="C21" s="35" t="s">
        <v>63</v>
      </c>
      <c r="D21" s="37">
        <v>74380909</v>
      </c>
    </row>
    <row r="22" spans="1:6" s="36" customFormat="1" ht="26.25" x14ac:dyDescent="0.25">
      <c r="A22" s="35">
        <v>19</v>
      </c>
      <c r="B22" s="35" t="s">
        <v>64</v>
      </c>
      <c r="C22" s="35" t="s">
        <v>65</v>
      </c>
      <c r="D22" s="37">
        <v>230708181</v>
      </c>
    </row>
    <row r="23" spans="1:6" s="36" customFormat="1" x14ac:dyDescent="0.25">
      <c r="A23" s="35">
        <v>20</v>
      </c>
      <c r="B23" s="35" t="s">
        <v>66</v>
      </c>
      <c r="C23" s="35" t="s">
        <v>67</v>
      </c>
      <c r="D23" s="37">
        <v>3636363</v>
      </c>
    </row>
    <row r="24" spans="1:6" s="36" customFormat="1" x14ac:dyDescent="0.25">
      <c r="A24" s="35">
        <v>21</v>
      </c>
      <c r="B24" s="35" t="s">
        <v>68</v>
      </c>
      <c r="C24" s="35" t="s">
        <v>69</v>
      </c>
      <c r="D24" s="37">
        <v>64379090</v>
      </c>
    </row>
    <row r="25" spans="1:6" s="36" customFormat="1" ht="26.25" x14ac:dyDescent="0.25">
      <c r="A25" s="35">
        <v>22</v>
      </c>
      <c r="B25" s="35" t="s">
        <v>70</v>
      </c>
      <c r="C25" s="35" t="s">
        <v>71</v>
      </c>
      <c r="D25" s="37">
        <v>55594545</v>
      </c>
    </row>
    <row r="26" spans="1:6" s="36" customFormat="1" x14ac:dyDescent="0.25">
      <c r="A26" s="35">
        <v>23</v>
      </c>
      <c r="B26" s="35" t="s">
        <v>72</v>
      </c>
      <c r="C26" s="35" t="s">
        <v>73</v>
      </c>
      <c r="D26" s="37">
        <v>53057272</v>
      </c>
    </row>
    <row r="27" spans="1:6" s="36" customFormat="1" ht="26.25" x14ac:dyDescent="0.25">
      <c r="A27" s="35">
        <v>24</v>
      </c>
      <c r="B27" s="35" t="s">
        <v>74</v>
      </c>
      <c r="C27" s="35" t="s">
        <v>75</v>
      </c>
      <c r="D27" s="37">
        <v>54655063</v>
      </c>
    </row>
    <row r="28" spans="1:6" s="36" customFormat="1" x14ac:dyDescent="0.25">
      <c r="A28" s="35">
        <v>25</v>
      </c>
      <c r="B28" s="35" t="s">
        <v>76</v>
      </c>
      <c r="C28" s="35" t="s">
        <v>77</v>
      </c>
      <c r="D28" s="37">
        <v>42105454</v>
      </c>
      <c r="E28" s="36">
        <v>5112</v>
      </c>
      <c r="F28" s="42">
        <f>D19+D20+D21+D22</f>
        <v>659618180</v>
      </c>
    </row>
    <row r="29" spans="1:6" s="36" customFormat="1" x14ac:dyDescent="0.25">
      <c r="A29" s="35">
        <v>26</v>
      </c>
      <c r="B29" s="35" t="s">
        <v>78</v>
      </c>
      <c r="C29" s="35" t="s">
        <v>79</v>
      </c>
      <c r="D29" s="37">
        <v>58041818</v>
      </c>
      <c r="E29" s="36">
        <v>5113</v>
      </c>
      <c r="F29" s="42">
        <f>D30-F28</f>
        <v>707129873</v>
      </c>
    </row>
    <row r="30" spans="1:6" s="36" customFormat="1" x14ac:dyDescent="0.25">
      <c r="A30" s="49" t="s">
        <v>26</v>
      </c>
      <c r="B30" s="49"/>
      <c r="C30" s="49"/>
      <c r="D30" s="38">
        <f>SUM(D6:D29)</f>
        <v>1366748053</v>
      </c>
    </row>
    <row r="31" spans="1:6" s="36" customFormat="1" x14ac:dyDescent="0.25">
      <c r="A31" s="35"/>
      <c r="B31" s="35"/>
      <c r="C31" s="41" t="s">
        <v>27</v>
      </c>
      <c r="D31" s="38">
        <f>D5+D30</f>
        <v>1390823883</v>
      </c>
    </row>
  </sheetData>
  <mergeCells count="3">
    <mergeCell ref="A1:D1"/>
    <mergeCell ref="A5:C5"/>
    <mergeCell ref="A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30"/>
  <sheetViews>
    <sheetView tabSelected="1" topLeftCell="B1" workbookViewId="0">
      <selection activeCell="K21" sqref="K21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18.7109375" style="6" customWidth="1"/>
    <col min="4" max="4" width="15.7109375" style="4" customWidth="1"/>
    <col min="5" max="5" width="6.85546875" style="5" customWidth="1"/>
    <col min="6" max="6" width="15.28515625" style="6" customWidth="1"/>
    <col min="7" max="7" width="15.28515625" style="4" customWidth="1"/>
    <col min="8" max="8" width="18.42578125" style="4" customWidth="1"/>
    <col min="9" max="9" width="17.85546875" style="6" hidden="1" customWidth="1"/>
    <col min="10" max="10" width="15.42578125" style="4" customWidth="1"/>
    <col min="11" max="11" width="21.85546875" style="4" customWidth="1"/>
    <col min="12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11" s="1" customFormat="1" x14ac:dyDescent="0.25">
      <c r="A1" s="1" t="s">
        <v>15</v>
      </c>
      <c r="B1" s="2"/>
      <c r="C1" s="3"/>
      <c r="E1" s="2"/>
      <c r="F1" s="3"/>
      <c r="I1" s="3"/>
    </row>
    <row r="2" spans="1:11" s="1" customFormat="1" x14ac:dyDescent="0.25">
      <c r="A2" s="1" t="s">
        <v>16</v>
      </c>
      <c r="B2" s="2"/>
      <c r="C2" s="3"/>
      <c r="E2" s="2"/>
      <c r="F2" s="3"/>
      <c r="I2" s="3"/>
    </row>
    <row r="4" spans="1:11" s="8" customFormat="1" ht="20.25" x14ac:dyDescent="0.3">
      <c r="A4" s="43" t="s">
        <v>18</v>
      </c>
      <c r="B4" s="43"/>
      <c r="C4" s="43"/>
      <c r="D4" s="43"/>
      <c r="E4" s="43"/>
      <c r="F4" s="43"/>
      <c r="G4" s="43"/>
      <c r="H4" s="43"/>
      <c r="I4" s="7" t="e">
        <f>+D7-I5</f>
        <v>#VALUE!</v>
      </c>
    </row>
    <row r="5" spans="1:11" x14ac:dyDescent="0.25">
      <c r="I5" s="6" t="e">
        <f>+I7/I6</f>
        <v>#VALUE!</v>
      </c>
    </row>
    <row r="6" spans="1:11" s="13" customFormat="1" x14ac:dyDescent="0.25">
      <c r="A6" s="9" t="s">
        <v>1</v>
      </c>
      <c r="B6" s="10" t="s">
        <v>2</v>
      </c>
      <c r="C6" s="11" t="s">
        <v>0</v>
      </c>
      <c r="D6" s="9" t="s">
        <v>19</v>
      </c>
      <c r="E6" s="10" t="s">
        <v>3</v>
      </c>
      <c r="F6" s="11" t="s">
        <v>4</v>
      </c>
      <c r="G6" s="9" t="s">
        <v>5</v>
      </c>
      <c r="H6" s="9" t="s">
        <v>6</v>
      </c>
      <c r="I6" s="9" t="s">
        <v>6</v>
      </c>
      <c r="J6" s="9" t="s">
        <v>80</v>
      </c>
      <c r="K6" s="9" t="s">
        <v>81</v>
      </c>
    </row>
    <row r="7" spans="1:11" s="1" customFormat="1" x14ac:dyDescent="0.25">
      <c r="A7" s="14" t="s">
        <v>7</v>
      </c>
      <c r="B7" s="15">
        <f>C7/C15</f>
        <v>1.7309090880751579E-2</v>
      </c>
      <c r="C7" s="16">
        <f>+C8</f>
        <v>24075830</v>
      </c>
      <c r="D7" s="17">
        <f>+B7*D15</f>
        <v>3336467.9382464546</v>
      </c>
      <c r="E7" s="18">
        <v>0.2</v>
      </c>
      <c r="F7" s="16">
        <f>+E7*D7</f>
        <v>667293.58764929092</v>
      </c>
      <c r="G7" s="19">
        <v>0</v>
      </c>
      <c r="H7" s="17">
        <f>+F7-G7</f>
        <v>667293.58764929092</v>
      </c>
      <c r="I7" s="17">
        <f t="shared" ref="I7:K7" si="0">+G7-H7</f>
        <v>-667293.58764929092</v>
      </c>
      <c r="J7" s="17"/>
      <c r="K7" s="17"/>
    </row>
    <row r="8" spans="1:11" x14ac:dyDescent="0.25">
      <c r="A8" s="20">
        <v>5113</v>
      </c>
      <c r="B8" s="21"/>
      <c r="C8" s="22">
        <f>'DS CONG TRINH 2020'!D5</f>
        <v>24075830</v>
      </c>
      <c r="D8" s="20"/>
      <c r="E8" s="23"/>
      <c r="F8" s="22"/>
      <c r="G8" s="20"/>
      <c r="H8" s="20"/>
      <c r="I8" s="20"/>
      <c r="J8" s="20"/>
      <c r="K8" s="20"/>
    </row>
    <row r="9" spans="1:11" s="1" customFormat="1" x14ac:dyDescent="0.25">
      <c r="A9" s="24" t="s">
        <v>8</v>
      </c>
      <c r="B9" s="15">
        <f>C9/C15</f>
        <v>0.98261062071244376</v>
      </c>
      <c r="C9" s="16">
        <f>+C10+C11</f>
        <v>1366748053</v>
      </c>
      <c r="D9" s="17">
        <f>+B9*D15</f>
        <v>189406182.81883806</v>
      </c>
      <c r="E9" s="18">
        <v>0.17</v>
      </c>
      <c r="F9" s="16">
        <f>D9*E9</f>
        <v>32199051.079202473</v>
      </c>
      <c r="G9" s="17">
        <f>+F9/2</f>
        <v>16099525.539601237</v>
      </c>
      <c r="H9" s="17">
        <f>+F9-G9</f>
        <v>16099525.539601237</v>
      </c>
      <c r="I9" s="17">
        <f t="shared" ref="I9:K9" si="1">+G9-H9</f>
        <v>0</v>
      </c>
      <c r="J9" s="17"/>
      <c r="K9" s="17">
        <f t="shared" si="1"/>
        <v>0</v>
      </c>
    </row>
    <row r="10" spans="1:11" x14ac:dyDescent="0.25">
      <c r="A10" s="20">
        <v>5112</v>
      </c>
      <c r="B10" s="21"/>
      <c r="C10" s="22">
        <f>'DS CONG TRINH 2020'!F28</f>
        <v>659618180</v>
      </c>
      <c r="D10" s="20"/>
      <c r="E10" s="23"/>
      <c r="F10" s="22"/>
      <c r="G10" s="20"/>
      <c r="H10" s="20"/>
      <c r="I10" s="20"/>
      <c r="J10" s="20"/>
      <c r="K10" s="20"/>
    </row>
    <row r="11" spans="1:11" x14ac:dyDescent="0.25">
      <c r="A11" s="20">
        <v>5113</v>
      </c>
      <c r="B11" s="21"/>
      <c r="C11" s="22">
        <f>'DS CONG TRINH 2020'!F29</f>
        <v>707129873</v>
      </c>
      <c r="D11" s="20"/>
      <c r="E11" s="23"/>
      <c r="F11" s="22"/>
      <c r="G11" s="20"/>
      <c r="H11" s="20"/>
      <c r="I11" s="20"/>
      <c r="J11" s="20"/>
      <c r="K11" s="20"/>
    </row>
    <row r="12" spans="1:11" s="1" customFormat="1" x14ac:dyDescent="0.25">
      <c r="A12" s="20">
        <v>5151</v>
      </c>
      <c r="B12" s="15">
        <f>C12/C15</f>
        <v>8.0288406804617473E-5</v>
      </c>
      <c r="C12" s="16">
        <v>111676</v>
      </c>
      <c r="D12" s="17">
        <f>+B12*D15</f>
        <v>15476.242915472119</v>
      </c>
      <c r="E12" s="18">
        <v>0.1</v>
      </c>
      <c r="F12" s="16">
        <f>+E12*D12</f>
        <v>1547.6242915472121</v>
      </c>
      <c r="G12" s="17">
        <f>+F12</f>
        <v>1547.6242915472121</v>
      </c>
      <c r="H12" s="17">
        <f>+F12-G12</f>
        <v>0</v>
      </c>
      <c r="I12" s="17">
        <f t="shared" ref="I12:K12" si="2">+G12-H12</f>
        <v>1547.6242915472121</v>
      </c>
      <c r="J12" s="17"/>
      <c r="K12" s="17"/>
    </row>
    <row r="13" spans="1:11" x14ac:dyDescent="0.25">
      <c r="A13" s="25" t="s">
        <v>9</v>
      </c>
      <c r="B13" s="21"/>
      <c r="C13" s="22"/>
      <c r="D13" s="20"/>
      <c r="E13" s="23"/>
      <c r="F13" s="22"/>
      <c r="G13" s="20"/>
      <c r="H13" s="20"/>
      <c r="I13" s="20"/>
      <c r="J13" s="20"/>
      <c r="K13" s="20"/>
    </row>
    <row r="14" spans="1:11" x14ac:dyDescent="0.25">
      <c r="A14" s="20">
        <v>5113</v>
      </c>
      <c r="B14" s="21"/>
      <c r="C14" s="22"/>
      <c r="D14" s="20"/>
      <c r="E14" s="23"/>
      <c r="F14" s="22"/>
      <c r="G14" s="20"/>
      <c r="H14" s="20"/>
      <c r="I14" s="20"/>
      <c r="J14" s="20"/>
      <c r="K14" s="20"/>
    </row>
    <row r="15" spans="1:11" s="1" customFormat="1" x14ac:dyDescent="0.25">
      <c r="A15" s="20"/>
      <c r="B15" s="15"/>
      <c r="C15" s="16">
        <f>+C7+C9+C12</f>
        <v>1390935559</v>
      </c>
      <c r="D15" s="16">
        <v>192758127</v>
      </c>
      <c r="E15" s="16"/>
      <c r="F15" s="16">
        <f>F12+F9+F7</f>
        <v>32867892.291143309</v>
      </c>
      <c r="G15" s="16">
        <f>G12+G9+G7</f>
        <v>16101073.163892783</v>
      </c>
      <c r="H15" s="16">
        <f>H12+H9+H7</f>
        <v>16766819.127250528</v>
      </c>
      <c r="I15" s="16">
        <f t="shared" ref="I15:K15" si="3">I12+I9+I7</f>
        <v>-665745.96335774369</v>
      </c>
      <c r="J15" s="16">
        <f>H15*0.3</f>
        <v>5030045.7381751584</v>
      </c>
      <c r="K15" s="16">
        <f>H15-J15</f>
        <v>11736773.389075369</v>
      </c>
    </row>
    <row r="16" spans="1:11" hidden="1" x14ac:dyDescent="0.25">
      <c r="A16" s="19" t="s">
        <v>10</v>
      </c>
      <c r="D16" s="26" t="e">
        <f>+C15-#REF!-#REF!-#REF!</f>
        <v>#REF!</v>
      </c>
    </row>
    <row r="17" spans="1:9" hidden="1" x14ac:dyDescent="0.25">
      <c r="C17" s="6">
        <v>10793007946</v>
      </c>
      <c r="D17" s="6">
        <v>720227155</v>
      </c>
      <c r="G17" s="4">
        <v>74441349</v>
      </c>
    </row>
    <row r="18" spans="1:9" hidden="1" x14ac:dyDescent="0.25">
      <c r="C18" s="6">
        <v>454939007</v>
      </c>
      <c r="D18" s="26">
        <f>D17-D15</f>
        <v>527469028</v>
      </c>
      <c r="G18" s="26">
        <f>+G17-H15</f>
        <v>57674529.87274947</v>
      </c>
    </row>
    <row r="19" spans="1:9" hidden="1" x14ac:dyDescent="0.25">
      <c r="C19" s="6">
        <v>781954</v>
      </c>
      <c r="F19" s="6">
        <v>54680132</v>
      </c>
    </row>
    <row r="20" spans="1:9" hidden="1" x14ac:dyDescent="0.25">
      <c r="C20" s="6">
        <f>+C19+C18+C17</f>
        <v>11248728907</v>
      </c>
      <c r="D20" s="6"/>
      <c r="F20" s="6">
        <f>+F19-F7</f>
        <v>54012838.412350707</v>
      </c>
    </row>
    <row r="21" spans="1:9" ht="29.25" customHeight="1" x14ac:dyDescent="0.25">
      <c r="D21" s="26"/>
      <c r="E21" s="27"/>
      <c r="F21" s="44" t="s">
        <v>17</v>
      </c>
      <c r="G21" s="44"/>
      <c r="H21" s="44"/>
    </row>
    <row r="22" spans="1:9" x14ac:dyDescent="0.25">
      <c r="B22" s="40"/>
      <c r="C22" s="6" t="s">
        <v>13</v>
      </c>
      <c r="D22" s="26">
        <f>+D15*0.2</f>
        <v>38551625.399999999</v>
      </c>
      <c r="F22" s="46" t="s">
        <v>12</v>
      </c>
      <c r="G22" s="46"/>
      <c r="H22" s="46"/>
    </row>
    <row r="23" spans="1:9" x14ac:dyDescent="0.25">
      <c r="A23" s="40" t="s">
        <v>11</v>
      </c>
      <c r="C23" s="6" t="s">
        <v>14</v>
      </c>
      <c r="D23" s="6">
        <f>+D22-F15</f>
        <v>5683733.1088566892</v>
      </c>
    </row>
    <row r="24" spans="1:9" x14ac:dyDescent="0.25">
      <c r="D24" s="6"/>
    </row>
    <row r="25" spans="1:9" x14ac:dyDescent="0.25">
      <c r="D25" s="6">
        <f>+D22-F12-F9</f>
        <v>6351026.6965059787</v>
      </c>
    </row>
    <row r="26" spans="1:9" x14ac:dyDescent="0.25">
      <c r="D26" s="6"/>
    </row>
    <row r="28" spans="1:9" x14ac:dyDescent="0.25">
      <c r="D28" s="6"/>
    </row>
    <row r="29" spans="1:9" s="1" customFormat="1" x14ac:dyDescent="0.25">
      <c r="A29" s="4"/>
      <c r="B29" s="2"/>
      <c r="C29" s="3"/>
      <c r="D29" s="3"/>
      <c r="E29" s="2"/>
      <c r="F29" s="46"/>
      <c r="G29" s="46"/>
      <c r="H29" s="46"/>
      <c r="I29" s="3"/>
    </row>
    <row r="30" spans="1:9" x14ac:dyDescent="0.25">
      <c r="A30" s="1"/>
      <c r="D30" s="26"/>
    </row>
  </sheetData>
  <mergeCells count="4">
    <mergeCell ref="A4:H4"/>
    <mergeCell ref="F29:H29"/>
    <mergeCell ref="F22:H22"/>
    <mergeCell ref="F21:H21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DS CONG TRINH 2020</vt:lpstr>
      <vt:lpstr>TINH THUE 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2021-03-29T12:07:10Z</dcterms:modified>
</cp:coreProperties>
</file>