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 MINH\LE MINH 2022\"/>
    </mc:Choice>
  </mc:AlternateContent>
  <bookViews>
    <workbookView xWindow="0" yWindow="0" windowWidth="20490" windowHeight="7350" firstSheet="1" activeTab="1"/>
  </bookViews>
  <sheets>
    <sheet name="PB6423" sheetId="1" state="hidden" r:id="rId1"/>
    <sheet name="PB156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" i="2" l="1"/>
  <c r="J8" i="1" l="1"/>
  <c r="J9" i="1"/>
  <c r="J10" i="1"/>
  <c r="J11" i="1"/>
  <c r="J12" i="1"/>
  <c r="J13" i="1"/>
  <c r="J14" i="1"/>
  <c r="J15" i="1"/>
  <c r="J16" i="1"/>
  <c r="J17" i="1"/>
  <c r="J18" i="1"/>
  <c r="J7" i="1"/>
  <c r="J19" i="1" l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7" i="1"/>
  <c r="E7" i="1" s="1"/>
  <c r="C19" i="1" l="1"/>
  <c r="C13" i="2"/>
  <c r="B19" i="1"/>
  <c r="F17" i="1"/>
  <c r="F13" i="1"/>
  <c r="F10" i="1"/>
  <c r="F9" i="1"/>
  <c r="D10" i="2" l="1"/>
  <c r="D13" i="2" s="1"/>
  <c r="C14" i="2"/>
  <c r="D8" i="2" s="1"/>
  <c r="F18" i="1"/>
  <c r="D19" i="1"/>
  <c r="F14" i="1"/>
  <c r="F8" i="1"/>
  <c r="F12" i="1"/>
  <c r="F16" i="1"/>
  <c r="F11" i="1"/>
  <c r="F15" i="1"/>
  <c r="D15" i="2" l="1"/>
  <c r="C15" i="2"/>
  <c r="E19" i="1"/>
  <c r="F19" i="1" s="1"/>
  <c r="F7" i="1"/>
  <c r="D14" i="2"/>
  <c r="E10" i="2"/>
  <c r="E13" i="2" s="1"/>
  <c r="F10" i="2" s="1"/>
  <c r="F13" i="2" s="1"/>
  <c r="E8" i="2" l="1"/>
  <c r="G10" i="2"/>
  <c r="G13" i="2" s="1"/>
  <c r="E14" i="2" l="1"/>
  <c r="H10" i="2"/>
  <c r="H13" i="2" s="1"/>
  <c r="F8" i="2" l="1"/>
  <c r="F14" i="2" s="1"/>
  <c r="G8" i="2" s="1"/>
  <c r="G14" i="2" s="1"/>
  <c r="H8" i="2" s="1"/>
  <c r="E15" i="2"/>
  <c r="F15" i="2"/>
  <c r="I10" i="2"/>
  <c r="I13" i="2" s="1"/>
  <c r="G15" i="2"/>
  <c r="H14" i="2"/>
  <c r="H15" i="2" l="1"/>
  <c r="J10" i="2"/>
  <c r="J13" i="2" s="1"/>
  <c r="I8" i="2"/>
  <c r="I14" i="2" l="1"/>
  <c r="K10" i="2"/>
  <c r="K13" i="2" s="1"/>
  <c r="J8" i="2" l="1"/>
  <c r="J14" i="2" s="1"/>
  <c r="K8" i="2" s="1"/>
  <c r="I15" i="2"/>
  <c r="L10" i="2"/>
  <c r="L13" i="2" s="1"/>
  <c r="J15" i="2" l="1"/>
  <c r="K14" i="2"/>
  <c r="K15" i="2" s="1"/>
  <c r="M10" i="2"/>
  <c r="M13" i="2" s="1"/>
  <c r="L8" i="2" l="1"/>
  <c r="L14" i="2" s="1"/>
  <c r="M8" i="2" s="1"/>
  <c r="N10" i="2"/>
  <c r="N13" i="2" s="1"/>
  <c r="L15" i="2" l="1"/>
  <c r="M14" i="2"/>
  <c r="M15" i="2" s="1"/>
  <c r="N8" i="2" l="1"/>
  <c r="N14" i="2" l="1"/>
  <c r="N15" i="2" l="1"/>
  <c r="O15" i="2" s="1"/>
</calcChain>
</file>

<file path=xl/sharedStrings.xml><?xml version="1.0" encoding="utf-8"?>
<sst xmlns="http://schemas.openxmlformats.org/spreadsheetml/2006/main" count="51" uniqueCount="35">
  <si>
    <t>PHÂN BỔ CHI PHÍ MUA HÀNG</t>
  </si>
  <si>
    <t>Chi phí nhiên liệu</t>
  </si>
  <si>
    <t>Chi phí bốc xếp</t>
  </si>
  <si>
    <t>Tổng</t>
  </si>
  <si>
    <t>Tháng 01</t>
  </si>
  <si>
    <t>Tháng 02</t>
  </si>
  <si>
    <t>Tháng 03</t>
  </si>
  <si>
    <t>Tháng 04</t>
  </si>
  <si>
    <t>Tháng 05</t>
  </si>
  <si>
    <t>Tháng 06</t>
  </si>
  <si>
    <t>Tháng 07</t>
  </si>
  <si>
    <t>Tháng 08</t>
  </si>
  <si>
    <t>Tháng 09</t>
  </si>
  <si>
    <t>Tháng 10</t>
  </si>
  <si>
    <t>Tháng 11</t>
  </si>
  <si>
    <t>Tháng 12</t>
  </si>
  <si>
    <t>Chi phí mua hàng</t>
  </si>
  <si>
    <t>Chi phí bán hàng</t>
  </si>
  <si>
    <t>STT</t>
  </si>
  <si>
    <t>Chỉ tiêu</t>
  </si>
  <si>
    <t>Chi phí mua hàng đầu kỳ</t>
  </si>
  <si>
    <t>Chi phí mua hàng phát sinh trong kỳ</t>
  </si>
  <si>
    <t>Tồn kho đầu kỳ</t>
  </si>
  <si>
    <t>Nhập trong kỳ</t>
  </si>
  <si>
    <t>Xuất trong kỳ</t>
  </si>
  <si>
    <t>Tồn kho cuối kỳ</t>
  </si>
  <si>
    <t>Chi phí mua hàng phân bổ hàng tồn kho</t>
  </si>
  <si>
    <t>Chi phí mua hàng phân bổ hàng bán</t>
  </si>
  <si>
    <t>BẢNG PHÂN BỔ CHI PHÍ MUA HÀNG</t>
  </si>
  <si>
    <t>Đơn vị: CÔNG TY TNHH LỆ MINH</t>
  </si>
  <si>
    <t>Địa chỉ: Số 123, Đường 3/2, Khóm Mỹ Cẩm A, TT Cầu Ngang, Huyện Cầu Ngang, Trà Vinh</t>
  </si>
  <si>
    <t>Năm 2022</t>
  </si>
  <si>
    <t>Số ngày</t>
  </si>
  <si>
    <t>Đơn giá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</si>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</sst>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1" xfId="0" applyFont="1" applyBorder="1"/>
    <xf numFmtId="164" fontId="2" fillId="0" borderId="1" xfId="1" applyNumberFormat="1" applyFont="1" applyBorder="1"/>
    <xf numFmtId="164" fontId="2" fillId="0" borderId="0" xfId="1" applyNumberFormat="1" applyFont="1"/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4" fillId="0" borderId="0" xfId="0" applyFont="1"/>
    <xf numFmtId="164" fontId="4" fillId="0" borderId="0" xfId="1" applyNumberFormat="1" applyFont="1"/>
    <xf numFmtId="0" fontId="4" fillId="0" borderId="1" xfId="0" applyFont="1" applyBorder="1"/>
    <xf numFmtId="164" fontId="4" fillId="0" borderId="1" xfId="1" applyNumberFormat="1" applyFont="1" applyBorder="1"/>
    <xf numFmtId="164" fontId="5" fillId="0" borderId="1" xfId="1" applyNumberFormat="1" applyFont="1" applyBorder="1"/>
    <xf numFmtId="164" fontId="5" fillId="2" borderId="1" xfId="1" applyNumberFormat="1" applyFont="1" applyFill="1" applyBorder="1"/>
    <xf numFmtId="164" fontId="4" fillId="0" borderId="0" xfId="0" applyNumberFormat="1" applyFont="1"/>
    <xf numFmtId="164" fontId="4" fillId="2" borderId="1" xfId="1" applyNumberFormat="1" applyFont="1" applyFill="1" applyBorder="1"/>
    <xf numFmtId="165" fontId="4" fillId="0" borderId="0" xfId="1" applyNumberFormat="1" applyFont="1"/>
    <xf numFmtId="165" fontId="2" fillId="0" borderId="0" xfId="1" applyNumberFormat="1" applyFont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selection activeCell="J20" sqref="J20"/>
    </sheetView>
  </sheetViews>
  <sheetFormatPr defaultRowHeight="15.75" x14ac:dyDescent="0.25"/>
  <cols>
    <col min="1" max="1" width="12" style="1" customWidth="1"/>
    <col min="2" max="6" width="20" style="4" customWidth="1"/>
    <col min="7" max="7" width="9.140625" style="1"/>
    <col min="8" max="8" width="9.140625" style="16" customWidth="1"/>
    <col min="9" max="9" width="9.5703125" style="4" customWidth="1"/>
    <col min="10" max="10" width="15" style="4" customWidth="1"/>
    <col min="11" max="256" width="9.140625" style="1"/>
    <col min="257" max="257" width="12" style="1" customWidth="1"/>
    <col min="258" max="258" width="16.85546875" style="1" customWidth="1"/>
    <col min="259" max="260" width="13.85546875" style="1" customWidth="1"/>
    <col min="261" max="261" width="16.42578125" style="1" customWidth="1"/>
    <col min="262" max="262" width="15.140625" style="1" customWidth="1"/>
    <col min="263" max="512" width="9.140625" style="1"/>
    <col min="513" max="513" width="12" style="1" customWidth="1"/>
    <col min="514" max="514" width="16.85546875" style="1" customWidth="1"/>
    <col min="515" max="516" width="13.85546875" style="1" customWidth="1"/>
    <col min="517" max="517" width="16.42578125" style="1" customWidth="1"/>
    <col min="518" max="518" width="15.140625" style="1" customWidth="1"/>
    <col min="519" max="768" width="9.140625" style="1"/>
    <col min="769" max="769" width="12" style="1" customWidth="1"/>
    <col min="770" max="770" width="16.85546875" style="1" customWidth="1"/>
    <col min="771" max="772" width="13.85546875" style="1" customWidth="1"/>
    <col min="773" max="773" width="16.42578125" style="1" customWidth="1"/>
    <col min="774" max="774" width="15.140625" style="1" customWidth="1"/>
    <col min="775" max="1024" width="9.140625" style="1"/>
    <col min="1025" max="1025" width="12" style="1" customWidth="1"/>
    <col min="1026" max="1026" width="16.85546875" style="1" customWidth="1"/>
    <col min="1027" max="1028" width="13.85546875" style="1" customWidth="1"/>
    <col min="1029" max="1029" width="16.42578125" style="1" customWidth="1"/>
    <col min="1030" max="1030" width="15.140625" style="1" customWidth="1"/>
    <col min="1031" max="1280" width="9.140625" style="1"/>
    <col min="1281" max="1281" width="12" style="1" customWidth="1"/>
    <col min="1282" max="1282" width="16.85546875" style="1" customWidth="1"/>
    <col min="1283" max="1284" width="13.85546875" style="1" customWidth="1"/>
    <col min="1285" max="1285" width="16.42578125" style="1" customWidth="1"/>
    <col min="1286" max="1286" width="15.140625" style="1" customWidth="1"/>
    <col min="1287" max="1536" width="9.140625" style="1"/>
    <col min="1537" max="1537" width="12" style="1" customWidth="1"/>
    <col min="1538" max="1538" width="16.85546875" style="1" customWidth="1"/>
    <col min="1539" max="1540" width="13.85546875" style="1" customWidth="1"/>
    <col min="1541" max="1541" width="16.42578125" style="1" customWidth="1"/>
    <col min="1542" max="1542" width="15.140625" style="1" customWidth="1"/>
    <col min="1543" max="1792" width="9.140625" style="1"/>
    <col min="1793" max="1793" width="12" style="1" customWidth="1"/>
    <col min="1794" max="1794" width="16.85546875" style="1" customWidth="1"/>
    <col min="1795" max="1796" width="13.85546875" style="1" customWidth="1"/>
    <col min="1797" max="1797" width="16.42578125" style="1" customWidth="1"/>
    <col min="1798" max="1798" width="15.140625" style="1" customWidth="1"/>
    <col min="1799" max="2048" width="9.140625" style="1"/>
    <col min="2049" max="2049" width="12" style="1" customWidth="1"/>
    <col min="2050" max="2050" width="16.85546875" style="1" customWidth="1"/>
    <col min="2051" max="2052" width="13.85546875" style="1" customWidth="1"/>
    <col min="2053" max="2053" width="16.42578125" style="1" customWidth="1"/>
    <col min="2054" max="2054" width="15.140625" style="1" customWidth="1"/>
    <col min="2055" max="2304" width="9.140625" style="1"/>
    <col min="2305" max="2305" width="12" style="1" customWidth="1"/>
    <col min="2306" max="2306" width="16.85546875" style="1" customWidth="1"/>
    <col min="2307" max="2308" width="13.85546875" style="1" customWidth="1"/>
    <col min="2309" max="2309" width="16.42578125" style="1" customWidth="1"/>
    <col min="2310" max="2310" width="15.140625" style="1" customWidth="1"/>
    <col min="2311" max="2560" width="9.140625" style="1"/>
    <col min="2561" max="2561" width="12" style="1" customWidth="1"/>
    <col min="2562" max="2562" width="16.85546875" style="1" customWidth="1"/>
    <col min="2563" max="2564" width="13.85546875" style="1" customWidth="1"/>
    <col min="2565" max="2565" width="16.42578125" style="1" customWidth="1"/>
    <col min="2566" max="2566" width="15.140625" style="1" customWidth="1"/>
    <col min="2567" max="2816" width="9.140625" style="1"/>
    <col min="2817" max="2817" width="12" style="1" customWidth="1"/>
    <col min="2818" max="2818" width="16.85546875" style="1" customWidth="1"/>
    <col min="2819" max="2820" width="13.85546875" style="1" customWidth="1"/>
    <col min="2821" max="2821" width="16.42578125" style="1" customWidth="1"/>
    <col min="2822" max="2822" width="15.140625" style="1" customWidth="1"/>
    <col min="2823" max="3072" width="9.140625" style="1"/>
    <col min="3073" max="3073" width="12" style="1" customWidth="1"/>
    <col min="3074" max="3074" width="16.85546875" style="1" customWidth="1"/>
    <col min="3075" max="3076" width="13.85546875" style="1" customWidth="1"/>
    <col min="3077" max="3077" width="16.42578125" style="1" customWidth="1"/>
    <col min="3078" max="3078" width="15.140625" style="1" customWidth="1"/>
    <col min="3079" max="3328" width="9.140625" style="1"/>
    <col min="3329" max="3329" width="12" style="1" customWidth="1"/>
    <col min="3330" max="3330" width="16.85546875" style="1" customWidth="1"/>
    <col min="3331" max="3332" width="13.85546875" style="1" customWidth="1"/>
    <col min="3333" max="3333" width="16.42578125" style="1" customWidth="1"/>
    <col min="3334" max="3334" width="15.140625" style="1" customWidth="1"/>
    <col min="3335" max="3584" width="9.140625" style="1"/>
    <col min="3585" max="3585" width="12" style="1" customWidth="1"/>
    <col min="3586" max="3586" width="16.85546875" style="1" customWidth="1"/>
    <col min="3587" max="3588" width="13.85546875" style="1" customWidth="1"/>
    <col min="3589" max="3589" width="16.42578125" style="1" customWidth="1"/>
    <col min="3590" max="3590" width="15.140625" style="1" customWidth="1"/>
    <col min="3591" max="3840" width="9.140625" style="1"/>
    <col min="3841" max="3841" width="12" style="1" customWidth="1"/>
    <col min="3842" max="3842" width="16.85546875" style="1" customWidth="1"/>
    <col min="3843" max="3844" width="13.85546875" style="1" customWidth="1"/>
    <col min="3845" max="3845" width="16.42578125" style="1" customWidth="1"/>
    <col min="3846" max="3846" width="15.140625" style="1" customWidth="1"/>
    <col min="3847" max="4096" width="9.140625" style="1"/>
    <col min="4097" max="4097" width="12" style="1" customWidth="1"/>
    <col min="4098" max="4098" width="16.85546875" style="1" customWidth="1"/>
    <col min="4099" max="4100" width="13.85546875" style="1" customWidth="1"/>
    <col min="4101" max="4101" width="16.42578125" style="1" customWidth="1"/>
    <col min="4102" max="4102" width="15.140625" style="1" customWidth="1"/>
    <col min="4103" max="4352" width="9.140625" style="1"/>
    <col min="4353" max="4353" width="12" style="1" customWidth="1"/>
    <col min="4354" max="4354" width="16.85546875" style="1" customWidth="1"/>
    <col min="4355" max="4356" width="13.85546875" style="1" customWidth="1"/>
    <col min="4357" max="4357" width="16.42578125" style="1" customWidth="1"/>
    <col min="4358" max="4358" width="15.140625" style="1" customWidth="1"/>
    <col min="4359" max="4608" width="9.140625" style="1"/>
    <col min="4609" max="4609" width="12" style="1" customWidth="1"/>
    <col min="4610" max="4610" width="16.85546875" style="1" customWidth="1"/>
    <col min="4611" max="4612" width="13.85546875" style="1" customWidth="1"/>
    <col min="4613" max="4613" width="16.42578125" style="1" customWidth="1"/>
    <col min="4614" max="4614" width="15.140625" style="1" customWidth="1"/>
    <col min="4615" max="4864" width="9.140625" style="1"/>
    <col min="4865" max="4865" width="12" style="1" customWidth="1"/>
    <col min="4866" max="4866" width="16.85546875" style="1" customWidth="1"/>
    <col min="4867" max="4868" width="13.85546875" style="1" customWidth="1"/>
    <col min="4869" max="4869" width="16.42578125" style="1" customWidth="1"/>
    <col min="4870" max="4870" width="15.140625" style="1" customWidth="1"/>
    <col min="4871" max="5120" width="9.140625" style="1"/>
    <col min="5121" max="5121" width="12" style="1" customWidth="1"/>
    <col min="5122" max="5122" width="16.85546875" style="1" customWidth="1"/>
    <col min="5123" max="5124" width="13.85546875" style="1" customWidth="1"/>
    <col min="5125" max="5125" width="16.42578125" style="1" customWidth="1"/>
    <col min="5126" max="5126" width="15.140625" style="1" customWidth="1"/>
    <col min="5127" max="5376" width="9.140625" style="1"/>
    <col min="5377" max="5377" width="12" style="1" customWidth="1"/>
    <col min="5378" max="5378" width="16.85546875" style="1" customWidth="1"/>
    <col min="5379" max="5380" width="13.85546875" style="1" customWidth="1"/>
    <col min="5381" max="5381" width="16.42578125" style="1" customWidth="1"/>
    <col min="5382" max="5382" width="15.140625" style="1" customWidth="1"/>
    <col min="5383" max="5632" width="9.140625" style="1"/>
    <col min="5633" max="5633" width="12" style="1" customWidth="1"/>
    <col min="5634" max="5634" width="16.85546875" style="1" customWidth="1"/>
    <col min="5635" max="5636" width="13.85546875" style="1" customWidth="1"/>
    <col min="5637" max="5637" width="16.42578125" style="1" customWidth="1"/>
    <col min="5638" max="5638" width="15.140625" style="1" customWidth="1"/>
    <col min="5639" max="5888" width="9.140625" style="1"/>
    <col min="5889" max="5889" width="12" style="1" customWidth="1"/>
    <col min="5890" max="5890" width="16.85546875" style="1" customWidth="1"/>
    <col min="5891" max="5892" width="13.85546875" style="1" customWidth="1"/>
    <col min="5893" max="5893" width="16.42578125" style="1" customWidth="1"/>
    <col min="5894" max="5894" width="15.140625" style="1" customWidth="1"/>
    <col min="5895" max="6144" width="9.140625" style="1"/>
    <col min="6145" max="6145" width="12" style="1" customWidth="1"/>
    <col min="6146" max="6146" width="16.85546875" style="1" customWidth="1"/>
    <col min="6147" max="6148" width="13.85546875" style="1" customWidth="1"/>
    <col min="6149" max="6149" width="16.42578125" style="1" customWidth="1"/>
    <col min="6150" max="6150" width="15.140625" style="1" customWidth="1"/>
    <col min="6151" max="6400" width="9.140625" style="1"/>
    <col min="6401" max="6401" width="12" style="1" customWidth="1"/>
    <col min="6402" max="6402" width="16.85546875" style="1" customWidth="1"/>
    <col min="6403" max="6404" width="13.85546875" style="1" customWidth="1"/>
    <col min="6405" max="6405" width="16.42578125" style="1" customWidth="1"/>
    <col min="6406" max="6406" width="15.140625" style="1" customWidth="1"/>
    <col min="6407" max="6656" width="9.140625" style="1"/>
    <col min="6657" max="6657" width="12" style="1" customWidth="1"/>
    <col min="6658" max="6658" width="16.85546875" style="1" customWidth="1"/>
    <col min="6659" max="6660" width="13.85546875" style="1" customWidth="1"/>
    <col min="6661" max="6661" width="16.42578125" style="1" customWidth="1"/>
    <col min="6662" max="6662" width="15.140625" style="1" customWidth="1"/>
    <col min="6663" max="6912" width="9.140625" style="1"/>
    <col min="6913" max="6913" width="12" style="1" customWidth="1"/>
    <col min="6914" max="6914" width="16.85546875" style="1" customWidth="1"/>
    <col min="6915" max="6916" width="13.85546875" style="1" customWidth="1"/>
    <col min="6917" max="6917" width="16.42578125" style="1" customWidth="1"/>
    <col min="6918" max="6918" width="15.140625" style="1" customWidth="1"/>
    <col min="6919" max="7168" width="9.140625" style="1"/>
    <col min="7169" max="7169" width="12" style="1" customWidth="1"/>
    <col min="7170" max="7170" width="16.85546875" style="1" customWidth="1"/>
    <col min="7171" max="7172" width="13.85546875" style="1" customWidth="1"/>
    <col min="7173" max="7173" width="16.42578125" style="1" customWidth="1"/>
    <col min="7174" max="7174" width="15.140625" style="1" customWidth="1"/>
    <col min="7175" max="7424" width="9.140625" style="1"/>
    <col min="7425" max="7425" width="12" style="1" customWidth="1"/>
    <col min="7426" max="7426" width="16.85546875" style="1" customWidth="1"/>
    <col min="7427" max="7428" width="13.85546875" style="1" customWidth="1"/>
    <col min="7429" max="7429" width="16.42578125" style="1" customWidth="1"/>
    <col min="7430" max="7430" width="15.140625" style="1" customWidth="1"/>
    <col min="7431" max="7680" width="9.140625" style="1"/>
    <col min="7681" max="7681" width="12" style="1" customWidth="1"/>
    <col min="7682" max="7682" width="16.85546875" style="1" customWidth="1"/>
    <col min="7683" max="7684" width="13.85546875" style="1" customWidth="1"/>
    <col min="7685" max="7685" width="16.42578125" style="1" customWidth="1"/>
    <col min="7686" max="7686" width="15.140625" style="1" customWidth="1"/>
    <col min="7687" max="7936" width="9.140625" style="1"/>
    <col min="7937" max="7937" width="12" style="1" customWidth="1"/>
    <col min="7938" max="7938" width="16.85546875" style="1" customWidth="1"/>
    <col min="7939" max="7940" width="13.85546875" style="1" customWidth="1"/>
    <col min="7941" max="7941" width="16.42578125" style="1" customWidth="1"/>
    <col min="7942" max="7942" width="15.140625" style="1" customWidth="1"/>
    <col min="7943" max="8192" width="9.140625" style="1"/>
    <col min="8193" max="8193" width="12" style="1" customWidth="1"/>
    <col min="8194" max="8194" width="16.85546875" style="1" customWidth="1"/>
    <col min="8195" max="8196" width="13.85546875" style="1" customWidth="1"/>
    <col min="8197" max="8197" width="16.42578125" style="1" customWidth="1"/>
    <col min="8198" max="8198" width="15.140625" style="1" customWidth="1"/>
    <col min="8199" max="8448" width="9.140625" style="1"/>
    <col min="8449" max="8449" width="12" style="1" customWidth="1"/>
    <col min="8450" max="8450" width="16.85546875" style="1" customWidth="1"/>
    <col min="8451" max="8452" width="13.85546875" style="1" customWidth="1"/>
    <col min="8453" max="8453" width="16.42578125" style="1" customWidth="1"/>
    <col min="8454" max="8454" width="15.140625" style="1" customWidth="1"/>
    <col min="8455" max="8704" width="9.140625" style="1"/>
    <col min="8705" max="8705" width="12" style="1" customWidth="1"/>
    <col min="8706" max="8706" width="16.85546875" style="1" customWidth="1"/>
    <col min="8707" max="8708" width="13.85546875" style="1" customWidth="1"/>
    <col min="8709" max="8709" width="16.42578125" style="1" customWidth="1"/>
    <col min="8710" max="8710" width="15.140625" style="1" customWidth="1"/>
    <col min="8711" max="8960" width="9.140625" style="1"/>
    <col min="8961" max="8961" width="12" style="1" customWidth="1"/>
    <col min="8962" max="8962" width="16.85546875" style="1" customWidth="1"/>
    <col min="8963" max="8964" width="13.85546875" style="1" customWidth="1"/>
    <col min="8965" max="8965" width="16.42578125" style="1" customWidth="1"/>
    <col min="8966" max="8966" width="15.140625" style="1" customWidth="1"/>
    <col min="8967" max="9216" width="9.140625" style="1"/>
    <col min="9217" max="9217" width="12" style="1" customWidth="1"/>
    <col min="9218" max="9218" width="16.85546875" style="1" customWidth="1"/>
    <col min="9219" max="9220" width="13.85546875" style="1" customWidth="1"/>
    <col min="9221" max="9221" width="16.42578125" style="1" customWidth="1"/>
    <col min="9222" max="9222" width="15.140625" style="1" customWidth="1"/>
    <col min="9223" max="9472" width="9.140625" style="1"/>
    <col min="9473" max="9473" width="12" style="1" customWidth="1"/>
    <col min="9474" max="9474" width="16.85546875" style="1" customWidth="1"/>
    <col min="9475" max="9476" width="13.85546875" style="1" customWidth="1"/>
    <col min="9477" max="9477" width="16.42578125" style="1" customWidth="1"/>
    <col min="9478" max="9478" width="15.140625" style="1" customWidth="1"/>
    <col min="9479" max="9728" width="9.140625" style="1"/>
    <col min="9729" max="9729" width="12" style="1" customWidth="1"/>
    <col min="9730" max="9730" width="16.85546875" style="1" customWidth="1"/>
    <col min="9731" max="9732" width="13.85546875" style="1" customWidth="1"/>
    <col min="9733" max="9733" width="16.42578125" style="1" customWidth="1"/>
    <col min="9734" max="9734" width="15.140625" style="1" customWidth="1"/>
    <col min="9735" max="9984" width="9.140625" style="1"/>
    <col min="9985" max="9985" width="12" style="1" customWidth="1"/>
    <col min="9986" max="9986" width="16.85546875" style="1" customWidth="1"/>
    <col min="9987" max="9988" width="13.85546875" style="1" customWidth="1"/>
    <col min="9989" max="9989" width="16.42578125" style="1" customWidth="1"/>
    <col min="9990" max="9990" width="15.140625" style="1" customWidth="1"/>
    <col min="9991" max="10240" width="9.140625" style="1"/>
    <col min="10241" max="10241" width="12" style="1" customWidth="1"/>
    <col min="10242" max="10242" width="16.85546875" style="1" customWidth="1"/>
    <col min="10243" max="10244" width="13.85546875" style="1" customWidth="1"/>
    <col min="10245" max="10245" width="16.42578125" style="1" customWidth="1"/>
    <col min="10246" max="10246" width="15.140625" style="1" customWidth="1"/>
    <col min="10247" max="10496" width="9.140625" style="1"/>
    <col min="10497" max="10497" width="12" style="1" customWidth="1"/>
    <col min="10498" max="10498" width="16.85546875" style="1" customWidth="1"/>
    <col min="10499" max="10500" width="13.85546875" style="1" customWidth="1"/>
    <col min="10501" max="10501" width="16.42578125" style="1" customWidth="1"/>
    <col min="10502" max="10502" width="15.140625" style="1" customWidth="1"/>
    <col min="10503" max="10752" width="9.140625" style="1"/>
    <col min="10753" max="10753" width="12" style="1" customWidth="1"/>
    <col min="10754" max="10754" width="16.85546875" style="1" customWidth="1"/>
    <col min="10755" max="10756" width="13.85546875" style="1" customWidth="1"/>
    <col min="10757" max="10757" width="16.42578125" style="1" customWidth="1"/>
    <col min="10758" max="10758" width="15.140625" style="1" customWidth="1"/>
    <col min="10759" max="11008" width="9.140625" style="1"/>
    <col min="11009" max="11009" width="12" style="1" customWidth="1"/>
    <col min="11010" max="11010" width="16.85546875" style="1" customWidth="1"/>
    <col min="11011" max="11012" width="13.85546875" style="1" customWidth="1"/>
    <col min="11013" max="11013" width="16.42578125" style="1" customWidth="1"/>
    <col min="11014" max="11014" width="15.140625" style="1" customWidth="1"/>
    <col min="11015" max="11264" width="9.140625" style="1"/>
    <col min="11265" max="11265" width="12" style="1" customWidth="1"/>
    <col min="11266" max="11266" width="16.85546875" style="1" customWidth="1"/>
    <col min="11267" max="11268" width="13.85546875" style="1" customWidth="1"/>
    <col min="11269" max="11269" width="16.42578125" style="1" customWidth="1"/>
    <col min="11270" max="11270" width="15.140625" style="1" customWidth="1"/>
    <col min="11271" max="11520" width="9.140625" style="1"/>
    <col min="11521" max="11521" width="12" style="1" customWidth="1"/>
    <col min="11522" max="11522" width="16.85546875" style="1" customWidth="1"/>
    <col min="11523" max="11524" width="13.85546875" style="1" customWidth="1"/>
    <col min="11525" max="11525" width="16.42578125" style="1" customWidth="1"/>
    <col min="11526" max="11526" width="15.140625" style="1" customWidth="1"/>
    <col min="11527" max="11776" width="9.140625" style="1"/>
    <col min="11777" max="11777" width="12" style="1" customWidth="1"/>
    <col min="11778" max="11778" width="16.85546875" style="1" customWidth="1"/>
    <col min="11779" max="11780" width="13.85546875" style="1" customWidth="1"/>
    <col min="11781" max="11781" width="16.42578125" style="1" customWidth="1"/>
    <col min="11782" max="11782" width="15.140625" style="1" customWidth="1"/>
    <col min="11783" max="12032" width="9.140625" style="1"/>
    <col min="12033" max="12033" width="12" style="1" customWidth="1"/>
    <col min="12034" max="12034" width="16.85546875" style="1" customWidth="1"/>
    <col min="12035" max="12036" width="13.85546875" style="1" customWidth="1"/>
    <col min="12037" max="12037" width="16.42578125" style="1" customWidth="1"/>
    <col min="12038" max="12038" width="15.140625" style="1" customWidth="1"/>
    <col min="12039" max="12288" width="9.140625" style="1"/>
    <col min="12289" max="12289" width="12" style="1" customWidth="1"/>
    <col min="12290" max="12290" width="16.85546875" style="1" customWidth="1"/>
    <col min="12291" max="12292" width="13.85546875" style="1" customWidth="1"/>
    <col min="12293" max="12293" width="16.42578125" style="1" customWidth="1"/>
    <col min="12294" max="12294" width="15.140625" style="1" customWidth="1"/>
    <col min="12295" max="12544" width="9.140625" style="1"/>
    <col min="12545" max="12545" width="12" style="1" customWidth="1"/>
    <col min="12546" max="12546" width="16.85546875" style="1" customWidth="1"/>
    <col min="12547" max="12548" width="13.85546875" style="1" customWidth="1"/>
    <col min="12549" max="12549" width="16.42578125" style="1" customWidth="1"/>
    <col min="12550" max="12550" width="15.140625" style="1" customWidth="1"/>
    <col min="12551" max="12800" width="9.140625" style="1"/>
    <col min="12801" max="12801" width="12" style="1" customWidth="1"/>
    <col min="12802" max="12802" width="16.85546875" style="1" customWidth="1"/>
    <col min="12803" max="12804" width="13.85546875" style="1" customWidth="1"/>
    <col min="12805" max="12805" width="16.42578125" style="1" customWidth="1"/>
    <col min="12806" max="12806" width="15.140625" style="1" customWidth="1"/>
    <col min="12807" max="13056" width="9.140625" style="1"/>
    <col min="13057" max="13057" width="12" style="1" customWidth="1"/>
    <col min="13058" max="13058" width="16.85546875" style="1" customWidth="1"/>
    <col min="13059" max="13060" width="13.85546875" style="1" customWidth="1"/>
    <col min="13061" max="13061" width="16.42578125" style="1" customWidth="1"/>
    <col min="13062" max="13062" width="15.140625" style="1" customWidth="1"/>
    <col min="13063" max="13312" width="9.140625" style="1"/>
    <col min="13313" max="13313" width="12" style="1" customWidth="1"/>
    <col min="13314" max="13314" width="16.85546875" style="1" customWidth="1"/>
    <col min="13315" max="13316" width="13.85546875" style="1" customWidth="1"/>
    <col min="13317" max="13317" width="16.42578125" style="1" customWidth="1"/>
    <col min="13318" max="13318" width="15.140625" style="1" customWidth="1"/>
    <col min="13319" max="13568" width="9.140625" style="1"/>
    <col min="13569" max="13569" width="12" style="1" customWidth="1"/>
    <col min="13570" max="13570" width="16.85546875" style="1" customWidth="1"/>
    <col min="13571" max="13572" width="13.85546875" style="1" customWidth="1"/>
    <col min="13573" max="13573" width="16.42578125" style="1" customWidth="1"/>
    <col min="13574" max="13574" width="15.140625" style="1" customWidth="1"/>
    <col min="13575" max="13824" width="9.140625" style="1"/>
    <col min="13825" max="13825" width="12" style="1" customWidth="1"/>
    <col min="13826" max="13826" width="16.85546875" style="1" customWidth="1"/>
    <col min="13827" max="13828" width="13.85546875" style="1" customWidth="1"/>
    <col min="13829" max="13829" width="16.42578125" style="1" customWidth="1"/>
    <col min="13830" max="13830" width="15.140625" style="1" customWidth="1"/>
    <col min="13831" max="14080" width="9.140625" style="1"/>
    <col min="14081" max="14081" width="12" style="1" customWidth="1"/>
    <col min="14082" max="14082" width="16.85546875" style="1" customWidth="1"/>
    <col min="14083" max="14084" width="13.85546875" style="1" customWidth="1"/>
    <col min="14085" max="14085" width="16.42578125" style="1" customWidth="1"/>
    <col min="14086" max="14086" width="15.140625" style="1" customWidth="1"/>
    <col min="14087" max="14336" width="9.140625" style="1"/>
    <col min="14337" max="14337" width="12" style="1" customWidth="1"/>
    <col min="14338" max="14338" width="16.85546875" style="1" customWidth="1"/>
    <col min="14339" max="14340" width="13.85546875" style="1" customWidth="1"/>
    <col min="14341" max="14341" width="16.42578125" style="1" customWidth="1"/>
    <col min="14342" max="14342" width="15.140625" style="1" customWidth="1"/>
    <col min="14343" max="14592" width="9.140625" style="1"/>
    <col min="14593" max="14593" width="12" style="1" customWidth="1"/>
    <col min="14594" max="14594" width="16.85546875" style="1" customWidth="1"/>
    <col min="14595" max="14596" width="13.85546875" style="1" customWidth="1"/>
    <col min="14597" max="14597" width="16.42578125" style="1" customWidth="1"/>
    <col min="14598" max="14598" width="15.140625" style="1" customWidth="1"/>
    <col min="14599" max="14848" width="9.140625" style="1"/>
    <col min="14849" max="14849" width="12" style="1" customWidth="1"/>
    <col min="14850" max="14850" width="16.85546875" style="1" customWidth="1"/>
    <col min="14851" max="14852" width="13.85546875" style="1" customWidth="1"/>
    <col min="14853" max="14853" width="16.42578125" style="1" customWidth="1"/>
    <col min="14854" max="14854" width="15.140625" style="1" customWidth="1"/>
    <col min="14855" max="15104" width="9.140625" style="1"/>
    <col min="15105" max="15105" width="12" style="1" customWidth="1"/>
    <col min="15106" max="15106" width="16.85546875" style="1" customWidth="1"/>
    <col min="15107" max="15108" width="13.85546875" style="1" customWidth="1"/>
    <col min="15109" max="15109" width="16.42578125" style="1" customWidth="1"/>
    <col min="15110" max="15110" width="15.140625" style="1" customWidth="1"/>
    <col min="15111" max="15360" width="9.140625" style="1"/>
    <col min="15361" max="15361" width="12" style="1" customWidth="1"/>
    <col min="15362" max="15362" width="16.85546875" style="1" customWidth="1"/>
    <col min="15363" max="15364" width="13.85546875" style="1" customWidth="1"/>
    <col min="15365" max="15365" width="16.42578125" style="1" customWidth="1"/>
    <col min="15366" max="15366" width="15.140625" style="1" customWidth="1"/>
    <col min="15367" max="15616" width="9.140625" style="1"/>
    <col min="15617" max="15617" width="12" style="1" customWidth="1"/>
    <col min="15618" max="15618" width="16.85546875" style="1" customWidth="1"/>
    <col min="15619" max="15620" width="13.85546875" style="1" customWidth="1"/>
    <col min="15621" max="15621" width="16.42578125" style="1" customWidth="1"/>
    <col min="15622" max="15622" width="15.140625" style="1" customWidth="1"/>
    <col min="15623" max="15872" width="9.140625" style="1"/>
    <col min="15873" max="15873" width="12" style="1" customWidth="1"/>
    <col min="15874" max="15874" width="16.85546875" style="1" customWidth="1"/>
    <col min="15875" max="15876" width="13.85546875" style="1" customWidth="1"/>
    <col min="15877" max="15877" width="16.42578125" style="1" customWidth="1"/>
    <col min="15878" max="15878" width="15.140625" style="1" customWidth="1"/>
    <col min="15879" max="16128" width="9.140625" style="1"/>
    <col min="16129" max="16129" width="12" style="1" customWidth="1"/>
    <col min="16130" max="16130" width="16.85546875" style="1" customWidth="1"/>
    <col min="16131" max="16132" width="13.85546875" style="1" customWidth="1"/>
    <col min="16133" max="16133" width="16.42578125" style="1" customWidth="1"/>
    <col min="16134" max="16134" width="15.140625" style="1" customWidth="1"/>
    <col min="16135" max="16384" width="9.140625" style="1"/>
  </cols>
  <sheetData>
    <row r="1" spans="1:14" s="7" customFormat="1" ht="12.75" x14ac:dyDescent="0.2">
      <c r="A1" s="7" t="s">
        <v>29</v>
      </c>
      <c r="C1" s="8"/>
      <c r="D1" s="8"/>
      <c r="E1" s="8"/>
      <c r="F1" s="8"/>
      <c r="G1" s="8"/>
      <c r="H1" s="15"/>
      <c r="I1" s="8"/>
      <c r="J1" s="8"/>
      <c r="K1" s="8"/>
      <c r="L1" s="8"/>
      <c r="M1" s="8"/>
      <c r="N1" s="8"/>
    </row>
    <row r="2" spans="1:14" s="7" customFormat="1" ht="12.75" x14ac:dyDescent="0.2">
      <c r="A2" s="7" t="s">
        <v>30</v>
      </c>
      <c r="C2" s="8"/>
      <c r="D2" s="8"/>
      <c r="E2" s="8"/>
      <c r="F2" s="8"/>
      <c r="G2" s="8"/>
      <c r="H2" s="15"/>
      <c r="I2" s="8"/>
      <c r="J2" s="8"/>
      <c r="K2" s="8"/>
      <c r="L2" s="8"/>
      <c r="M2" s="8"/>
      <c r="N2" s="8"/>
    </row>
    <row r="3" spans="1:14" s="7" customFormat="1" ht="12.75" x14ac:dyDescent="0.2">
      <c r="C3" s="8"/>
      <c r="D3" s="8"/>
      <c r="E3" s="8"/>
      <c r="F3" s="8"/>
      <c r="G3" s="8"/>
      <c r="H3" s="15"/>
      <c r="I3" s="8"/>
      <c r="J3" s="8"/>
      <c r="K3" s="8"/>
      <c r="L3" s="8"/>
      <c r="M3" s="8"/>
      <c r="N3" s="8"/>
    </row>
    <row r="4" spans="1:14" x14ac:dyDescent="0.25">
      <c r="A4" s="17" t="s">
        <v>0</v>
      </c>
      <c r="B4" s="17"/>
      <c r="C4" s="17"/>
      <c r="D4" s="17"/>
      <c r="E4" s="17"/>
      <c r="F4" s="17"/>
    </row>
    <row r="5" spans="1:14" x14ac:dyDescent="0.25">
      <c r="A5" s="18" t="s">
        <v>31</v>
      </c>
      <c r="B5" s="18"/>
      <c r="C5" s="18"/>
      <c r="D5" s="18"/>
      <c r="E5" s="18"/>
      <c r="F5" s="18"/>
    </row>
    <row r="6" spans="1:14" x14ac:dyDescent="0.25">
      <c r="A6" s="5"/>
      <c r="B6" s="6" t="s">
        <v>1</v>
      </c>
      <c r="C6" s="6" t="s">
        <v>2</v>
      </c>
      <c r="D6" s="6" t="s">
        <v>3</v>
      </c>
      <c r="E6" s="6" t="s">
        <v>16</v>
      </c>
      <c r="F6" s="6" t="s">
        <v>17</v>
      </c>
      <c r="H6" s="16" t="s">
        <v>32</v>
      </c>
      <c r="I6" s="4" t="s">
        <v>33</v>
      </c>
      <c r="J6" s="4" t="s">
        <v>34</v>
      </c>
    </row>
    <row r="7" spans="1:14" x14ac:dyDescent="0.25">
      <c r="A7" s="2" t="s">
        <v>4</v>
      </c>
      <c r="B7" s="3">
        <v>93562257</v>
      </c>
      <c r="C7" s="3">
        <v>18055000</v>
      </c>
      <c r="D7" s="3">
        <f>B7+C7</f>
        <v>111617257</v>
      </c>
      <c r="E7" s="3">
        <f>D7*0.4</f>
        <v>44646902.800000004</v>
      </c>
      <c r="F7" s="3">
        <f>D7-E7</f>
        <v>66970354.199999996</v>
      </c>
      <c r="H7" s="16">
        <v>58.5</v>
      </c>
      <c r="I7" s="4">
        <v>230000</v>
      </c>
      <c r="J7" s="4">
        <f>H7*I7</f>
        <v>13455000</v>
      </c>
    </row>
    <row r="8" spans="1:14" x14ac:dyDescent="0.25">
      <c r="A8" s="2" t="s">
        <v>5</v>
      </c>
      <c r="B8" s="3">
        <v>78517366</v>
      </c>
      <c r="C8" s="3">
        <v>12535000</v>
      </c>
      <c r="D8" s="3">
        <f t="shared" ref="D8:D18" si="0">B8+C8</f>
        <v>91052366</v>
      </c>
      <c r="E8" s="3">
        <f t="shared" ref="E8:E18" si="1">D8*0.4</f>
        <v>36420946.399999999</v>
      </c>
      <c r="F8" s="3">
        <f t="shared" ref="F8:F19" si="2">D8-E8</f>
        <v>54631419.600000001</v>
      </c>
      <c r="H8" s="16">
        <v>44.5</v>
      </c>
      <c r="I8" s="4">
        <v>230000</v>
      </c>
      <c r="J8" s="4">
        <f t="shared" ref="J8:J18" si="3">H8*I8</f>
        <v>10235000</v>
      </c>
    </row>
    <row r="9" spans="1:14" x14ac:dyDescent="0.25">
      <c r="A9" s="2" t="s">
        <v>6</v>
      </c>
      <c r="B9" s="3">
        <v>103894900</v>
      </c>
      <c r="C9" s="3">
        <v>17940000</v>
      </c>
      <c r="D9" s="3">
        <f t="shared" si="0"/>
        <v>121834900</v>
      </c>
      <c r="E9" s="3">
        <f t="shared" si="1"/>
        <v>48733960</v>
      </c>
      <c r="F9" s="3">
        <f t="shared" si="2"/>
        <v>73100940</v>
      </c>
      <c r="H9" s="16">
        <v>68</v>
      </c>
      <c r="I9" s="4">
        <v>230000</v>
      </c>
      <c r="J9" s="4">
        <f t="shared" si="3"/>
        <v>15640000</v>
      </c>
    </row>
    <row r="10" spans="1:14" x14ac:dyDescent="0.25">
      <c r="A10" s="2" t="s">
        <v>7</v>
      </c>
      <c r="B10" s="3">
        <v>106135802</v>
      </c>
      <c r="C10" s="3">
        <v>15755000</v>
      </c>
      <c r="D10" s="3">
        <f t="shared" si="0"/>
        <v>121890802</v>
      </c>
      <c r="E10" s="3">
        <f t="shared" si="1"/>
        <v>48756320.800000004</v>
      </c>
      <c r="F10" s="3">
        <f t="shared" si="2"/>
        <v>73134481.199999988</v>
      </c>
      <c r="H10" s="16">
        <v>58.5</v>
      </c>
      <c r="I10" s="4">
        <v>230000</v>
      </c>
      <c r="J10" s="4">
        <f t="shared" si="3"/>
        <v>13455000</v>
      </c>
    </row>
    <row r="11" spans="1:14" x14ac:dyDescent="0.25">
      <c r="A11" s="2" t="s">
        <v>8</v>
      </c>
      <c r="B11" s="3">
        <v>154525337</v>
      </c>
      <c r="C11" s="3">
        <v>23115000</v>
      </c>
      <c r="D11" s="3">
        <f t="shared" si="0"/>
        <v>177640337</v>
      </c>
      <c r="E11" s="3">
        <f t="shared" si="1"/>
        <v>71056134.799999997</v>
      </c>
      <c r="F11" s="3">
        <f t="shared" si="2"/>
        <v>106584202.2</v>
      </c>
      <c r="H11" s="16">
        <v>90.5</v>
      </c>
      <c r="I11" s="4">
        <v>230000</v>
      </c>
      <c r="J11" s="4">
        <f t="shared" si="3"/>
        <v>20815000</v>
      </c>
    </row>
    <row r="12" spans="1:14" x14ac:dyDescent="0.25">
      <c r="A12" s="2" t="s">
        <v>9</v>
      </c>
      <c r="B12" s="3">
        <v>140440132</v>
      </c>
      <c r="C12" s="3">
        <v>20240000</v>
      </c>
      <c r="D12" s="3">
        <f t="shared" si="0"/>
        <v>160680132</v>
      </c>
      <c r="E12" s="3">
        <f t="shared" si="1"/>
        <v>64272052.800000004</v>
      </c>
      <c r="F12" s="3">
        <f t="shared" si="2"/>
        <v>96408079.199999988</v>
      </c>
      <c r="H12" s="16">
        <v>68</v>
      </c>
      <c r="I12" s="4">
        <v>230000</v>
      </c>
      <c r="J12" s="4">
        <f t="shared" si="3"/>
        <v>15640000</v>
      </c>
    </row>
    <row r="13" spans="1:14" x14ac:dyDescent="0.25">
      <c r="A13" s="2" t="s">
        <v>10</v>
      </c>
      <c r="B13" s="3">
        <v>127870120</v>
      </c>
      <c r="C13" s="3">
        <v>18860000</v>
      </c>
      <c r="D13" s="3">
        <f t="shared" si="0"/>
        <v>146730120</v>
      </c>
      <c r="E13" s="3">
        <f t="shared" si="1"/>
        <v>58692048</v>
      </c>
      <c r="F13" s="3">
        <f t="shared" si="2"/>
        <v>88038072</v>
      </c>
      <c r="H13" s="16">
        <v>62</v>
      </c>
      <c r="I13" s="4">
        <v>230000</v>
      </c>
      <c r="J13" s="4">
        <f t="shared" si="3"/>
        <v>14260000</v>
      </c>
    </row>
    <row r="14" spans="1:14" x14ac:dyDescent="0.25">
      <c r="A14" s="2" t="s">
        <v>11</v>
      </c>
      <c r="B14" s="3">
        <v>110845955</v>
      </c>
      <c r="C14" s="3">
        <v>17595000</v>
      </c>
      <c r="D14" s="3">
        <f t="shared" si="0"/>
        <v>128440955</v>
      </c>
      <c r="E14" s="3">
        <f t="shared" si="1"/>
        <v>51376382</v>
      </c>
      <c r="F14" s="3">
        <f t="shared" si="2"/>
        <v>77064573</v>
      </c>
      <c r="H14" s="16">
        <v>56.5</v>
      </c>
      <c r="I14" s="4">
        <v>230000</v>
      </c>
      <c r="J14" s="4">
        <f t="shared" si="3"/>
        <v>12995000</v>
      </c>
    </row>
    <row r="15" spans="1:14" x14ac:dyDescent="0.25">
      <c r="A15" s="2" t="s">
        <v>12</v>
      </c>
      <c r="B15" s="3">
        <v>110915967</v>
      </c>
      <c r="C15" s="3">
        <v>17365000</v>
      </c>
      <c r="D15" s="3">
        <f t="shared" si="0"/>
        <v>128280967</v>
      </c>
      <c r="E15" s="3">
        <f t="shared" si="1"/>
        <v>51312386.800000004</v>
      </c>
      <c r="F15" s="3">
        <f t="shared" si="2"/>
        <v>76968580.199999988</v>
      </c>
      <c r="H15" s="16">
        <v>65.5</v>
      </c>
      <c r="I15" s="4">
        <v>230000</v>
      </c>
      <c r="J15" s="4">
        <f t="shared" si="3"/>
        <v>15065000</v>
      </c>
    </row>
    <row r="16" spans="1:14" x14ac:dyDescent="0.25">
      <c r="A16" s="2" t="s">
        <v>13</v>
      </c>
      <c r="B16" s="3">
        <v>132568884</v>
      </c>
      <c r="C16" s="3">
        <v>18515000</v>
      </c>
      <c r="D16" s="3">
        <f t="shared" si="0"/>
        <v>151083884</v>
      </c>
      <c r="E16" s="3">
        <f t="shared" si="1"/>
        <v>60433553.600000001</v>
      </c>
      <c r="F16" s="3">
        <f t="shared" si="2"/>
        <v>90650330.400000006</v>
      </c>
      <c r="H16" s="16">
        <v>70.5</v>
      </c>
      <c r="I16" s="4">
        <v>230000</v>
      </c>
      <c r="J16" s="4">
        <f t="shared" si="3"/>
        <v>16215000</v>
      </c>
    </row>
    <row r="17" spans="1:10" x14ac:dyDescent="0.25">
      <c r="A17" s="2" t="s">
        <v>14</v>
      </c>
      <c r="B17" s="3">
        <v>159181125</v>
      </c>
      <c r="C17" s="3">
        <v>21850000</v>
      </c>
      <c r="D17" s="3">
        <f t="shared" si="0"/>
        <v>181031125</v>
      </c>
      <c r="E17" s="3">
        <f t="shared" si="1"/>
        <v>72412450</v>
      </c>
      <c r="F17" s="3">
        <f t="shared" si="2"/>
        <v>108618675</v>
      </c>
      <c r="H17" s="16">
        <v>85</v>
      </c>
      <c r="I17" s="4">
        <v>230000</v>
      </c>
      <c r="J17" s="4">
        <f t="shared" si="3"/>
        <v>19550000</v>
      </c>
    </row>
    <row r="18" spans="1:10" x14ac:dyDescent="0.25">
      <c r="A18" s="2" t="s">
        <v>15</v>
      </c>
      <c r="B18" s="3">
        <v>161821513</v>
      </c>
      <c r="C18" s="3">
        <v>22425000</v>
      </c>
      <c r="D18" s="3">
        <f t="shared" si="0"/>
        <v>184246513</v>
      </c>
      <c r="E18" s="3">
        <f t="shared" si="1"/>
        <v>73698605.200000003</v>
      </c>
      <c r="F18" s="3">
        <f t="shared" si="2"/>
        <v>110547907.8</v>
      </c>
      <c r="H18" s="16">
        <v>87.5</v>
      </c>
      <c r="I18" s="4">
        <v>230000</v>
      </c>
      <c r="J18" s="4">
        <f t="shared" si="3"/>
        <v>20125000</v>
      </c>
    </row>
    <row r="19" spans="1:10" x14ac:dyDescent="0.25">
      <c r="A19" s="2" t="s">
        <v>3</v>
      </c>
      <c r="B19" s="3">
        <f>SUM(B7:B18)</f>
        <v>1480279358</v>
      </c>
      <c r="C19" s="3">
        <f>SUM(C7:C18)</f>
        <v>224250000</v>
      </c>
      <c r="D19" s="3">
        <f t="shared" ref="D19" si="4">SUM(D7:D18)</f>
        <v>1704529358</v>
      </c>
      <c r="E19" s="3">
        <f>SUM(E7:E18)</f>
        <v>681811743.20000005</v>
      </c>
      <c r="F19" s="3">
        <f t="shared" si="2"/>
        <v>1022717614.8</v>
      </c>
      <c r="J19" s="4">
        <f>SUM(J7:J18)</f>
        <v>187450000</v>
      </c>
    </row>
  </sheetData>
  <mergeCells count="2">
    <mergeCell ref="A4:F4"/>
    <mergeCell ref="A5:F5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topLeftCell="A10" zoomScaleNormal="100" workbookViewId="0">
      <selection activeCell="H23" sqref="H23"/>
    </sheetView>
  </sheetViews>
  <sheetFormatPr defaultRowHeight="12.75" x14ac:dyDescent="0.2"/>
  <cols>
    <col min="1" max="1" width="4.7109375" style="7" customWidth="1"/>
    <col min="2" max="2" width="32" style="7" customWidth="1"/>
    <col min="3" max="14" width="13.140625" style="8" customWidth="1"/>
    <col min="15" max="15" width="10.7109375" style="7" bestFit="1" customWidth="1"/>
    <col min="16" max="16384" width="9.140625" style="7"/>
  </cols>
  <sheetData>
    <row r="1" spans="1:15" x14ac:dyDescent="0.2">
      <c r="A1" s="7" t="s">
        <v>29</v>
      </c>
    </row>
    <row r="2" spans="1:15" x14ac:dyDescent="0.2">
      <c r="A2" s="7" t="s">
        <v>30</v>
      </c>
    </row>
    <row r="4" spans="1:15" x14ac:dyDescent="0.2">
      <c r="A4" s="19" t="s">
        <v>28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5" x14ac:dyDescent="0.2">
      <c r="A5" s="19" t="s">
        <v>31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7" spans="1:15" x14ac:dyDescent="0.2">
      <c r="A7" s="9" t="s">
        <v>18</v>
      </c>
      <c r="B7" s="9" t="s">
        <v>19</v>
      </c>
      <c r="C7" s="10" t="s">
        <v>4</v>
      </c>
      <c r="D7" s="10" t="s">
        <v>5</v>
      </c>
      <c r="E7" s="10" t="s">
        <v>6</v>
      </c>
      <c r="F7" s="10" t="s">
        <v>7</v>
      </c>
      <c r="G7" s="10" t="s">
        <v>8</v>
      </c>
      <c r="H7" s="10" t="s">
        <v>9</v>
      </c>
      <c r="I7" s="10" t="s">
        <v>10</v>
      </c>
      <c r="J7" s="10" t="s">
        <v>11</v>
      </c>
      <c r="K7" s="10" t="s">
        <v>12</v>
      </c>
      <c r="L7" s="10" t="s">
        <v>13</v>
      </c>
      <c r="M7" s="10" t="s">
        <v>14</v>
      </c>
      <c r="N7" s="10" t="s">
        <v>15</v>
      </c>
    </row>
    <row r="8" spans="1:15" x14ac:dyDescent="0.2">
      <c r="A8" s="9"/>
      <c r="B8" s="9" t="s">
        <v>20</v>
      </c>
      <c r="C8" s="14">
        <v>34451212</v>
      </c>
      <c r="D8" s="10">
        <f>C14</f>
        <v>40211444.654656418</v>
      </c>
      <c r="E8" s="10">
        <f t="shared" ref="E8:N8" si="0">D14</f>
        <v>43456421.558570869</v>
      </c>
      <c r="F8" s="10">
        <f t="shared" si="0"/>
        <v>49066694.908947758</v>
      </c>
      <c r="G8" s="10">
        <f t="shared" si="0"/>
        <v>57450882.512241103</v>
      </c>
      <c r="H8" s="10">
        <f t="shared" si="0"/>
        <v>69618299.007626384</v>
      </c>
      <c r="I8" s="10">
        <f t="shared" si="0"/>
        <v>61599278.279403716</v>
      </c>
      <c r="J8" s="10">
        <f t="shared" si="0"/>
        <v>64484806.174704164</v>
      </c>
      <c r="K8" s="10">
        <f t="shared" si="0"/>
        <v>63921093.761799254</v>
      </c>
      <c r="L8" s="10">
        <f t="shared" si="0"/>
        <v>66757472.931616418</v>
      </c>
      <c r="M8" s="10">
        <f t="shared" si="0"/>
        <v>70408966.142687857</v>
      </c>
      <c r="N8" s="10">
        <f t="shared" si="0"/>
        <v>74666457.036346644</v>
      </c>
    </row>
    <row r="9" spans="1:15" x14ac:dyDescent="0.2">
      <c r="A9" s="9"/>
      <c r="B9" s="9" t="s">
        <v>21</v>
      </c>
      <c r="C9" s="10">
        <v>40300327</v>
      </c>
      <c r="D9" s="10">
        <v>33329830</v>
      </c>
      <c r="E9" s="10">
        <v>42308539</v>
      </c>
      <c r="F9" s="10">
        <v>54611863</v>
      </c>
      <c r="G9" s="10">
        <v>85630595</v>
      </c>
      <c r="H9" s="10">
        <v>51600869</v>
      </c>
      <c r="I9" s="10">
        <v>57765475</v>
      </c>
      <c r="J9" s="10">
        <v>47327726</v>
      </c>
      <c r="K9" s="10">
        <v>46798629</v>
      </c>
      <c r="L9" s="10">
        <v>54803129</v>
      </c>
      <c r="M9" s="10">
        <v>70280531</v>
      </c>
      <c r="N9" s="10">
        <v>73883911</v>
      </c>
      <c r="O9" s="13">
        <f>SUM(C9:N9)</f>
        <v>658641424</v>
      </c>
    </row>
    <row r="10" spans="1:15" x14ac:dyDescent="0.2">
      <c r="A10" s="9"/>
      <c r="B10" s="9" t="s">
        <v>22</v>
      </c>
      <c r="C10" s="10">
        <v>18774924490</v>
      </c>
      <c r="D10" s="10">
        <f>C13</f>
        <v>19090977626</v>
      </c>
      <c r="E10" s="10">
        <f t="shared" ref="E10:N10" si="1">D13</f>
        <v>21233205357</v>
      </c>
      <c r="F10" s="10">
        <f t="shared" si="1"/>
        <v>21379262629</v>
      </c>
      <c r="G10" s="10">
        <f t="shared" si="1"/>
        <v>19662989968</v>
      </c>
      <c r="H10" s="10">
        <f t="shared" si="1"/>
        <v>20766682377</v>
      </c>
      <c r="I10" s="10">
        <f t="shared" si="1"/>
        <v>19268525559</v>
      </c>
      <c r="J10" s="10">
        <f t="shared" si="1"/>
        <v>19520983242</v>
      </c>
      <c r="K10" s="10">
        <f t="shared" si="1"/>
        <v>20129136262</v>
      </c>
      <c r="L10" s="10">
        <f t="shared" si="1"/>
        <v>22876518640</v>
      </c>
      <c r="M10" s="10">
        <f t="shared" si="1"/>
        <v>22753943290</v>
      </c>
      <c r="N10" s="10">
        <f t="shared" si="1"/>
        <v>21875680171</v>
      </c>
      <c r="O10" s="13"/>
    </row>
    <row r="11" spans="1:15" x14ac:dyDescent="0.2">
      <c r="A11" s="9"/>
      <c r="B11" s="9" t="s">
        <v>23</v>
      </c>
      <c r="C11" s="10">
        <v>16714473387</v>
      </c>
      <c r="D11" s="10">
        <v>16841962339</v>
      </c>
      <c r="E11" s="10">
        <v>16136168246</v>
      </c>
      <c r="F11" s="10">
        <v>14105491563</v>
      </c>
      <c r="G11" s="10">
        <v>23017277144</v>
      </c>
      <c r="H11" s="10">
        <v>17151207284</v>
      </c>
      <c r="I11" s="10">
        <v>16865836730</v>
      </c>
      <c r="J11" s="10">
        <v>15689454557</v>
      </c>
      <c r="K11" s="10">
        <v>17812410809</v>
      </c>
      <c r="L11" s="10">
        <v>16408009939</v>
      </c>
      <c r="M11" s="10">
        <v>18465080152</v>
      </c>
      <c r="N11" s="10">
        <v>19397093635</v>
      </c>
    </row>
    <row r="12" spans="1:15" x14ac:dyDescent="0.2">
      <c r="A12" s="9"/>
      <c r="B12" s="9" t="s">
        <v>24</v>
      </c>
      <c r="C12" s="10">
        <v>16398420251</v>
      </c>
      <c r="D12" s="10">
        <v>14699734608</v>
      </c>
      <c r="E12" s="10">
        <v>15990110974</v>
      </c>
      <c r="F12" s="10">
        <v>15821764224</v>
      </c>
      <c r="G12" s="10">
        <v>21913584735</v>
      </c>
      <c r="H12" s="10">
        <v>18649364102</v>
      </c>
      <c r="I12" s="10">
        <v>16613379047</v>
      </c>
      <c r="J12" s="10">
        <v>15081301537</v>
      </c>
      <c r="K12" s="10">
        <v>15065028431</v>
      </c>
      <c r="L12" s="10">
        <v>16530585289</v>
      </c>
      <c r="M12" s="10">
        <v>19343343271</v>
      </c>
      <c r="N12" s="10">
        <v>20661336367</v>
      </c>
    </row>
    <row r="13" spans="1:15" x14ac:dyDescent="0.2">
      <c r="A13" s="9"/>
      <c r="B13" s="9" t="s">
        <v>25</v>
      </c>
      <c r="C13" s="10">
        <f>C10+C11-C12</f>
        <v>19090977626</v>
      </c>
      <c r="D13" s="10">
        <f>D10+D11-D12</f>
        <v>21233205357</v>
      </c>
      <c r="E13" s="10">
        <f t="shared" ref="E13:N13" si="2">E10+E11-E12</f>
        <v>21379262629</v>
      </c>
      <c r="F13" s="10">
        <f t="shared" si="2"/>
        <v>19662989968</v>
      </c>
      <c r="G13" s="10">
        <f t="shared" si="2"/>
        <v>20766682377</v>
      </c>
      <c r="H13" s="10">
        <f t="shared" si="2"/>
        <v>19268525559</v>
      </c>
      <c r="I13" s="10">
        <f t="shared" si="2"/>
        <v>19520983242</v>
      </c>
      <c r="J13" s="10">
        <f t="shared" si="2"/>
        <v>20129136262</v>
      </c>
      <c r="K13" s="10">
        <f t="shared" si="2"/>
        <v>22876518640</v>
      </c>
      <c r="L13" s="10">
        <f t="shared" si="2"/>
        <v>22753943290</v>
      </c>
      <c r="M13" s="10">
        <f t="shared" si="2"/>
        <v>21875680171</v>
      </c>
      <c r="N13" s="10">
        <f t="shared" si="2"/>
        <v>20611437439</v>
      </c>
    </row>
    <row r="14" spans="1:15" x14ac:dyDescent="0.2">
      <c r="A14" s="9"/>
      <c r="B14" s="9" t="s">
        <v>26</v>
      </c>
      <c r="C14" s="10">
        <f>(C8+C9)/(C10+C11)*C13</f>
        <v>40211444.654656418</v>
      </c>
      <c r="D14" s="10">
        <f t="shared" ref="D14:M14" si="3">(D8+D9)/(D10+D11)*D13</f>
        <v>43456421.558570869</v>
      </c>
      <c r="E14" s="10">
        <f>(E8+E9)/(E10+E11)*E13+1</f>
        <v>49066694.908947758</v>
      </c>
      <c r="F14" s="10">
        <f t="shared" si="3"/>
        <v>57450882.512241103</v>
      </c>
      <c r="G14" s="10">
        <f t="shared" si="3"/>
        <v>69618299.007626384</v>
      </c>
      <c r="H14" s="10">
        <f t="shared" si="3"/>
        <v>61599278.279403716</v>
      </c>
      <c r="I14" s="10">
        <f t="shared" si="3"/>
        <v>64484806.174704164</v>
      </c>
      <c r="J14" s="10">
        <f t="shared" si="3"/>
        <v>63921093.761799254</v>
      </c>
      <c r="K14" s="10">
        <f>(K8+K9)/(K10+K11)*K13</f>
        <v>66757472.931616418</v>
      </c>
      <c r="L14" s="10">
        <f t="shared" si="3"/>
        <v>70408966.142687857</v>
      </c>
      <c r="M14" s="10">
        <f t="shared" si="3"/>
        <v>74666457.036346644</v>
      </c>
      <c r="N14" s="12">
        <f>(N8+N9)/(N10+N11)*N13</f>
        <v>74185385.060707301</v>
      </c>
      <c r="O14" s="13"/>
    </row>
    <row r="15" spans="1:15" x14ac:dyDescent="0.2">
      <c r="A15" s="9"/>
      <c r="B15" s="9" t="s">
        <v>27</v>
      </c>
      <c r="C15" s="11">
        <f>C8+C9-C14</f>
        <v>34540094.345343582</v>
      </c>
      <c r="D15" s="11">
        <f>D8+D9-D14</f>
        <v>30084853.096085541</v>
      </c>
      <c r="E15" s="11">
        <f t="shared" ref="E15:N15" si="4">E8+E9-E14</f>
        <v>36698265.649623103</v>
      </c>
      <c r="F15" s="11">
        <f>F8+F9-F14</f>
        <v>46227675.396706663</v>
      </c>
      <c r="G15" s="11">
        <f t="shared" si="4"/>
        <v>73463178.504614711</v>
      </c>
      <c r="H15" s="11">
        <f>H8+H9-H14</f>
        <v>59619889.728222668</v>
      </c>
      <c r="I15" s="11">
        <f>I8+I9-I14</f>
        <v>54879947.104699552</v>
      </c>
      <c r="J15" s="11">
        <f t="shared" si="4"/>
        <v>47891438.412904911</v>
      </c>
      <c r="K15" s="11">
        <f>K8+K9-K14</f>
        <v>43962249.830182828</v>
      </c>
      <c r="L15" s="11">
        <f t="shared" si="4"/>
        <v>51151635.788928568</v>
      </c>
      <c r="M15" s="11">
        <f>M8+M9-M14</f>
        <v>66023040.106341213</v>
      </c>
      <c r="N15" s="11">
        <f t="shared" si="4"/>
        <v>74364982.975639343</v>
      </c>
      <c r="O15" s="13">
        <f>SUM(C15:N15)</f>
        <v>618907250.93929279</v>
      </c>
    </row>
  </sheetData>
  <mergeCells count="2">
    <mergeCell ref="A4:N4"/>
    <mergeCell ref="A5:N5"/>
  </mergeCells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PB6423</vt:lpstr>
      <vt:lpstr>PB1562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2022-10-25T06:32:48Z</cp:lastPrinted>
  <dcterms:created xsi:type="dcterms:W3CDTF">2022-10-24T05:45:28Z</dcterms:created>
  <dcterms:modified xsi:type="dcterms:W3CDTF">2023-03-22T13:21:28Z</dcterms:modified>
</cp:coreProperties>
</file>