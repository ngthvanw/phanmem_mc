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2995" windowHeight="10545" activeTab="1"/>
  </bookViews>
  <sheets>
    <sheet name="BCQT" sheetId="1" r:id="rId1"/>
    <sheet name="TTNDN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8" i="2" l="1"/>
  <c r="K16" i="2"/>
  <c r="J13" i="2"/>
  <c r="J10" i="2"/>
  <c r="I10" i="2"/>
  <c r="F13" i="2"/>
  <c r="I13" i="2"/>
  <c r="H13" i="2"/>
  <c r="H18" i="2"/>
  <c r="H10" i="2"/>
  <c r="I18" i="2"/>
  <c r="E18" i="2" l="1"/>
  <c r="K11" i="2"/>
  <c r="C12" i="2"/>
  <c r="C11" i="2"/>
  <c r="C15" i="2"/>
  <c r="C13" i="2" s="1"/>
  <c r="I29" i="1"/>
  <c r="G29" i="1"/>
  <c r="H16" i="1"/>
  <c r="I16" i="1"/>
  <c r="G16" i="1"/>
  <c r="I9" i="1"/>
  <c r="G9" i="1"/>
  <c r="J18" i="1"/>
  <c r="J19" i="1"/>
  <c r="J20" i="1"/>
  <c r="J21" i="1"/>
  <c r="J22" i="1"/>
  <c r="J23" i="1"/>
  <c r="J24" i="1"/>
  <c r="J25" i="1"/>
  <c r="J26" i="1"/>
  <c r="J27" i="1"/>
  <c r="J17" i="1"/>
  <c r="J12" i="1"/>
  <c r="J13" i="1"/>
  <c r="J14" i="1"/>
  <c r="J10" i="1"/>
  <c r="H11" i="1"/>
  <c r="H9" i="1" s="1"/>
  <c r="I18" i="1"/>
  <c r="I19" i="1"/>
  <c r="I20" i="1"/>
  <c r="I21" i="1"/>
  <c r="I22" i="1"/>
  <c r="I23" i="1"/>
  <c r="I24" i="1"/>
  <c r="I25" i="1"/>
  <c r="I26" i="1"/>
  <c r="I27" i="1"/>
  <c r="I17" i="1"/>
  <c r="I13" i="1"/>
  <c r="I14" i="1"/>
  <c r="I12" i="1"/>
  <c r="I10" i="1"/>
  <c r="G11" i="1"/>
  <c r="D9" i="1"/>
  <c r="D16" i="1"/>
  <c r="C16" i="1"/>
  <c r="C29" i="1" s="1"/>
  <c r="C9" i="1"/>
  <c r="E12" i="1"/>
  <c r="E13" i="1"/>
  <c r="E14" i="1"/>
  <c r="E15" i="1"/>
  <c r="C10" i="2" l="1"/>
  <c r="C18" i="2" s="1"/>
  <c r="B17" i="2" s="1"/>
  <c r="E17" i="2" s="1"/>
  <c r="F17" i="2" s="1"/>
  <c r="H17" i="2" s="1"/>
  <c r="J9" i="1"/>
  <c r="D11" i="2"/>
  <c r="F11" i="2" s="1"/>
  <c r="H11" i="2" s="1"/>
  <c r="H29" i="1"/>
  <c r="J16" i="1"/>
  <c r="D15" i="2" s="1"/>
  <c r="D13" i="2" s="1"/>
  <c r="D12" i="2"/>
  <c r="F12" i="2" s="1"/>
  <c r="H12" i="2" s="1"/>
  <c r="D29" i="1"/>
  <c r="E11" i="1"/>
  <c r="E10" i="1"/>
  <c r="E18" i="1"/>
  <c r="E19" i="1"/>
  <c r="E20" i="1"/>
  <c r="E21" i="1"/>
  <c r="E22" i="1"/>
  <c r="E23" i="1"/>
  <c r="E24" i="1"/>
  <c r="E25" i="1"/>
  <c r="E26" i="1"/>
  <c r="E27" i="1"/>
  <c r="E28" i="1"/>
  <c r="E17" i="1"/>
  <c r="I17" i="2" l="1"/>
  <c r="J17" i="2"/>
  <c r="K17" i="2" s="1"/>
  <c r="B12" i="2"/>
  <c r="E12" i="2" s="1"/>
  <c r="B11" i="2"/>
  <c r="E11" i="2" s="1"/>
  <c r="B15" i="2"/>
  <c r="E15" i="2" s="1"/>
  <c r="F15" i="2" s="1"/>
  <c r="H15" i="2" s="1"/>
  <c r="B16" i="2"/>
  <c r="E16" i="2" s="1"/>
  <c r="F16" i="2" s="1"/>
  <c r="H16" i="2" s="1"/>
  <c r="J29" i="1"/>
  <c r="D10" i="2"/>
  <c r="D18" i="2" s="1"/>
  <c r="F18" i="2" s="1"/>
  <c r="E10" i="2"/>
  <c r="E9" i="1"/>
  <c r="E16" i="1"/>
  <c r="I16" i="2" l="1"/>
  <c r="J16" i="2" s="1"/>
  <c r="F10" i="2"/>
  <c r="I12" i="2"/>
  <c r="E13" i="2"/>
  <c r="I15" i="2"/>
  <c r="E29" i="1"/>
  <c r="J15" i="2" l="1"/>
  <c r="K15" i="2" l="1"/>
  <c r="K13" i="2" s="1"/>
  <c r="J12" i="2"/>
  <c r="K12" i="2" l="1"/>
  <c r="K10" i="2" s="1"/>
  <c r="K18" i="2" s="1"/>
</calcChain>
</file>

<file path=xl/sharedStrings.xml><?xml version="1.0" encoding="utf-8"?>
<sst xmlns="http://schemas.openxmlformats.org/spreadsheetml/2006/main" count="56" uniqueCount="49">
  <si>
    <t>Công Ty TNHH Tư Vấn Xây Dựng Gia Tiến</t>
  </si>
  <si>
    <t>Địa chỉ: Số 372, Hương lộ 13, ấp Hòa Lạc C, Xã Lương Hoà A, Huyện Châu Thành, Tỉnh Trà Vinh</t>
  </si>
  <si>
    <t>STT</t>
  </si>
  <si>
    <t>Tên công trình, dịch vụ</t>
  </si>
  <si>
    <t>DTT</t>
  </si>
  <si>
    <t>Giá vốn</t>
  </si>
  <si>
    <t>Lãi</t>
  </si>
  <si>
    <t>DT 5112</t>
  </si>
  <si>
    <t>Gia Vốn 5112</t>
  </si>
  <si>
    <t>DT 5113</t>
  </si>
  <si>
    <t>Gia Vốn 5113</t>
  </si>
  <si>
    <t>I</t>
  </si>
  <si>
    <t>Địa bàn không ưu đãi</t>
  </si>
  <si>
    <t>II</t>
  </si>
  <si>
    <t>Địa bàn khó khăn</t>
  </si>
  <si>
    <t>III</t>
  </si>
  <si>
    <t>Địa bàn đặc biệt khó khăn</t>
  </si>
  <si>
    <t> Tư vấn lập hồ sơ Báo cáo kinh tế - kỹ thuật công trình : 
Bảo dưỡng,sửa chữa mặt đường bị sụp lún các tuyến đường trên địa bàn thành phố Trà Vinh năm2022</t>
  </si>
  <si>
    <t>Tư vấn khảo sát địa hình và lập Báo cáo kinh tế - kỹ thuật công trình: Đường tuyến đường giao thông ấp Rạch Bèo và cải tạo cầu Hai Ngọc, ấp Phú Hòa</t>
  </si>
  <si>
    <t>Tư vấn khảo sát địa hình và lập Báo cáo kinh tế - kỹ thuật: 
công trình: Đường GTNT ấp Vĩnh Hội (đoạn còn lại) và mở rộng hẻm đan 217 đường Bùi Hữu Nghĩa</t>
  </si>
  <si>
    <t> Khảo sát và lập Báo cáo kinh tế - kỹ thuật công trình 
Đường giao thông liên ấp Công Thiện Hùng, Vĩnh Hội</t>
  </si>
  <si>
    <t>  đồng định vị cọc, mốc mặt bằng công trình:
 Hạ tầng kỹ thuật cụm khucông nghiệp Hiệp Mỹ Tây, Huyện Cầu Ngang,</t>
  </si>
  <si>
    <t> Tư vấn lập báo cáo kinh tế kỹ thuật công trình: 
Nâng cấp, sữa chữa sụp lún các tuyến đường trên địa bàn thành phố</t>
  </si>
  <si>
    <t>Tư vấn lập hồ sơ báo cáo kinh tế- kỹ thuật công trình:
 Sửa chữa cống thoát nước, thành phố Trà Vinh (cống thoát nước của dự án xử lý nước thải thành phố)</t>
  </si>
  <si>
    <t>  2022_CT:ải tạo hội trường công an và 
xây dựng các hạng mục phụ trợ BCH quân sự thành phố Trà Vinh</t>
  </si>
  <si>
    <t>Tư vấn thẩm tra thiết kế bản vẽ thi công và dự toán công trình
 San lắp và nâng cấp 2 bên mũi tàu và xây dựng hệ thống thoát nước phía trước Ủy ban nhân dân xã</t>
  </si>
  <si>
    <t>Tư vấn Thẩm tra thiết kế và dự toán xây dựng công trình 
Đường dân sinh cặp bệnh viện Trà Vinh</t>
  </si>
  <si>
    <t> Tư vấn lập hồ sơ Báo cáo kinh tế kỹ thuật công trình: 
Bảo dưỡng bờ kè sông Long Bình và sơn dãy phân cách các tuyến đường trên địa bàn thành phố Trà Vinh năm 2022</t>
  </si>
  <si>
    <t> Tư vấn giám sát thi công xây dựng công trình 
Nâng cấp đường GTNT ấp Trà Sất A, xã Long Hiệp</t>
  </si>
  <si>
    <t> tư vấn giám sát thi công xây dựng công trình
 Nâng cấp đường đan ấp Chợ Dưới, xã Phước Hưng</t>
  </si>
  <si>
    <t>Tư vấn giám sát thi công xây dựng công trình Cải tạo, 
nâng cấp Trụ sở BND khóm, ấp trên địa bàn thành phố Trà Vinh năm 2022</t>
  </si>
  <si>
    <t>  Chi phí giám sát thi công xây dựng công trình:
Gói thầu số 05 giám sát kỹ thuật thi công xây dựng công trình</t>
  </si>
  <si>
    <t>BÁO CÁO QUYẾT TOÁN NĂM 2022</t>
  </si>
  <si>
    <t>TỔNG CỘNG</t>
  </si>
  <si>
    <t>MST: 2100632239</t>
  </si>
  <si>
    <t xml:space="preserve">Doanh thu </t>
  </si>
  <si>
    <t>Tỉ lệ/DT</t>
  </si>
  <si>
    <t>CP quản lý</t>
  </si>
  <si>
    <t>Lợi nhuận</t>
  </si>
  <si>
    <t>TS</t>
  </si>
  <si>
    <t>Thuế TNDN</t>
  </si>
  <si>
    <t>Miễn giảm</t>
  </si>
  <si>
    <t>Thuế Sau Miễn</t>
  </si>
  <si>
    <t>Số thuế
 phải nộp</t>
  </si>
  <si>
    <t>Tổng cộng</t>
  </si>
  <si>
    <t>Châu Thành, ngày 31/03/2022</t>
  </si>
  <si>
    <t>Giám đốc</t>
  </si>
  <si>
    <t>BẢNG XÁC ĐỊNH THU NHẬP CHỊU THUẾ TNDN NĂM 2022</t>
  </si>
  <si>
    <t>CP k dc trừ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</si>
</sst>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name val="VNI-Time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164" fontId="3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164" fontId="3" fillId="0" borderId="1" xfId="1" applyNumberFormat="1" applyFont="1" applyBorder="1"/>
    <xf numFmtId="0" fontId="3" fillId="2" borderId="1" xfId="0" applyFont="1" applyFill="1" applyBorder="1"/>
    <xf numFmtId="164" fontId="3" fillId="0" borderId="1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3" fillId="4" borderId="1" xfId="0" applyFont="1" applyFill="1" applyBorder="1"/>
    <xf numFmtId="164" fontId="4" fillId="4" borderId="1" xfId="0" applyNumberFormat="1" applyFont="1" applyFill="1" applyBorder="1"/>
    <xf numFmtId="0" fontId="3" fillId="5" borderId="1" xfId="0" applyFont="1" applyFill="1" applyBorder="1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2" fillId="0" borderId="0" xfId="2"/>
    <xf numFmtId="0" fontId="8" fillId="0" borderId="0" xfId="2" applyFont="1"/>
    <xf numFmtId="164" fontId="6" fillId="0" borderId="0" xfId="3" applyNumberFormat="1" applyFont="1"/>
    <xf numFmtId="0" fontId="11" fillId="0" borderId="1" xfId="2" applyFont="1" applyBorder="1" applyAlignment="1">
      <alignment horizontal="center"/>
    </xf>
    <xf numFmtId="164" fontId="11" fillId="0" borderId="1" xfId="3" applyNumberFormat="1" applyFont="1" applyBorder="1"/>
    <xf numFmtId="164" fontId="11" fillId="0" borderId="1" xfId="2" applyNumberFormat="1" applyFont="1" applyBorder="1"/>
    <xf numFmtId="9" fontId="11" fillId="0" borderId="1" xfId="4" applyNumberFormat="1" applyFont="1" applyBorder="1"/>
    <xf numFmtId="0" fontId="11" fillId="0" borderId="1" xfId="2" applyFont="1" applyBorder="1"/>
    <xf numFmtId="164" fontId="8" fillId="0" borderId="0" xfId="3" applyNumberFormat="1" applyFont="1"/>
    <xf numFmtId="0" fontId="12" fillId="0" borderId="1" xfId="2" applyFont="1" applyBorder="1"/>
    <xf numFmtId="164" fontId="12" fillId="0" borderId="1" xfId="3" applyNumberFormat="1" applyFont="1" applyBorder="1"/>
    <xf numFmtId="9" fontId="12" fillId="0" borderId="1" xfId="4" applyFont="1" applyBorder="1"/>
    <xf numFmtId="9" fontId="11" fillId="0" borderId="1" xfId="4" applyFont="1" applyBorder="1"/>
    <xf numFmtId="164" fontId="9" fillId="0" borderId="0" xfId="2" applyNumberFormat="1" applyFont="1"/>
    <xf numFmtId="0" fontId="11" fillId="6" borderId="1" xfId="2" applyFont="1" applyFill="1" applyBorder="1"/>
    <xf numFmtId="164" fontId="7" fillId="0" borderId="1" xfId="2" applyNumberFormat="1" applyFont="1" applyFill="1" applyBorder="1"/>
    <xf numFmtId="43" fontId="8" fillId="0" borderId="0" xfId="3" applyNumberFormat="1" applyFont="1"/>
    <xf numFmtId="164" fontId="9" fillId="0" borderId="0" xfId="4" applyNumberFormat="1" applyFont="1"/>
    <xf numFmtId="0" fontId="12" fillId="0" borderId="1" xfId="2" applyFont="1" applyFill="1" applyBorder="1"/>
    <xf numFmtId="164" fontId="12" fillId="0" borderId="1" xfId="2" applyNumberFormat="1" applyFont="1" applyBorder="1"/>
    <xf numFmtId="0" fontId="11" fillId="0" borderId="1" xfId="2" applyFont="1" applyBorder="1" applyAlignment="1">
      <alignment horizontal="center" vertical="center"/>
    </xf>
    <xf numFmtId="9" fontId="11" fillId="0" borderId="1" xfId="4" applyFont="1" applyBorder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/>
    </xf>
    <xf numFmtId="9" fontId="9" fillId="0" borderId="0" xfId="4" applyFont="1" applyFill="1"/>
    <xf numFmtId="164" fontId="9" fillId="0" borderId="0" xfId="3" applyNumberFormat="1" applyFont="1" applyFill="1"/>
    <xf numFmtId="164" fontId="11" fillId="6" borderId="1" xfId="3" applyNumberFormat="1" applyFont="1" applyFill="1" applyBorder="1"/>
    <xf numFmtId="9" fontId="11" fillId="6" borderId="1" xfId="4" applyFont="1" applyFill="1" applyBorder="1"/>
    <xf numFmtId="0" fontId="11" fillId="2" borderId="1" xfId="2" applyFont="1" applyFill="1" applyBorder="1"/>
    <xf numFmtId="164" fontId="11" fillId="2" borderId="1" xfId="3" applyNumberFormat="1" applyFont="1" applyFill="1" applyBorder="1"/>
    <xf numFmtId="9" fontId="11" fillId="2" borderId="1" xfId="4" applyNumberFormat="1" applyFont="1" applyFill="1" applyBorder="1"/>
    <xf numFmtId="164" fontId="11" fillId="2" borderId="1" xfId="2" applyNumberFormat="1" applyFont="1" applyFill="1" applyBorder="1"/>
    <xf numFmtId="0" fontId="11" fillId="7" borderId="1" xfId="2" applyFont="1" applyFill="1" applyBorder="1"/>
    <xf numFmtId="164" fontId="14" fillId="7" borderId="1" xfId="3" applyNumberFormat="1" applyFont="1" applyFill="1" applyBorder="1"/>
    <xf numFmtId="9" fontId="14" fillId="7" borderId="1" xfId="4" applyFont="1" applyFill="1" applyBorder="1"/>
    <xf numFmtId="164" fontId="13" fillId="0" borderId="0" xfId="2" applyNumberFormat="1" applyFont="1"/>
    <xf numFmtId="3" fontId="15" fillId="0" borderId="0" xfId="2" applyNumberFormat="1" applyFont="1" applyBorder="1" applyAlignment="1">
      <alignment horizontal="right" vertical="center" wrapText="1"/>
    </xf>
    <xf numFmtId="3" fontId="16" fillId="0" borderId="1" xfId="2" applyNumberFormat="1" applyFont="1" applyBorder="1"/>
    <xf numFmtId="165" fontId="11" fillId="2" borderId="1" xfId="4" applyNumberFormat="1" applyFont="1" applyFill="1" applyBorder="1" applyAlignment="1">
      <alignment horizontal="center"/>
    </xf>
    <xf numFmtId="165" fontId="11" fillId="0" borderId="1" xfId="4" applyNumberFormat="1" applyFont="1" applyBorder="1" applyAlignment="1">
      <alignment horizontal="center"/>
    </xf>
    <xf numFmtId="165" fontId="11" fillId="7" borderId="1" xfId="4" applyNumberFormat="1" applyFont="1" applyFill="1" applyBorder="1" applyAlignment="1">
      <alignment horizontal="center"/>
    </xf>
    <xf numFmtId="165" fontId="11" fillId="6" borderId="1" xfId="4" applyNumberFormat="1" applyFont="1" applyFill="1" applyBorder="1" applyAlignment="1">
      <alignment horizontal="center"/>
    </xf>
    <xf numFmtId="165" fontId="12" fillId="0" borderId="1" xfId="4" applyNumberFormat="1" applyFont="1" applyBorder="1" applyAlignment="1">
      <alignment horizontal="center"/>
    </xf>
    <xf numFmtId="164" fontId="9" fillId="0" borderId="0" xfId="3" applyNumberFormat="1" applyFont="1" applyAlignment="1"/>
    <xf numFmtId="164" fontId="8" fillId="0" borderId="0" xfId="2" applyNumberFormat="1" applyFont="1" applyAlignment="1"/>
    <xf numFmtId="3" fontId="17" fillId="0" borderId="1" xfId="2" applyNumberFormat="1" applyFont="1" applyBorder="1"/>
    <xf numFmtId="165" fontId="2" fillId="0" borderId="0" xfId="2" applyNumberFormat="1"/>
    <xf numFmtId="164" fontId="2" fillId="0" borderId="0" xfId="1" applyNumberFormat="1" applyFont="1"/>
    <xf numFmtId="164" fontId="3" fillId="0" borderId="1" xfId="1" applyNumberFormat="1" applyFont="1" applyFill="1" applyBorder="1"/>
    <xf numFmtId="0" fontId="18" fillId="0" borderId="0" xfId="2" applyFont="1"/>
    <xf numFmtId="9" fontId="12" fillId="0" borderId="0" xfId="4" applyFont="1" applyFill="1"/>
    <xf numFmtId="164" fontId="18" fillId="0" borderId="0" xfId="1" applyNumberFormat="1" applyFont="1"/>
    <xf numFmtId="164" fontId="12" fillId="0" borderId="0" xfId="1" applyNumberFormat="1" applyFont="1" applyFill="1"/>
    <xf numFmtId="0" fontId="4" fillId="0" borderId="0" xfId="0" applyFont="1" applyAlignment="1">
      <alignment horizontal="center"/>
    </xf>
    <xf numFmtId="0" fontId="10" fillId="0" borderId="0" xfId="2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9" fillId="0" borderId="0" xfId="3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</cellXfs>
  <cellStyles count="5">
    <cellStyle name="Comma" xfId="1" builtinId="3"/>
    <cellStyle name="Comma 2" xfId="3"/>
    <cellStyle name="Normal" xfId="0" builtinId="0"/>
    <cellStyle name="Normal 2" xfId="2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21" workbookViewId="0">
      <selection activeCell="F24" sqref="F24"/>
    </sheetView>
  </sheetViews>
  <sheetFormatPr defaultRowHeight="15" x14ac:dyDescent="0.25"/>
  <cols>
    <col min="1" max="1" width="4.7109375" style="1" customWidth="1"/>
    <col min="2" max="2" width="54.28515625" style="1" bestFit="1" customWidth="1"/>
    <col min="3" max="4" width="15.7109375" style="1" bestFit="1" customWidth="1"/>
    <col min="5" max="5" width="14" style="1" bestFit="1" customWidth="1"/>
    <col min="6" max="6" width="7.28515625" style="1" customWidth="1"/>
    <col min="7" max="7" width="13.7109375" style="1" customWidth="1"/>
    <col min="8" max="8" width="13.7109375" style="1" bestFit="1" customWidth="1"/>
    <col min="9" max="9" width="14.140625" style="1" customWidth="1"/>
    <col min="10" max="10" width="13.7109375" style="1" bestFit="1" customWidth="1"/>
    <col min="11" max="16384" width="9.140625" style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4" spans="1:10" x14ac:dyDescent="0.25">
      <c r="A4" s="74" t="s">
        <v>32</v>
      </c>
      <c r="B4" s="74"/>
      <c r="C4" s="74"/>
      <c r="D4" s="74"/>
      <c r="E4" s="74"/>
      <c r="F4" s="74"/>
      <c r="G4" s="74"/>
      <c r="H4" s="74"/>
      <c r="I4" s="74"/>
      <c r="J4" s="74"/>
    </row>
    <row r="6" spans="1:10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/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5">
      <c r="A7" s="16" t="s">
        <v>11</v>
      </c>
      <c r="B7" s="16" t="s">
        <v>12</v>
      </c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14" t="s">
        <v>13</v>
      </c>
      <c r="B9" s="14" t="s">
        <v>14</v>
      </c>
      <c r="C9" s="15">
        <f>+SUM(C10:C14)</f>
        <v>1051741667</v>
      </c>
      <c r="D9" s="15">
        <f>+SUM(D10:D14)</f>
        <v>939257339</v>
      </c>
      <c r="E9" s="15">
        <f>+SUM(E10:E14)</f>
        <v>112484328</v>
      </c>
      <c r="F9" s="15"/>
      <c r="G9" s="15">
        <f>+SUM(G10:G14)</f>
        <v>924722222</v>
      </c>
      <c r="H9" s="15">
        <f t="shared" ref="H9:J9" si="0">+SUM(H10:H14)</f>
        <v>910198705</v>
      </c>
      <c r="I9" s="15">
        <f t="shared" si="0"/>
        <v>127019445</v>
      </c>
      <c r="J9" s="15">
        <f t="shared" si="0"/>
        <v>29058634</v>
      </c>
    </row>
    <row r="10" spans="1:10" ht="45" x14ac:dyDescent="0.25">
      <c r="A10" s="5">
        <v>1</v>
      </c>
      <c r="B10" s="17" t="s">
        <v>21</v>
      </c>
      <c r="C10" s="7">
        <v>9000000</v>
      </c>
      <c r="D10" s="69">
        <v>2058958</v>
      </c>
      <c r="E10" s="7">
        <f>+C10-D10</f>
        <v>6941042</v>
      </c>
      <c r="F10" s="10">
        <v>5113</v>
      </c>
      <c r="G10" s="9"/>
      <c r="H10" s="7"/>
      <c r="I10" s="7">
        <f>+IF(F10=5113,C10,0)</f>
        <v>9000000</v>
      </c>
      <c r="J10" s="7">
        <f>+IF(F10=5113,D10,0)</f>
        <v>2058958</v>
      </c>
    </row>
    <row r="11" spans="1:10" ht="45" x14ac:dyDescent="0.25">
      <c r="A11" s="5">
        <v>2</v>
      </c>
      <c r="B11" s="17" t="s">
        <v>24</v>
      </c>
      <c r="C11" s="7">
        <v>924722222</v>
      </c>
      <c r="D11" s="7">
        <v>910198705</v>
      </c>
      <c r="E11" s="7">
        <f t="shared" ref="E11:E15" si="1">+C11-D11</f>
        <v>14523517</v>
      </c>
      <c r="F11" s="10">
        <v>5112</v>
      </c>
      <c r="G11" s="9">
        <f>+IF(F11=5112,C11,0)</f>
        <v>924722222</v>
      </c>
      <c r="H11" s="7">
        <f>+IF(F11=5112,D11,0)</f>
        <v>910198705</v>
      </c>
      <c r="I11" s="7"/>
      <c r="J11" s="7"/>
    </row>
    <row r="12" spans="1:10" ht="36.75" customHeight="1" x14ac:dyDescent="0.25">
      <c r="A12" s="5">
        <v>3</v>
      </c>
      <c r="B12" s="17" t="s">
        <v>29</v>
      </c>
      <c r="C12" s="7">
        <v>29041667</v>
      </c>
      <c r="D12" s="7">
        <v>6643953</v>
      </c>
      <c r="E12" s="7">
        <f t="shared" si="1"/>
        <v>22397714</v>
      </c>
      <c r="F12" s="10">
        <v>5113</v>
      </c>
      <c r="G12" s="5"/>
      <c r="H12" s="7"/>
      <c r="I12" s="7">
        <f>+IF(F12=5113,C12,0)</f>
        <v>29041667</v>
      </c>
      <c r="J12" s="7">
        <f t="shared" ref="J12:J14" si="2">+IF(F12=5113,D12,0)</f>
        <v>6643953</v>
      </c>
    </row>
    <row r="13" spans="1:10" ht="45" x14ac:dyDescent="0.25">
      <c r="A13" s="5">
        <v>4</v>
      </c>
      <c r="B13" s="17" t="s">
        <v>30</v>
      </c>
      <c r="C13" s="7">
        <v>60318519</v>
      </c>
      <c r="D13" s="7">
        <v>13799255</v>
      </c>
      <c r="E13" s="7">
        <f t="shared" si="1"/>
        <v>46519264</v>
      </c>
      <c r="F13" s="10">
        <v>5113</v>
      </c>
      <c r="G13" s="5"/>
      <c r="H13" s="7"/>
      <c r="I13" s="7">
        <f t="shared" ref="I13:I14" si="3">+IF(F13=5113,C13,0)</f>
        <v>60318519</v>
      </c>
      <c r="J13" s="7">
        <f t="shared" si="2"/>
        <v>13799255</v>
      </c>
    </row>
    <row r="14" spans="1:10" ht="30" x14ac:dyDescent="0.25">
      <c r="A14" s="5">
        <v>5</v>
      </c>
      <c r="B14" s="17" t="s">
        <v>31</v>
      </c>
      <c r="C14" s="7">
        <v>28659259</v>
      </c>
      <c r="D14" s="7">
        <v>6556468</v>
      </c>
      <c r="E14" s="7">
        <f t="shared" si="1"/>
        <v>22102791</v>
      </c>
      <c r="F14" s="10">
        <v>5113</v>
      </c>
      <c r="G14" s="5"/>
      <c r="H14" s="7"/>
      <c r="I14" s="7">
        <f t="shared" si="3"/>
        <v>28659259</v>
      </c>
      <c r="J14" s="7">
        <f t="shared" si="2"/>
        <v>6556468</v>
      </c>
    </row>
    <row r="15" spans="1:10" x14ac:dyDescent="0.25">
      <c r="A15" s="5"/>
      <c r="B15" s="5"/>
      <c r="C15" s="7"/>
      <c r="D15" s="7"/>
      <c r="E15" s="7">
        <f t="shared" si="1"/>
        <v>0</v>
      </c>
      <c r="F15" s="7"/>
      <c r="G15" s="5"/>
      <c r="H15" s="5"/>
      <c r="I15" s="5"/>
      <c r="J15" s="5"/>
    </row>
    <row r="16" spans="1:10" x14ac:dyDescent="0.25">
      <c r="A16" s="8" t="s">
        <v>15</v>
      </c>
      <c r="B16" s="8" t="s">
        <v>16</v>
      </c>
      <c r="C16" s="11">
        <f>+SUM(C17:C27)</f>
        <v>867771132</v>
      </c>
      <c r="D16" s="11">
        <f>+SUM(D17:D27)</f>
        <v>198930357</v>
      </c>
      <c r="E16" s="11">
        <f>+SUM(E17:E27)</f>
        <v>668840775</v>
      </c>
      <c r="F16" s="11"/>
      <c r="G16" s="11">
        <f>+SUM(G17:G27)</f>
        <v>0</v>
      </c>
      <c r="H16" s="11">
        <f t="shared" ref="H16:J16" si="4">+SUM(H17:H27)</f>
        <v>0</v>
      </c>
      <c r="I16" s="11">
        <f t="shared" si="4"/>
        <v>867771132</v>
      </c>
      <c r="J16" s="11">
        <f t="shared" si="4"/>
        <v>198930357</v>
      </c>
    </row>
    <row r="17" spans="1:10" ht="54.75" customHeight="1" x14ac:dyDescent="0.25">
      <c r="A17" s="5">
        <v>1</v>
      </c>
      <c r="B17" s="18" t="s">
        <v>17</v>
      </c>
      <c r="C17" s="7">
        <v>51594444</v>
      </c>
      <c r="D17" s="7">
        <v>11803422</v>
      </c>
      <c r="E17" s="9">
        <f>+C17-D17</f>
        <v>39791022</v>
      </c>
      <c r="F17" s="10">
        <v>5113</v>
      </c>
      <c r="G17" s="7"/>
      <c r="H17" s="7"/>
      <c r="I17" s="7">
        <f>+IF(F17=5113,C17,)</f>
        <v>51594444</v>
      </c>
      <c r="J17" s="7">
        <f>+IF(F17=5113,D17,0)</f>
        <v>11803422</v>
      </c>
    </row>
    <row r="18" spans="1:10" ht="45.75" customHeight="1" x14ac:dyDescent="0.25">
      <c r="A18" s="5">
        <v>2</v>
      </c>
      <c r="B18" s="6" t="s">
        <v>17</v>
      </c>
      <c r="C18" s="7">
        <v>50656364</v>
      </c>
      <c r="D18" s="7">
        <v>11803422</v>
      </c>
      <c r="E18" s="9">
        <f t="shared" ref="E18:E28" si="5">+C18-D18</f>
        <v>38852942</v>
      </c>
      <c r="F18" s="10">
        <v>5113</v>
      </c>
      <c r="G18" s="7"/>
      <c r="H18" s="7"/>
      <c r="I18" s="7">
        <f t="shared" ref="I18:I27" si="6">+IF(F18=5113,C18,)</f>
        <v>50656364</v>
      </c>
      <c r="J18" s="7">
        <f t="shared" ref="J18:J27" si="7">+IF(F18=5113,D18,0)</f>
        <v>11803422</v>
      </c>
    </row>
    <row r="19" spans="1:10" ht="45" x14ac:dyDescent="0.25">
      <c r="A19" s="5">
        <v>3</v>
      </c>
      <c r="B19" s="6" t="s">
        <v>23</v>
      </c>
      <c r="C19" s="7">
        <v>26758333</v>
      </c>
      <c r="D19" s="7">
        <v>6121587</v>
      </c>
      <c r="E19" s="9">
        <f t="shared" si="5"/>
        <v>20636746</v>
      </c>
      <c r="F19" s="10">
        <v>5113</v>
      </c>
      <c r="G19" s="7"/>
      <c r="H19" s="7"/>
      <c r="I19" s="7">
        <f t="shared" si="6"/>
        <v>26758333</v>
      </c>
      <c r="J19" s="7">
        <f t="shared" si="7"/>
        <v>6121587</v>
      </c>
    </row>
    <row r="20" spans="1:10" ht="45" x14ac:dyDescent="0.25">
      <c r="A20" s="5">
        <v>4</v>
      </c>
      <c r="B20" s="6" t="s">
        <v>18</v>
      </c>
      <c r="C20" s="7">
        <v>64370370</v>
      </c>
      <c r="D20" s="7">
        <v>14726210</v>
      </c>
      <c r="E20" s="9">
        <f t="shared" si="5"/>
        <v>49644160</v>
      </c>
      <c r="F20" s="10">
        <v>5113</v>
      </c>
      <c r="G20" s="7"/>
      <c r="H20" s="7"/>
      <c r="I20" s="7">
        <f t="shared" si="6"/>
        <v>64370370</v>
      </c>
      <c r="J20" s="7">
        <f t="shared" si="7"/>
        <v>14726210</v>
      </c>
    </row>
    <row r="21" spans="1:10" ht="45" x14ac:dyDescent="0.25">
      <c r="A21" s="5">
        <v>5</v>
      </c>
      <c r="B21" s="6" t="s">
        <v>19</v>
      </c>
      <c r="C21" s="7">
        <v>126781481</v>
      </c>
      <c r="D21" s="7">
        <v>29004194</v>
      </c>
      <c r="E21" s="9">
        <f t="shared" si="5"/>
        <v>97777287</v>
      </c>
      <c r="F21" s="10">
        <v>5113</v>
      </c>
      <c r="G21" s="7"/>
      <c r="H21" s="7"/>
      <c r="I21" s="7">
        <f t="shared" si="6"/>
        <v>126781481</v>
      </c>
      <c r="J21" s="7">
        <f t="shared" si="7"/>
        <v>29004194</v>
      </c>
    </row>
    <row r="22" spans="1:10" ht="45" x14ac:dyDescent="0.25">
      <c r="A22" s="5">
        <v>6</v>
      </c>
      <c r="B22" s="6" t="s">
        <v>22</v>
      </c>
      <c r="C22" s="7">
        <v>53071296</v>
      </c>
      <c r="D22" s="7">
        <v>12141286</v>
      </c>
      <c r="E22" s="9">
        <f t="shared" si="5"/>
        <v>40930010</v>
      </c>
      <c r="F22" s="10">
        <v>5113</v>
      </c>
      <c r="G22" s="7"/>
      <c r="H22" s="7"/>
      <c r="I22" s="7">
        <f t="shared" si="6"/>
        <v>53071296</v>
      </c>
      <c r="J22" s="7">
        <f t="shared" si="7"/>
        <v>12141286</v>
      </c>
    </row>
    <row r="23" spans="1:10" ht="30" x14ac:dyDescent="0.25">
      <c r="A23" s="5">
        <v>7</v>
      </c>
      <c r="B23" s="6" t="s">
        <v>20</v>
      </c>
      <c r="C23" s="7">
        <v>426131481</v>
      </c>
      <c r="D23" s="7">
        <v>97487426</v>
      </c>
      <c r="E23" s="9">
        <f t="shared" si="5"/>
        <v>328644055</v>
      </c>
      <c r="F23" s="10">
        <v>5113</v>
      </c>
      <c r="G23" s="7"/>
      <c r="H23" s="7"/>
      <c r="I23" s="7">
        <f t="shared" si="6"/>
        <v>426131481</v>
      </c>
      <c r="J23" s="7">
        <f t="shared" si="7"/>
        <v>97487426</v>
      </c>
    </row>
    <row r="24" spans="1:10" ht="45.75" customHeight="1" x14ac:dyDescent="0.25">
      <c r="A24" s="5">
        <v>8</v>
      </c>
      <c r="B24" s="6" t="s">
        <v>25</v>
      </c>
      <c r="C24" s="7">
        <v>4265999</v>
      </c>
      <c r="D24" s="7">
        <v>975946</v>
      </c>
      <c r="E24" s="9">
        <f t="shared" si="5"/>
        <v>3290053</v>
      </c>
      <c r="F24" s="10">
        <v>5113</v>
      </c>
      <c r="G24" s="7"/>
      <c r="H24" s="7"/>
      <c r="I24" s="7">
        <f t="shared" si="6"/>
        <v>4265999</v>
      </c>
      <c r="J24" s="7">
        <f t="shared" si="7"/>
        <v>975946</v>
      </c>
    </row>
    <row r="25" spans="1:10" ht="30" x14ac:dyDescent="0.25">
      <c r="A25" s="5">
        <v>9</v>
      </c>
      <c r="B25" s="6" t="s">
        <v>26</v>
      </c>
      <c r="C25" s="7">
        <v>5196296</v>
      </c>
      <c r="D25" s="7">
        <v>1188773</v>
      </c>
      <c r="E25" s="9">
        <f t="shared" si="5"/>
        <v>4007523</v>
      </c>
      <c r="F25" s="10">
        <v>5113</v>
      </c>
      <c r="G25" s="7"/>
      <c r="H25" s="7"/>
      <c r="I25" s="7">
        <f t="shared" si="6"/>
        <v>5196296</v>
      </c>
      <c r="J25" s="7">
        <f t="shared" si="7"/>
        <v>1188773</v>
      </c>
    </row>
    <row r="26" spans="1:10" ht="45" x14ac:dyDescent="0.25">
      <c r="A26" s="5">
        <v>10</v>
      </c>
      <c r="B26" s="2" t="s">
        <v>27</v>
      </c>
      <c r="C26" s="7">
        <v>45566364</v>
      </c>
      <c r="D26" s="7">
        <v>10617403</v>
      </c>
      <c r="E26" s="9">
        <f t="shared" si="5"/>
        <v>34948961</v>
      </c>
      <c r="F26" s="10">
        <v>5113</v>
      </c>
      <c r="G26" s="7"/>
      <c r="H26" s="7"/>
      <c r="I26" s="7">
        <f t="shared" si="6"/>
        <v>45566364</v>
      </c>
      <c r="J26" s="7">
        <f t="shared" si="7"/>
        <v>10617403</v>
      </c>
    </row>
    <row r="27" spans="1:10" ht="30" x14ac:dyDescent="0.25">
      <c r="A27" s="5">
        <v>11</v>
      </c>
      <c r="B27" s="2" t="s">
        <v>28</v>
      </c>
      <c r="C27" s="7">
        <v>13378704</v>
      </c>
      <c r="D27" s="7">
        <v>3060688</v>
      </c>
      <c r="E27" s="9">
        <f t="shared" si="5"/>
        <v>10318016</v>
      </c>
      <c r="F27" s="10">
        <v>5113</v>
      </c>
      <c r="G27" s="7"/>
      <c r="H27" s="7"/>
      <c r="I27" s="7">
        <f t="shared" si="6"/>
        <v>13378704</v>
      </c>
      <c r="J27" s="7">
        <f t="shared" si="7"/>
        <v>3060688</v>
      </c>
    </row>
    <row r="28" spans="1:10" x14ac:dyDescent="0.25">
      <c r="A28" s="5"/>
      <c r="B28" s="5"/>
      <c r="C28" s="7"/>
      <c r="D28" s="7"/>
      <c r="E28" s="9">
        <f t="shared" si="5"/>
        <v>0</v>
      </c>
      <c r="F28" s="9"/>
      <c r="G28" s="5"/>
      <c r="H28" s="5"/>
      <c r="I28" s="5"/>
      <c r="J28" s="5"/>
    </row>
    <row r="29" spans="1:10" x14ac:dyDescent="0.25">
      <c r="A29" s="5"/>
      <c r="B29" s="12" t="s">
        <v>33</v>
      </c>
      <c r="C29" s="13">
        <f>+C16+C9</f>
        <v>1919512799</v>
      </c>
      <c r="D29" s="13">
        <f>+D16+D9+D7</f>
        <v>1138187696</v>
      </c>
      <c r="E29" s="13">
        <f>+E16+E9+E7</f>
        <v>781325103</v>
      </c>
      <c r="F29" s="13"/>
      <c r="G29" s="13">
        <f>+G16+G9</f>
        <v>924722222</v>
      </c>
      <c r="H29" s="13">
        <f t="shared" ref="H29:J29" si="8">+H16+H9</f>
        <v>910198705</v>
      </c>
      <c r="I29" s="13">
        <f t="shared" si="8"/>
        <v>994790577</v>
      </c>
      <c r="J29" s="13">
        <f t="shared" si="8"/>
        <v>227988991</v>
      </c>
    </row>
    <row r="33" spans="9:9" x14ac:dyDescent="0.25">
      <c r="I33" s="3"/>
    </row>
    <row r="34" spans="9:9" x14ac:dyDescent="0.25">
      <c r="I34" s="3"/>
    </row>
  </sheetData>
  <mergeCells count="1">
    <mergeCell ref="A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topLeftCell="A5" workbookViewId="0">
      <selection activeCell="H26" sqref="H26"/>
    </sheetView>
  </sheetViews>
  <sheetFormatPr defaultRowHeight="15" x14ac:dyDescent="0.25"/>
  <cols>
    <col min="1" max="1" width="28.85546875" customWidth="1"/>
    <col min="2" max="2" width="15.7109375" customWidth="1"/>
    <col min="3" max="4" width="15.7109375" bestFit="1" customWidth="1"/>
    <col min="5" max="5" width="12.7109375" bestFit="1" customWidth="1"/>
    <col min="6" max="6" width="14" bestFit="1" customWidth="1"/>
    <col min="8" max="8" width="14.5703125" bestFit="1" customWidth="1"/>
    <col min="9" max="9" width="14" bestFit="1" customWidth="1"/>
    <col min="10" max="10" width="15.42578125" bestFit="1" customWidth="1"/>
    <col min="11" max="11" width="15.7109375" customWidth="1"/>
  </cols>
  <sheetData>
    <row r="1" spans="1:12" ht="16.5" x14ac:dyDescent="0.2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6.5" x14ac:dyDescent="0.25">
      <c r="A2" s="20" t="s">
        <v>34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22.5" x14ac:dyDescent="0.3">
      <c r="A4" s="75" t="s">
        <v>47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21"/>
    </row>
    <row r="6" spans="1:12" ht="28.5" x14ac:dyDescent="0.25">
      <c r="A6" s="39" t="s">
        <v>35</v>
      </c>
      <c r="B6" s="40" t="s">
        <v>36</v>
      </c>
      <c r="C6" s="41" t="s">
        <v>4</v>
      </c>
      <c r="D6" s="41" t="s">
        <v>5</v>
      </c>
      <c r="E6" s="42" t="s">
        <v>37</v>
      </c>
      <c r="F6" s="39" t="s">
        <v>38</v>
      </c>
      <c r="G6" s="40" t="s">
        <v>39</v>
      </c>
      <c r="H6" s="41" t="s">
        <v>40</v>
      </c>
      <c r="I6" s="39" t="s">
        <v>41</v>
      </c>
      <c r="J6" s="39" t="s">
        <v>42</v>
      </c>
      <c r="K6" s="43" t="s">
        <v>43</v>
      </c>
      <c r="L6" s="44"/>
    </row>
    <row r="7" spans="1:12" ht="16.5" x14ac:dyDescent="0.25">
      <c r="A7" s="49" t="s">
        <v>12</v>
      </c>
      <c r="B7" s="59">
        <v>0</v>
      </c>
      <c r="C7" s="50">
        <v>0</v>
      </c>
      <c r="D7" s="50">
        <v>0</v>
      </c>
      <c r="E7" s="50">
        <v>0</v>
      </c>
      <c r="F7" s="50">
        <v>0</v>
      </c>
      <c r="G7" s="51">
        <v>0.2</v>
      </c>
      <c r="H7" s="50">
        <v>0</v>
      </c>
      <c r="I7" s="52">
        <v>0</v>
      </c>
      <c r="J7" s="52"/>
      <c r="K7" s="52">
        <v>0</v>
      </c>
      <c r="L7" s="35"/>
    </row>
    <row r="8" spans="1:12" ht="16.5" x14ac:dyDescent="0.25">
      <c r="A8" s="37">
        <v>5112</v>
      </c>
      <c r="B8" s="60">
        <v>0</v>
      </c>
      <c r="C8" s="29">
        <v>0</v>
      </c>
      <c r="D8" s="34">
        <v>0</v>
      </c>
      <c r="E8" s="29">
        <v>0</v>
      </c>
      <c r="F8" s="24">
        <v>0</v>
      </c>
      <c r="G8" s="25"/>
      <c r="H8" s="29">
        <v>0</v>
      </c>
      <c r="I8" s="26"/>
      <c r="J8" s="24">
        <v>0</v>
      </c>
      <c r="K8" s="24"/>
      <c r="L8" s="35"/>
    </row>
    <row r="9" spans="1:12" x14ac:dyDescent="0.25">
      <c r="A9" s="28">
        <v>5113</v>
      </c>
      <c r="B9" s="60">
        <v>0</v>
      </c>
      <c r="C9" s="29"/>
      <c r="D9" s="29"/>
      <c r="E9" s="29">
        <v>0</v>
      </c>
      <c r="F9" s="38">
        <v>0</v>
      </c>
      <c r="G9" s="30"/>
      <c r="H9" s="29">
        <v>0</v>
      </c>
      <c r="I9" s="28"/>
      <c r="J9" s="24">
        <v>0</v>
      </c>
      <c r="K9" s="28"/>
      <c r="L9" s="19"/>
    </row>
    <row r="10" spans="1:12" ht="16.5" x14ac:dyDescent="0.25">
      <c r="A10" s="53" t="s">
        <v>14</v>
      </c>
      <c r="B10" s="61">
        <v>0.69107226859519255</v>
      </c>
      <c r="C10" s="54">
        <f>+SUM(C11:C12)</f>
        <v>1051741667</v>
      </c>
      <c r="D10" s="54">
        <f>+SUM(D11:D12)</f>
        <v>939257339</v>
      </c>
      <c r="E10" s="54">
        <f>+SUM(E11:E12)</f>
        <v>62660601.409721792</v>
      </c>
      <c r="F10" s="54">
        <f>+SUM(F11:F12)</f>
        <v>49823726.590278201</v>
      </c>
      <c r="G10" s="55">
        <v>0.17</v>
      </c>
      <c r="H10" s="54">
        <f>+H12</f>
        <v>15366853.212306065</v>
      </c>
      <c r="I10" s="54">
        <f>+SUM(I11:I12)</f>
        <v>7683426.6061530327</v>
      </c>
      <c r="J10" s="54">
        <f>+SUM(J11:J12)</f>
        <v>7683426.6061530327</v>
      </c>
      <c r="K10" s="54">
        <f t="shared" ref="I10:K10" si="0">+SUM(K11:K12)</f>
        <v>7683426.6061530327</v>
      </c>
      <c r="L10" s="27"/>
    </row>
    <row r="11" spans="1:12" x14ac:dyDescent="0.25">
      <c r="A11" s="28">
        <v>5112</v>
      </c>
      <c r="B11" s="60">
        <f>+C11/$C$18</f>
        <v>0.47934799154944158</v>
      </c>
      <c r="C11" s="29">
        <f>+BCQT!G9</f>
        <v>924722222</v>
      </c>
      <c r="D11" s="29">
        <f>+BCQT!H9</f>
        <v>910198705</v>
      </c>
      <c r="E11" s="29">
        <f>+B11*$E$18</f>
        <v>55093044.59975747</v>
      </c>
      <c r="F11" s="38">
        <f>+C11-D11-E11</f>
        <v>-40569527.59975747</v>
      </c>
      <c r="G11" s="30"/>
      <c r="H11" s="29">
        <f>+F11*$G$10</f>
        <v>-6896819.6919587702</v>
      </c>
      <c r="I11" s="38"/>
      <c r="J11" s="24"/>
      <c r="K11" s="24">
        <f>+J11</f>
        <v>0</v>
      </c>
      <c r="L11" s="19"/>
    </row>
    <row r="12" spans="1:12" ht="16.5" x14ac:dyDescent="0.25">
      <c r="A12" s="28">
        <v>5113</v>
      </c>
      <c r="B12" s="60">
        <f>+C12/$C$18</f>
        <v>6.5843033075152768E-2</v>
      </c>
      <c r="C12" s="29">
        <f>+BCQT!I9</f>
        <v>127019445</v>
      </c>
      <c r="D12" s="29">
        <f>+BCQT!J9</f>
        <v>29058634</v>
      </c>
      <c r="E12" s="29">
        <f>+B12*$E$18</f>
        <v>7567556.8099643234</v>
      </c>
      <c r="F12" s="38">
        <f>+C12-D12-E12</f>
        <v>90393254.190035671</v>
      </c>
      <c r="G12" s="30"/>
      <c r="H12" s="29">
        <f>+F12*G10</f>
        <v>15366853.212306065</v>
      </c>
      <c r="I12" s="38">
        <f>+H12*50%</f>
        <v>7683426.6061530327</v>
      </c>
      <c r="J12" s="24">
        <f>+H12-I12</f>
        <v>7683426.6061530327</v>
      </c>
      <c r="K12" s="24">
        <f>+J12</f>
        <v>7683426.6061530327</v>
      </c>
      <c r="L12" s="27"/>
    </row>
    <row r="13" spans="1:12" x14ac:dyDescent="0.25">
      <c r="A13" s="33" t="s">
        <v>16</v>
      </c>
      <c r="B13" s="62">
        <v>0.30892773140480745</v>
      </c>
      <c r="C13" s="47">
        <f>+SUM(C14:C17)</f>
        <v>877383391</v>
      </c>
      <c r="D13" s="47">
        <f>+SUM(D14:D17)</f>
        <v>198930357</v>
      </c>
      <c r="E13" s="47">
        <f>+SUM(E14:E17)</f>
        <v>52272694.590278208</v>
      </c>
      <c r="F13" s="47">
        <f>+SUM(F14:F17)</f>
        <v>626180339.40972185</v>
      </c>
      <c r="G13" s="48">
        <v>0.1</v>
      </c>
      <c r="H13" s="47">
        <f>+SUM(H14:H17)</f>
        <v>62618033.940972187</v>
      </c>
      <c r="I13" s="47">
        <f>+SUM(I14:I17)</f>
        <v>31309016.970486093</v>
      </c>
      <c r="J13" s="47">
        <f>+SUM(J14:J17)</f>
        <v>31309016.970486093</v>
      </c>
      <c r="K13" s="47">
        <f t="shared" ref="I13:K13" si="1">+SUM(K14:K17)</f>
        <v>31309016.970486093</v>
      </c>
      <c r="L13" s="19"/>
    </row>
    <row r="14" spans="1:12" x14ac:dyDescent="0.25">
      <c r="A14" s="28">
        <v>5112</v>
      </c>
      <c r="B14" s="63">
        <v>0</v>
      </c>
      <c r="C14" s="29"/>
      <c r="D14" s="29"/>
      <c r="E14" s="29"/>
      <c r="F14" s="38"/>
      <c r="G14" s="30"/>
      <c r="H14" s="29"/>
      <c r="I14" s="29"/>
      <c r="J14" s="24"/>
      <c r="K14" s="24"/>
      <c r="L14" s="19"/>
    </row>
    <row r="15" spans="1:12" x14ac:dyDescent="0.25">
      <c r="A15" s="28">
        <v>5113</v>
      </c>
      <c r="B15" s="63">
        <f>+C15/$C$18</f>
        <v>0.44982627144953086</v>
      </c>
      <c r="C15" s="29">
        <f>+BCQT!I16</f>
        <v>867771132</v>
      </c>
      <c r="D15" s="29">
        <f>+BCQT!J16</f>
        <v>198930357</v>
      </c>
      <c r="E15" s="29">
        <f>+B15*$E$18</f>
        <v>51700016.005085282</v>
      </c>
      <c r="F15" s="38">
        <f>C15-D15-E15</f>
        <v>617140758.99491477</v>
      </c>
      <c r="G15" s="30"/>
      <c r="H15" s="29">
        <f>+F15*$G$13</f>
        <v>61714075.899491481</v>
      </c>
      <c r="I15" s="29">
        <f>+H15*50%</f>
        <v>30857037.949745741</v>
      </c>
      <c r="J15" s="24">
        <f>+H15-I15</f>
        <v>30857037.949745741</v>
      </c>
      <c r="K15" s="24">
        <f>+J15</f>
        <v>30857037.949745741</v>
      </c>
      <c r="L15" s="19"/>
    </row>
    <row r="16" spans="1:12" ht="16.5" x14ac:dyDescent="0.25">
      <c r="A16" s="28">
        <v>5151</v>
      </c>
      <c r="B16" s="63">
        <f>+C16/$C$18</f>
        <v>5.8224841118620727E-5</v>
      </c>
      <c r="C16" s="66">
        <v>112323</v>
      </c>
      <c r="D16" s="29"/>
      <c r="E16" s="29">
        <f>+B16*$E$18</f>
        <v>6691.9728988394072</v>
      </c>
      <c r="F16" s="38">
        <f>C16-D16-E16</f>
        <v>105631.02710116059</v>
      </c>
      <c r="G16" s="30"/>
      <c r="H16" s="29">
        <f t="shared" ref="H16:H17" si="2">+F16*$G$13</f>
        <v>10563.10271011606</v>
      </c>
      <c r="I16" s="29">
        <f t="shared" ref="I16:I17" si="3">+H16*50%</f>
        <v>5281.5513550580299</v>
      </c>
      <c r="J16" s="24">
        <f>+H16-I16</f>
        <v>5281.5513550580299</v>
      </c>
      <c r="K16" s="24">
        <f>+J16</f>
        <v>5281.5513550580299</v>
      </c>
      <c r="L16" s="27"/>
    </row>
    <row r="17" spans="1:12" ht="16.5" x14ac:dyDescent="0.25">
      <c r="A17" s="28">
        <v>711</v>
      </c>
      <c r="B17" s="63">
        <f>+C17/$C$18</f>
        <v>4.9244790847561525E-3</v>
      </c>
      <c r="C17" s="66">
        <v>9499936</v>
      </c>
      <c r="D17" s="29"/>
      <c r="E17" s="29">
        <f>+B17*$E$18</f>
        <v>565986.612294088</v>
      </c>
      <c r="F17" s="38">
        <f>C17-D17-E17</f>
        <v>8933949.3877059128</v>
      </c>
      <c r="G17" s="30"/>
      <c r="H17" s="29">
        <f t="shared" si="2"/>
        <v>893394.93877059128</v>
      </c>
      <c r="I17" s="29">
        <f t="shared" si="3"/>
        <v>446697.46938529564</v>
      </c>
      <c r="J17" s="24">
        <f>+H17-I17</f>
        <v>446697.46938529564</v>
      </c>
      <c r="K17" s="24">
        <f t="shared" ref="K16:K17" si="4">+J17</f>
        <v>446697.46938529564</v>
      </c>
      <c r="L17" s="27"/>
    </row>
    <row r="18" spans="1:12" x14ac:dyDescent="0.25">
      <c r="A18" s="22" t="s">
        <v>44</v>
      </c>
      <c r="B18" s="31"/>
      <c r="C18" s="23">
        <f>+C7+C10+C13</f>
        <v>1929125058</v>
      </c>
      <c r="D18" s="23">
        <f>+D7+D10+D13</f>
        <v>1138187696</v>
      </c>
      <c r="E18" s="58">
        <f>192057296-77124000</f>
        <v>114933296</v>
      </c>
      <c r="F18" s="23">
        <f>+C18-D18-E18</f>
        <v>676004066</v>
      </c>
      <c r="G18" s="23"/>
      <c r="H18" s="23">
        <f>+H10+H13</f>
        <v>77984887.153278247</v>
      </c>
      <c r="I18" s="23">
        <f>+I10+I13</f>
        <v>38992443.576639123</v>
      </c>
      <c r="J18" s="23">
        <f>+J10+J13</f>
        <v>38992443.576639123</v>
      </c>
      <c r="K18" s="23">
        <f>+K10+K13</f>
        <v>38992443.576639123</v>
      </c>
      <c r="L18" s="19"/>
    </row>
    <row r="19" spans="1:12" ht="16.5" x14ac:dyDescent="0.25">
      <c r="A19" s="19"/>
      <c r="B19" s="19"/>
      <c r="C19" s="36"/>
      <c r="D19" s="36"/>
      <c r="E19" s="36"/>
      <c r="F19" s="32"/>
      <c r="G19" s="19"/>
      <c r="H19" s="19"/>
      <c r="I19" s="32"/>
      <c r="J19" s="32"/>
      <c r="K19" s="19"/>
      <c r="L19" s="19"/>
    </row>
    <row r="20" spans="1:12" ht="16.5" x14ac:dyDescent="0.25">
      <c r="A20" s="19"/>
      <c r="B20" s="67"/>
      <c r="C20" s="19"/>
      <c r="D20" s="19" t="s">
        <v>48</v>
      </c>
      <c r="E20" s="68">
        <v>77124000</v>
      </c>
      <c r="F20" s="64"/>
      <c r="G20" s="64"/>
      <c r="H20" s="64"/>
      <c r="I20" s="64"/>
      <c r="J20" s="77" t="s">
        <v>45</v>
      </c>
      <c r="K20" s="77"/>
      <c r="L20" s="19"/>
    </row>
    <row r="21" spans="1:12" ht="16.5" x14ac:dyDescent="0.25">
      <c r="A21" s="76"/>
      <c r="B21" s="76"/>
      <c r="C21" s="57"/>
      <c r="D21" s="19"/>
      <c r="E21" s="19"/>
      <c r="F21" s="65"/>
      <c r="G21" s="65"/>
      <c r="H21" s="65"/>
      <c r="I21" s="65"/>
      <c r="J21" s="78" t="s">
        <v>46</v>
      </c>
      <c r="K21" s="78"/>
      <c r="L21" s="19"/>
    </row>
    <row r="22" spans="1:12" ht="17.25" x14ac:dyDescent="0.3">
      <c r="A22" s="72"/>
      <c r="B22" s="73"/>
      <c r="C22" s="46"/>
      <c r="D22" s="46"/>
      <c r="E22" s="46"/>
      <c r="F22" s="32"/>
      <c r="G22" s="19"/>
      <c r="H22" s="19"/>
      <c r="I22" s="19"/>
      <c r="J22" s="19"/>
      <c r="K22" s="19"/>
      <c r="L22" s="19"/>
    </row>
    <row r="23" spans="1:12" ht="17.25" x14ac:dyDescent="0.3">
      <c r="A23" s="72"/>
      <c r="B23" s="73"/>
      <c r="C23" s="46"/>
      <c r="D23" s="46"/>
      <c r="E23" s="46"/>
      <c r="F23" s="19"/>
      <c r="G23" s="19"/>
      <c r="H23" s="19"/>
      <c r="I23" s="56"/>
      <c r="J23" s="19"/>
      <c r="K23" s="32"/>
      <c r="L23" s="19"/>
    </row>
    <row r="24" spans="1:12" ht="17.25" x14ac:dyDescent="0.3">
      <c r="A24" s="72"/>
      <c r="B24" s="73"/>
      <c r="C24" s="46"/>
      <c r="D24" s="46"/>
      <c r="E24" s="46"/>
      <c r="F24" s="32"/>
      <c r="G24" s="19"/>
      <c r="H24" s="19"/>
      <c r="I24" s="32"/>
      <c r="J24" s="19"/>
      <c r="K24" s="19"/>
      <c r="L24" s="19"/>
    </row>
    <row r="25" spans="1:12" ht="17.25" x14ac:dyDescent="0.3">
      <c r="A25" s="72"/>
      <c r="B25" s="73"/>
      <c r="C25" s="46"/>
      <c r="D25" s="46"/>
      <c r="E25" s="46"/>
      <c r="F25" s="19"/>
      <c r="G25" s="19"/>
      <c r="H25" s="19"/>
      <c r="I25" s="32"/>
      <c r="J25" s="19"/>
      <c r="K25" s="32"/>
      <c r="L25" s="19"/>
    </row>
    <row r="26" spans="1:12" ht="17.25" x14ac:dyDescent="0.3">
      <c r="A26" s="70"/>
      <c r="B26" s="71"/>
      <c r="C26" s="46"/>
      <c r="D26" s="46"/>
      <c r="E26" s="46"/>
      <c r="F26" s="32"/>
      <c r="G26" s="19"/>
      <c r="H26" s="19"/>
      <c r="I26" s="32"/>
      <c r="J26" s="19"/>
      <c r="K26" s="19"/>
      <c r="L26" s="19"/>
    </row>
    <row r="27" spans="1:12" ht="16.5" x14ac:dyDescent="0.25">
      <c r="A27" s="19"/>
      <c r="B27" s="45"/>
      <c r="C27" s="46"/>
      <c r="D27" s="46"/>
      <c r="E27" s="46"/>
      <c r="F27" s="19"/>
      <c r="G27" s="19"/>
      <c r="H27" s="19"/>
      <c r="I27" s="19"/>
      <c r="J27" s="19"/>
      <c r="K27" s="19"/>
      <c r="L27" s="19"/>
    </row>
    <row r="28" spans="1:12" ht="16.5" x14ac:dyDescent="0.25">
      <c r="A28" s="19"/>
      <c r="B28" s="45"/>
      <c r="C28" s="46"/>
      <c r="D28" s="46"/>
      <c r="E28" s="46"/>
      <c r="F28" s="32"/>
      <c r="G28" s="19"/>
      <c r="H28" s="19"/>
      <c r="I28" s="19"/>
      <c r="J28" s="19"/>
      <c r="K28" s="19"/>
      <c r="L28" s="19"/>
    </row>
    <row r="29" spans="1:12" ht="16.5" x14ac:dyDescent="0.25">
      <c r="A29" s="19"/>
      <c r="B29" s="45"/>
      <c r="C29" s="46"/>
      <c r="D29" s="46"/>
      <c r="E29" s="46"/>
      <c r="F29" s="19"/>
      <c r="G29" s="19"/>
      <c r="H29" s="19"/>
      <c r="I29" s="19"/>
      <c r="J29" s="19"/>
      <c r="K29" s="19"/>
      <c r="L29" s="19"/>
    </row>
    <row r="30" spans="1:12" ht="16.5" x14ac:dyDescent="0.25">
      <c r="A30" s="19"/>
      <c r="B30" s="45"/>
      <c r="C30" s="46"/>
      <c r="D30" s="46"/>
      <c r="E30" s="46"/>
      <c r="F30" s="19"/>
      <c r="G30" s="19"/>
      <c r="H30" s="19"/>
      <c r="I30" s="19"/>
      <c r="J30" s="19"/>
      <c r="K30" s="19"/>
      <c r="L30" s="19"/>
    </row>
    <row r="31" spans="1:12" ht="16.5" x14ac:dyDescent="0.25">
      <c r="A31" s="19"/>
      <c r="B31" s="45"/>
      <c r="C31" s="46"/>
      <c r="D31" s="46"/>
      <c r="E31" s="46"/>
      <c r="F31" s="19"/>
      <c r="G31" s="19"/>
      <c r="H31" s="19"/>
      <c r="I31" s="19"/>
      <c r="J31" s="19"/>
      <c r="K31" s="19"/>
      <c r="L31" s="19"/>
    </row>
    <row r="32" spans="1:12" ht="16.5" x14ac:dyDescent="0.25">
      <c r="A32" s="19"/>
      <c r="B32" s="45"/>
      <c r="C32" s="46"/>
      <c r="D32" s="46"/>
      <c r="E32" s="46"/>
      <c r="F32" s="19"/>
      <c r="G32" s="19"/>
      <c r="H32" s="19"/>
      <c r="I32" s="19"/>
      <c r="J32" s="19"/>
      <c r="K32" s="19"/>
      <c r="L32" s="19"/>
    </row>
    <row r="33" spans="2:5" ht="16.5" x14ac:dyDescent="0.25">
      <c r="B33" s="45"/>
      <c r="C33" s="46"/>
      <c r="D33" s="46"/>
      <c r="E33" s="46"/>
    </row>
    <row r="34" spans="2:5" ht="16.5" x14ac:dyDescent="0.25">
      <c r="B34" s="45"/>
      <c r="C34" s="46"/>
      <c r="D34" s="46"/>
      <c r="E34" s="46"/>
    </row>
    <row r="35" spans="2:5" ht="16.5" x14ac:dyDescent="0.25">
      <c r="B35" s="45"/>
      <c r="C35" s="46"/>
      <c r="D35" s="46"/>
      <c r="E35" s="46"/>
    </row>
    <row r="36" spans="2:5" ht="16.5" x14ac:dyDescent="0.25">
      <c r="B36" s="45"/>
      <c r="C36" s="46"/>
      <c r="D36" s="46"/>
      <c r="E36" s="46"/>
    </row>
    <row r="37" spans="2:5" ht="16.5" x14ac:dyDescent="0.25">
      <c r="B37" s="45"/>
      <c r="C37" s="46"/>
      <c r="D37" s="46"/>
      <c r="E37" s="46"/>
    </row>
    <row r="38" spans="2:5" ht="16.5" x14ac:dyDescent="0.25">
      <c r="B38" s="45"/>
      <c r="C38" s="46"/>
      <c r="D38" s="46"/>
      <c r="E38" s="46"/>
    </row>
  </sheetData>
  <mergeCells count="4">
    <mergeCell ref="A4:K4"/>
    <mergeCell ref="A21:B21"/>
    <mergeCell ref="J20:K20"/>
    <mergeCell ref="J21:K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BCQT</vt:lpstr>
      <vt:lpstr>TTNDN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ProBook</cp:lastModifiedBy>
  <dcterms:created xsi:type="dcterms:W3CDTF">2023-02-23T14:31:09Z</dcterms:created>
  <dcterms:modified xsi:type="dcterms:W3CDTF">2023-02-27T08:27:25Z</dcterms:modified>
</cp:coreProperties>
</file>