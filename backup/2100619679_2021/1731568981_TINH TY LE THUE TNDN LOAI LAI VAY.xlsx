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285" windowWidth="14805" windowHeight="7830" tabRatio="871" activeTab="3"/>
  </bookViews>
  <sheets>
    <sheet name="BANG KE DOANH THU CT 2020" sheetId="6" r:id="rId1"/>
    <sheet name="TINH THUE TNDN 2020" sheetId="9" r:id="rId2"/>
    <sheet name="BANG KE DOANH THU CT 2021" sheetId="10" r:id="rId3"/>
    <sheet name="TINH THUE TNDN 2021" sheetId="11" r:id="rId4"/>
    <sheet name="BANG KE DT CT 2022" sheetId="12" r:id="rId5"/>
    <sheet name="TINH THUẾ TNDN 2022" sheetId="13" r:id="rId6"/>
    <sheet name="BANG KE DT CT 2023" sheetId="14" r:id="rId7"/>
    <sheet name="TIN THUE TNDN 2023" sheetId="15" r:id="rId8"/>
  </sheets>
  <calcPr calcId="152511"/>
</workbook>
</file>

<file path=xl/calcChain.xml><?xml version="1.0" encoding="utf-8"?>
<calcChain xmlns="http://schemas.openxmlformats.org/spreadsheetml/2006/main">
  <c r="P18" i="9" l="1"/>
  <c r="P13" i="9"/>
  <c r="O13" i="9"/>
  <c r="J22" i="15" l="1"/>
  <c r="H13" i="15"/>
  <c r="H17" i="15"/>
  <c r="C17" i="15"/>
  <c r="C8" i="15"/>
  <c r="H19" i="13"/>
  <c r="G20" i="13"/>
  <c r="C52" i="14" l="1"/>
  <c r="D44" i="14" l="1"/>
  <c r="H20" i="15" l="1"/>
  <c r="D10" i="15"/>
  <c r="D14" i="13" l="1"/>
  <c r="D10" i="9" l="1"/>
  <c r="C8" i="11" l="1"/>
  <c r="E38" i="14" l="1"/>
  <c r="C10" i="15" l="1"/>
  <c r="D8" i="14"/>
  <c r="D14" i="15" s="1"/>
  <c r="C8" i="14"/>
  <c r="C3" i="14"/>
  <c r="C14" i="15" l="1"/>
  <c r="C13" i="15" s="1"/>
  <c r="C22" i="15" s="1"/>
  <c r="C39" i="14"/>
  <c r="A28" i="15"/>
  <c r="D13" i="15"/>
  <c r="N12" i="15"/>
  <c r="N11" i="15"/>
  <c r="N10" i="15"/>
  <c r="N9" i="15"/>
  <c r="C6" i="15"/>
  <c r="D3" i="14"/>
  <c r="D8" i="15" l="1"/>
  <c r="D39" i="14"/>
  <c r="D43" i="14" s="1"/>
  <c r="B13" i="15"/>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9" i="14"/>
  <c r="E5" i="14"/>
  <c r="E6" i="14"/>
  <c r="E7" i="14"/>
  <c r="E4" i="14"/>
  <c r="D17" i="15" l="1"/>
  <c r="E3" i="14"/>
  <c r="E8" i="14"/>
  <c r="B8" i="15"/>
  <c r="F8" i="15" s="1"/>
  <c r="B6" i="15"/>
  <c r="G13" i="15"/>
  <c r="F13" i="15"/>
  <c r="E13" i="15"/>
  <c r="E8" i="15" l="1"/>
  <c r="E39" i="14"/>
  <c r="B17" i="15"/>
  <c r="G8" i="15"/>
  <c r="H8" i="15" l="1"/>
  <c r="J8" i="15" s="1"/>
  <c r="L8" i="15" s="1"/>
  <c r="M8" i="15" s="1"/>
  <c r="J13" i="15"/>
  <c r="L13" i="15" s="1"/>
  <c r="N13" i="15" s="1"/>
  <c r="F32" i="13"/>
  <c r="N12" i="13"/>
  <c r="N11" i="13"/>
  <c r="N10" i="13"/>
  <c r="N9" i="13"/>
  <c r="C6" i="13"/>
  <c r="E34" i="12"/>
  <c r="E48" i="12"/>
  <c r="E47" i="12"/>
  <c r="E46" i="12"/>
  <c r="E45" i="12"/>
  <c r="E44" i="12"/>
  <c r="E43" i="12"/>
  <c r="E42" i="12"/>
  <c r="E41" i="12"/>
  <c r="E40" i="12"/>
  <c r="E39" i="12"/>
  <c r="E38" i="12"/>
  <c r="E37" i="12"/>
  <c r="E36" i="12"/>
  <c r="E35" i="12"/>
  <c r="E7" i="12"/>
  <c r="E28" i="12"/>
  <c r="E27" i="12"/>
  <c r="E6" i="12"/>
  <c r="E8" i="12"/>
  <c r="E11" i="12"/>
  <c r="E12" i="12"/>
  <c r="E13" i="12"/>
  <c r="E14" i="12"/>
  <c r="E15" i="12"/>
  <c r="E16" i="12"/>
  <c r="E17" i="12"/>
  <c r="E18" i="12"/>
  <c r="E19" i="12"/>
  <c r="E20" i="12"/>
  <c r="E21" i="12"/>
  <c r="E22" i="12"/>
  <c r="E23" i="12"/>
  <c r="E24" i="12"/>
  <c r="E25" i="12"/>
  <c r="E26" i="12"/>
  <c r="E29" i="12"/>
  <c r="E30" i="12"/>
  <c r="E31" i="12"/>
  <c r="E32" i="12"/>
  <c r="E33" i="12"/>
  <c r="E10" i="12"/>
  <c r="E5" i="12"/>
  <c r="E4" i="12"/>
  <c r="E4" i="10"/>
  <c r="E5" i="10"/>
  <c r="E9" i="10"/>
  <c r="D9" i="12"/>
  <c r="C9" i="12"/>
  <c r="C14" i="13" s="1"/>
  <c r="C13" i="13" s="1"/>
  <c r="D3" i="12"/>
  <c r="D10" i="13" s="1"/>
  <c r="D8" i="13" s="1"/>
  <c r="C3" i="12"/>
  <c r="C10" i="13" s="1"/>
  <c r="C8" i="13" s="1"/>
  <c r="E3" i="12" l="1"/>
  <c r="J17" i="15"/>
  <c r="J21" i="15" s="1"/>
  <c r="H6" i="15"/>
  <c r="L6" i="15" s="1"/>
  <c r="N6" i="15" s="1"/>
  <c r="P23" i="15"/>
  <c r="P26" i="15" s="1"/>
  <c r="L17" i="15"/>
  <c r="M17" i="15"/>
  <c r="D13" i="13"/>
  <c r="E9" i="12"/>
  <c r="C17" i="13"/>
  <c r="C49" i="12"/>
  <c r="D49" i="12"/>
  <c r="E49" i="12" l="1"/>
  <c r="D17" i="13"/>
  <c r="N8" i="15"/>
  <c r="N17" i="15" s="1"/>
  <c r="B6" i="13"/>
  <c r="D32" i="13"/>
  <c r="B8" i="13"/>
  <c r="E8" i="13" s="1"/>
  <c r="B13" i="13"/>
  <c r="C22" i="11"/>
  <c r="N12" i="11"/>
  <c r="N11" i="11"/>
  <c r="N10" i="11"/>
  <c r="N9" i="11"/>
  <c r="C6" i="11"/>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12" i="10"/>
  <c r="E6" i="10"/>
  <c r="E7" i="10"/>
  <c r="E8" i="10"/>
  <c r="E10" i="10"/>
  <c r="D11" i="10"/>
  <c r="D14" i="11" s="1"/>
  <c r="C11" i="10"/>
  <c r="C14" i="11" s="1"/>
  <c r="C13" i="11" s="1"/>
  <c r="D3" i="10"/>
  <c r="D10" i="11" s="1"/>
  <c r="D8" i="11" s="1"/>
  <c r="H8" i="11" s="1"/>
  <c r="C3" i="10"/>
  <c r="C10" i="11" s="1"/>
  <c r="C17" i="11" l="1"/>
  <c r="B17" i="13"/>
  <c r="G8" i="13"/>
  <c r="F8" i="13"/>
  <c r="G13" i="13"/>
  <c r="F13" i="13"/>
  <c r="E13" i="13"/>
  <c r="D13" i="11"/>
  <c r="H13" i="11" s="1"/>
  <c r="E3" i="10"/>
  <c r="E11" i="10"/>
  <c r="D40" i="10"/>
  <c r="C40" i="10"/>
  <c r="H13" i="13" l="1"/>
  <c r="H8" i="13"/>
  <c r="J8" i="13" s="1"/>
  <c r="B13" i="11"/>
  <c r="G13" i="11" s="1"/>
  <c r="D17" i="11"/>
  <c r="E40" i="10"/>
  <c r="E13" i="11"/>
  <c r="B6" i="11"/>
  <c r="H18" i="11"/>
  <c r="B8" i="11"/>
  <c r="G8" i="11" s="1"/>
  <c r="F13" i="11" l="1"/>
  <c r="J13" i="11" s="1"/>
  <c r="L13" i="11" s="1"/>
  <c r="F26" i="11" s="1"/>
  <c r="J13" i="13"/>
  <c r="L13" i="13" s="1"/>
  <c r="H17" i="13"/>
  <c r="L8" i="13"/>
  <c r="M8" i="13" s="1"/>
  <c r="B17" i="11"/>
  <c r="F8" i="11"/>
  <c r="E8" i="11"/>
  <c r="H17" i="11" s="1"/>
  <c r="E30" i="6"/>
  <c r="E17" i="6"/>
  <c r="D16" i="6"/>
  <c r="D14" i="9" s="1"/>
  <c r="E5" i="6"/>
  <c r="E6" i="6"/>
  <c r="E7" i="6"/>
  <c r="E8" i="6"/>
  <c r="E9" i="6"/>
  <c r="E10" i="6"/>
  <c r="E11" i="6"/>
  <c r="E12" i="6"/>
  <c r="E13" i="6"/>
  <c r="E14" i="6"/>
  <c r="E15" i="6"/>
  <c r="E18" i="6"/>
  <c r="E19" i="6"/>
  <c r="E20" i="6"/>
  <c r="E21" i="6"/>
  <c r="E22" i="6"/>
  <c r="E23" i="6"/>
  <c r="E24" i="6"/>
  <c r="E25" i="6"/>
  <c r="E26" i="6"/>
  <c r="E27" i="6"/>
  <c r="E28" i="6"/>
  <c r="E29" i="6"/>
  <c r="E4" i="6"/>
  <c r="D3" i="6"/>
  <c r="C3" i="6"/>
  <c r="C10" i="9" s="1"/>
  <c r="C8" i="9" s="1"/>
  <c r="C16" i="6"/>
  <c r="C14" i="9" s="1"/>
  <c r="C13" i="9" s="1"/>
  <c r="H20" i="13" l="1"/>
  <c r="L17" i="13"/>
  <c r="L19" i="13" s="1"/>
  <c r="N13" i="11"/>
  <c r="J17" i="13"/>
  <c r="F24" i="13" s="1"/>
  <c r="F26" i="13"/>
  <c r="N13" i="13"/>
  <c r="H6" i="13"/>
  <c r="L6" i="13" s="1"/>
  <c r="M17" i="13"/>
  <c r="F25" i="13"/>
  <c r="E16" i="6"/>
  <c r="D31" i="6"/>
  <c r="P23" i="11" l="1"/>
  <c r="P26" i="11" s="1"/>
  <c r="F27" i="13"/>
  <c r="F28" i="13" s="1"/>
  <c r="P23" i="13"/>
  <c r="P26" i="13" s="1"/>
  <c r="N6" i="13"/>
  <c r="N8" i="13"/>
  <c r="N17" i="13" s="1"/>
  <c r="J8" i="11"/>
  <c r="C31" i="6"/>
  <c r="N9" i="9"/>
  <c r="N10" i="9"/>
  <c r="N11" i="9"/>
  <c r="N12" i="9"/>
  <c r="C18" i="9"/>
  <c r="J17" i="11" l="1"/>
  <c r="L8" i="11"/>
  <c r="F25" i="11" s="1"/>
  <c r="F27" i="11" s="1"/>
  <c r="H20" i="11"/>
  <c r="H6" i="11"/>
  <c r="L6" i="11" s="1"/>
  <c r="D13" i="9"/>
  <c r="D8" i="9"/>
  <c r="F24" i="11" l="1"/>
  <c r="F28" i="11" s="1"/>
  <c r="M8" i="11"/>
  <c r="M17" i="11" s="1"/>
  <c r="N6" i="11"/>
  <c r="L22" i="11"/>
  <c r="L17" i="11"/>
  <c r="D18" i="9"/>
  <c r="N8" i="11" l="1"/>
  <c r="N17" i="11" s="1"/>
  <c r="C23" i="9"/>
  <c r="C6" i="9"/>
  <c r="M20" i="11" l="1"/>
  <c r="B13" i="9"/>
  <c r="F13" i="9" l="1"/>
  <c r="G13" i="9"/>
  <c r="B6" i="9"/>
  <c r="E13" i="9"/>
  <c r="H13" i="9" s="1"/>
  <c r="H19" i="9"/>
  <c r="B8" i="9"/>
  <c r="G8" i="9" s="1"/>
  <c r="J13" i="9" l="1"/>
  <c r="E8" i="9"/>
  <c r="F8" i="9"/>
  <c r="B18" i="9"/>
  <c r="H8" i="9" l="1"/>
  <c r="L13" i="9"/>
  <c r="F27" i="9" s="1"/>
  <c r="N13" i="9" l="1"/>
  <c r="R14" i="9" s="1"/>
  <c r="H18" i="9"/>
  <c r="H6" i="9" s="1"/>
  <c r="L6" i="9" s="1"/>
  <c r="J8" i="9"/>
  <c r="J18" i="9" s="1"/>
  <c r="R15" i="9" l="1"/>
  <c r="F25" i="9"/>
  <c r="R24" i="9"/>
  <c r="R27" i="9" s="1"/>
  <c r="H21" i="9"/>
  <c r="L8" i="9"/>
  <c r="N6" i="9"/>
  <c r="L23" i="9"/>
  <c r="F26" i="9" l="1"/>
  <c r="F28" i="9" s="1"/>
  <c r="F29" i="9" s="1"/>
  <c r="L18" i="9"/>
  <c r="M8" i="9"/>
  <c r="M18" i="9" l="1"/>
  <c r="N8" i="9"/>
  <c r="N18" i="9" s="1"/>
  <c r="M21" i="9" l="1"/>
  <c r="E3" i="6" l="1"/>
  <c r="E31" i="6" s="1"/>
</calcChain>
</file>

<file path=xl/sharedStrings.xml><?xml version="1.0" encoding="utf-8"?>
<sst xmlns="http://schemas.openxmlformats.org/spreadsheetml/2006/main" count="282" uniqueCount="181">
  <si>
    <t>Doanh thu</t>
  </si>
  <si>
    <t xml:space="preserve">Doanh thu </t>
  </si>
  <si>
    <t>Tỉ lệ / DT</t>
  </si>
  <si>
    <t>Lợi nhuận</t>
  </si>
  <si>
    <t>TS</t>
  </si>
  <si>
    <t>Thuế TNDN</t>
  </si>
  <si>
    <t>Địa bàn không ưu đãi</t>
  </si>
  <si>
    <t>Tổng cộng</t>
  </si>
  <si>
    <t>LẬP BẢNG</t>
  </si>
  <si>
    <t>GIÁM ĐỐC</t>
  </si>
  <si>
    <t>STT</t>
  </si>
  <si>
    <t>TÊN CÔNG TRÌNH</t>
  </si>
  <si>
    <t>DT THUẦN</t>
  </si>
  <si>
    <t xml:space="preserve">                                                                                                           GIÁM ĐỐC</t>
  </si>
  <si>
    <t>GIÁ THÀNH</t>
  </si>
  <si>
    <t>Số thuế 
phải nộp</t>
  </si>
  <si>
    <t>LỢI NHUẬN TRƯỚC 
PHÂN BỔ CPQL</t>
  </si>
  <si>
    <t>Giá Vốn</t>
  </si>
  <si>
    <t>Kết chuyển lỗ</t>
  </si>
  <si>
    <t>LN sau 
kết chuyển</t>
  </si>
  <si>
    <t>Chi Phí 
Quản Lý</t>
  </si>
  <si>
    <t>DT ĐỊA BÀN KHÓ KHĂN</t>
  </si>
  <si>
    <t>ĐỊA BÀN KHÓ KHĂN</t>
  </si>
  <si>
    <t>CP KHÔNG ĐƯỢC TRỪ</t>
  </si>
  <si>
    <t>CHI PHÍ LÃI</t>
  </si>
  <si>
    <t>MIỄN 50%</t>
  </si>
  <si>
    <t>DOANH THU Ở ĐỊA BÀN ĐẶC BIỆT KHÓ KHĂN</t>
  </si>
  <si>
    <t>2019_CT:Cải tạo và phát triển lưới điện cung cấp điện cho xã nông thôn mới Nhị quý, Thị Xã Cai Lậy theo hợp đồng 05/2019/HĐGK-TG ngày 20/08/2019</t>
  </si>
  <si>
    <t> 2020_Lắp đặt TBA 3 pha 250KVA HĐ số 2503/2020/HDXD/TNTV-MĐ</t>
  </si>
  <si>
    <t>2020_Thi công trụ 7.3m</t>
  </si>
  <si>
    <t>2020_Thay dây cáp CV3x22 mm2</t>
  </si>
  <si>
    <t>2020_TCXD: Đường dây 22kv và trạm biến áp 3x25kvA Trung tâm hành chính xã Long Toàn theo HĐ số 06/2020/HĐ-TCXD ngày 30/07/2020</t>
  </si>
  <si>
    <t>2020_Doanh thu thay đèn led, dựng trụ BTLT</t>
  </si>
  <si>
    <t>Thi công công trình Xóa câu phụ khu vực huyện Châu Thành</t>
  </si>
  <si>
    <t> TC nâng cấp sửa chữa điện chiếu sáng khu vực chợ Khóm 5</t>
  </si>
  <si>
    <t>2020_TC lắp đặt hệ thống giám sát và hệ thống chống sét Line Pin nhà máy: Nhà máy điện mặt trời Trung Nam Trà Vinh 0503/2020/HĐLĐ/TNE&amp;C-MĐ/TNTV</t>
  </si>
  <si>
    <t>Nâng cấp, sửa chữa hệ thống chiếu sáng đoạn từ bến phà tới trung tâm hành chính thị trấn Long Thành 15/2020/HDSC kí ngày 01/12/2020</t>
  </si>
  <si>
    <t>SCTC Xử lí sạt lỡ đường vào dự án Điện Mặt Trời Trung Nam Trà Vinh 12HDDKT-MĐ-TNTV kí ngày 25/08/2020</t>
  </si>
  <si>
    <t>2020_Vận chuyển máy biến áp theo hợp đồng số 18/HĐTV 2020/DLDH - MĐ ngày 19/05/2020</t>
  </si>
  <si>
    <t>2020_Sửa chữa hệ thống chiếu sáng và các cổng hoa trên địa bàn thị xã theo HĐ số 18/HĐKT-2020 ngày 10/06/2020</t>
  </si>
  <si>
    <t> 2020_Sửa chữa hệ thống chiếu sáng trên địa bàn thị xã Duyên Hải và sửa chữa các cổng hoa trên địa bàn Phường 1 theo HĐ 01/HĐKT/2020/MĐ/QLĐT ngày 09/01/2020</t>
  </si>
  <si>
    <t>Thay 162 bóng đèn cao áp bằng đèn led các tuyến đường Phường 1 thị xã Duyên Hải 19/2020/HĐ-TC kí ngày 29/09/2020</t>
  </si>
  <si>
    <t>Sửa chữa và di dời điện phục vụ thi công QL53 trên địa bàn thị xã Duyên Hải 21/HDKT-2020 kí ngày 27/10/2020</t>
  </si>
  <si>
    <t>Hạ trạm biến áp tuyến đường số 01, phường 1, thị xã Duyên Hải theo hợp đồng 20/HDKT-2020 kí ngày 27/10/2020</t>
  </si>
  <si>
    <t>Lắp đặt trạm biến áp 3x25KVA công viên thị xã Duyên Hải 22/HĐKT-2020 kí ngày 26/06/2020</t>
  </si>
  <si>
    <t>  SC đường dây HĐ 01/HĐKT/2020/MĐ-KGSG 05/05/2020</t>
  </si>
  <si>
    <t>Di dời trụ điện thuộc dự án Đường nhựa ấp Khoán Tiền xã Trường Long Hòa 09/2020/HD-TCXD kí ngày 24/06/2020</t>
  </si>
  <si>
    <t>Đóng, cắt điện chiếu sáng trên địa bàn thị xã Duyên Hải</t>
  </si>
  <si>
    <t> 2020_TC dựng trụ 7.3m, 6m</t>
  </si>
  <si>
    <t>2020_TCXD: Di dời trụ điện hạ thế thuộc dự án Đường nhựa Trường THPT Long Hữu theo HĐ số 07/2020/HĐ-TCXD ngày 27/04/2020</t>
  </si>
  <si>
    <t> 2018_CT: lắp đặt và CC VT phụ đường dây trung hạ thế và trạm biến áp trên địa bàn H.Hoà bình</t>
  </si>
  <si>
    <t> 2018_CT:lắp đặt và CC vật tư phụ đường dây trung thế và trạm biến áp trên địa bàn H. Đông Hải</t>
  </si>
  <si>
    <t>BẢNG XÁC ĐỊNH THU NHẬP CHỊU THUẾ TNDN NĂM 2020</t>
  </si>
  <si>
    <t>DT ĐỊA BÀN ĐẶT BIỆT KHÓ KHĂN</t>
  </si>
  <si>
    <t>BẢNG KÊ DOANH THU CÁC CÔNG TRÌNH NĂM 2020</t>
  </si>
  <si>
    <t>Nguyễn Thị Bước</t>
  </si>
  <si>
    <t>CÔNG TY TNHH XD ĐIỆN MINH ĐẠT</t>
  </si>
  <si>
    <t>MST: 2100619679</t>
  </si>
  <si>
    <t>Trà Vinh, ngày 31 tháng 12 năm 2020</t>
  </si>
  <si>
    <t>2021_Gói Thầu số 12: Thi Công xây dựng đường dây 22KV và trạm biến áp 3X25KVA thuộc dự án công viên văn hoá xã Dân Thành (HĐ số 12/2021/ HĐ-TCXD)</t>
  </si>
  <si>
    <t>2021_Sửa chữa hệ thống chiếu sáng HL81 (Đoạn từ cầu Kênh Xáng đến ngã ba Dân Thành) Số: 17/HĐKT-2021</t>
  </si>
  <si>
    <t>Thi công công trình cung cấp điện huyện Châu Thành</t>
  </si>
  <si>
    <t> 2021_Sửa chữa hệ thống chiếu sáng HL81 (Đoạn giao QL53 đến cầu Kênh Xáng) theo hợp đồng số 22/HĐKT-2021 ký ngày 10/06/2021</t>
  </si>
  <si>
    <t>2021_Sửa chữa hệ thống chiếu sáng khu vực cầu kênh Xáng, xã Dân Thành, thị xã Duyên Hải theo HĐ số 28/HĐKT-2021 ký ngày 15/10/2021</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</si>
  <si>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</si>
  <si>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2021_Thi công gói thầu SPC-2081CM-2021-05XL.1: Xây lắp đường dây trung, hạ áp, trạm biến áp và trụ móng đỡ nhánh rẽ vào nhà huyện Đầm Dơi, tỉnh Cà Mau theo Hợp đồng số 28/HĐ-XD ngày 01/10/2021</t>
  </si>
  <si>
    <t>  2021_Lắp đặt TBA 3 pha KVA theo hợp đồng số 2904/2021/HĐTC/TNE&amp;C _MINHDAT ký ngày 29/04/2021</t>
  </si>
  <si>
    <t>  2021_Sữa chữa hệ thống chiếu sáng QL53B (Đoạn từ cầu láng chim đến ngã 4 trường THCS Trường Long Hoà) theo HĐ số 22/HĐKT-2021 ký ngày 08/07/2021</t>
  </si>
  <si>
    <t>  2021_Sửa chữa hệ thống chiếu sáng khu vực cầu Ba Động , xã Trường Long Hòa, thị xã Duyên Hải theo HĐ số 27/HDKT-2021 ký ngày 12/10/2021</t>
  </si>
  <si>
    <t>  2021_Thi công XDCT Nâng cấp đường dây hạ áp 3 pha hỗn hợp đoạn cầu Sông Khoen đến cầu Kinh Xáng ấp Cây Cồng, xã Đôn Xuân theo hợp đồng số 22/2021/HĐTC ký ngày 04/11/2021</t>
  </si>
  <si>
    <t>  2021_Sửa chữa hệ thống chiếu sáng khu vực cầu Lãng Chim xã Trường Long Hoà, thị xã Duyên Hải theo hợp đồng số 29/HĐKT-2021 ký ngày 15/10/2021</t>
  </si>
  <si>
    <t>  2021_TCXDCT lắp đặt hệ thống điện chiếu sáng đường tạm vào khu hành chính huyện Duyên Hải theo hợp đồng số 40/2021/HĐTC ký ngày 14/12/2021</t>
  </si>
  <si>
    <t>  01/HDKT-2021: Sửa chữa hệ thống chiếu sáng trên tuyến đường 19/5, Phường 1, TX Duyên Hải, TV</t>
  </si>
  <si>
    <t>  02/HDKT/2021-Sửa chữa hệ thống chiếu sáng đường vào Công an Phường 1</t>
  </si>
  <si>
    <t>  03/HDKT/2021_Sửa chữa hệ thống chiếu sáng khu vực Miễu Bà, xã Long Hữu</t>
  </si>
  <si>
    <t>  04/HDKT/2021_Sửa chữa và thu hồi hệ thống chiếu sáng đường 2/9, đường Điện Biên Phủ và đường 30/4, phường 1</t>
  </si>
  <si>
    <t>  05/HDKT/2021_Di dời đường dây hạ thế trong khuôn viên Ủy ban nhân dân thị xã Duyên Hải</t>
  </si>
  <si>
    <t>  06/HDKT/2021 Sửa chữa hệ thống chiếu sáng các tuyến đường trên địa bàn TX Duyên Hải</t>
  </si>
  <si>
    <t>  08/HDKT-2021: Sửa chữa hệ thống chiếu sáng khu vực Nghĩa trang liệt sĩ</t>
  </si>
  <si>
    <t>  Gói thầu số 05: Thi công hệ thống chiếu sáng khu vực cầu Láng Chim, xã Trừong Long Hòa, TX Duyên Hải</t>
  </si>
  <si>
    <t>  2021_TCXD CT: Điện chiếu sáng trung tâm xã Đông Hải HĐ số 02/2021/HDTC</t>
  </si>
  <si>
    <t>  2021_Sửa chữa cổng đèn hoa trên đường 19/5, phường 1, thị xã Duyên Hải (HĐ số 14/HĐKT-2021)</t>
  </si>
  <si>
    <t>  2021_Sửa chữa hệ thống chiếu sáng QL53 (Đoạn từ Nghĩa trang liệt sĩ đến cầu Láng Chim). HĐ số 11/HĐKT-2021</t>
  </si>
  <si>
    <t>  2021_Sửa chữa hệ thống chiếu sáng QL53 (Đoạn từ Trường Mẫu giáo Sơn Ca đến cầu Láng Chim). HĐ số 14/HĐKT-2021</t>
  </si>
  <si>
    <t>  2021_Sửa chữa đường dây hạ thế HĐ Số: 14/HĐKT-2021</t>
  </si>
  <si>
    <t>  Thi công lắp đặt hệ thống điện trong văn phòng Uỷ Ban mặt trận tổ quốc Việt Nam Thị xã Duyên Hải</t>
  </si>
  <si>
    <t>  CT: Thay đèn cao áp bằng đèn led tuyến đường số 01 (từ vòng xoay ngã 5 đến cầu Bà Phó ) theo HĐ số 14/2021/HĐ-TC ký ngày 10/06/2021</t>
  </si>
  <si>
    <t>  2021_CT: Sữa chữa hệ thống chiếu sáng các tuyến đường trên địa bàn khóm 4, P1, TX Duyên Hải theo HĐ số 23/HĐKT-2021 ký ngày 08/07/2021</t>
  </si>
  <si>
    <t>  2021_TCCT lắp đặt đèn tín hiệu an toàn giao thông các tuyến đường trên địa bàn thị xã Duyên Hải theo HĐ số 20/2021/HĐ-TC ký ngày 07/10/2021</t>
  </si>
  <si>
    <t>  2021_Sửa chữa hệ thống chiếu sáng bị mất cắp dây dẫn điện các tuyến đường trên địa bàn thị xã Duyên Hải theo hợp đồng số 32/HĐKT-2021 ký ngày 24/11/2021</t>
  </si>
  <si>
    <t>  Dịch vụ vệ sinh, phát quang cây xanh tuyến cáp thông tin</t>
  </si>
  <si>
    <t>  2021_Thi công di dời trụ điện thuộc dự án Nâng cấp mở rộng đường Nguyễn Trãi theo hợp đồng số 39/2021/HĐ-TCXD ký ngày 17/09/2021</t>
  </si>
  <si>
    <t>  TCXDCT Nâng cấp, mở rộng Đường Trần Hưng Đạo (Đoạn từ 19-5 đến Quốc Lộ 53) theo hợp đồng số 03/2021-HĐGK ký ngày 02/12/2021</t>
  </si>
  <si>
    <t>  2021_Đóng, mở cầu dao các tuyến đường trên địa bàn thị xã Duyên Hải</t>
  </si>
  <si>
    <t>Trà Vinh, ngày 31 tháng 12 năm 2021</t>
  </si>
  <si>
    <t>BẢNG XÁC ĐỊNH THU NHẬP CHỊU THUẾ TNDN NĂM 2021</t>
  </si>
  <si>
    <t>BẢNG KÊ DOANH THU CÁC CÔNG TRÌNH NĂM 2022</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</si>
  <si>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</si>
  <si>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DBKK-077</t>
  </si>
  <si>
    <t>2021_Thi công gói thầu SPC-2081CM-2021-05XL.1: Xây lắp đường dây trung, 
hạ áp, trạm biến áp và trụ móng đỡ nhánh rẽ vào nhà huyện Đầm Dơi
, tỉnh Cà Mau theo Hợp đồng số 28/HĐ-XD ngày 01/10/2021</t>
  </si>
  <si>
    <t>DBKK-078</t>
  </si>
  <si>
    <t>Sửa chữa hệ thống chiếu sáng QL53 (đoạn từ vòng xoay ngã 5 đến Nghĩa trang liệt sĩ)
 theo hợp đồng số 08/HĐKT - 2022 ngày 12/04/2022</t>
  </si>
  <si>
    <t>Sửa chữa hệ thống chiếu sáng QL53 (đoạn từ cầu Láng Chim đến trường THCS Trường Long Hòa)
 theo hợp đồng số 07/HĐKT-2022 ngày 11/04/2022</t>
  </si>
  <si>
    <t>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</si>
  <si>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chiếu sáng tuyến đường 3/2 nối dài, Phường 1, TX Duyên Hải 
theo hợp đồng số 15/HĐKT-2022 ngày 26/05/2022</t>
  </si>
  <si>
    <t> Sửa chữa hệ thống chiếu sáng tuyến đường Ngô Quyền, P1, TX Duyên Hải theo 
hợp đồng số 14/HĐKT-2022 ngày 20/05/2022</t>
  </si>
  <si>
    <t>Sửa chữa hệ thống chiếu sáng các tuyến đường trong khuôn viên chợ TX Duyên Hải theo
 hợp đồng số 16/HĐKT-2022 ký ngày 01/06/2022</t>
  </si>
  <si>
    <t>  Sửa chữa hệ thống chiếu sáng các tuyến đườngtrên địa bàn Phường 1 
và xã Long Toàn, thị xãDuyên Hải theo hợp đồng số 18/HĐKT-2022ngày 07/6/2022</t>
  </si>
  <si>
    <t> Thi công xây dựng Trạm biến áp 3x25KVAthuộc dự án Quảng trường thị xã Duyên Hải 
theo hợp đồng số 24/2022/ HĐ-TCXD ngày07/6/2022</t>
  </si>
  <si>
    <t> Sửa chữa hệ thống chiếu sáng đường Lý TựTrọng, phường 1, thị xã Duyên Hải theo 
hợpđồng số 22/HĐKT-2022 ngày 19/7/2022</t>
  </si>
  <si>
    <t>Sửa chữa hệ thống chiếu sáng các tuyến đườngPhường 1 và Phường 2, thị xã Duyên Hải
 theohợp đồng số 25/HĐKT-2022 ngày 29/7/2022</t>
  </si>
  <si>
    <t> Sửa chữa hệ thống chiếu sáng các tuyến đườngPhường 1, thị xã Duyên Hải theo
 hợp đồng số32/HĐKT-2022 ngày 20/10/2022</t>
  </si>
  <si>
    <t> Sửa chữa vỉa hè đường30/4 (đoạn từ đường Lý Tự Trọng đến đườngnhựa khóm 3), phường 1, 
thị xã Duyên Hải theohợp đồng số 29/2022/ HĐ-TC ngày 30/9/2022</t>
  </si>
  <si>
    <t> Gói thầu số 05: Thi côngcông trình Sửa chữa cổng hoa các tuyến đườngtrên địa bàn phường 1,
 thị xã Duyên Hải theohợp đồng số 32/2022/HĐ-TC ký ngày07/10/2022</t>
  </si>
  <si>
    <t>  CT lắp đèn năng lượng mặt trời</t>
  </si>
  <si>
    <t>Doanh thu công trình: Nhổ trụ, dựng mới trụ, sửa chữa đèn cao áp, đường dây hạ áp...</t>
  </si>
  <si>
    <t> Doanh thu: cung cấp vật tư, xe cẩu, xe cuốc, nhân công của HĐ số: 44/2022/HĐTC/MĐ-PN 
ngày 18/11/2022 cho Công trình: SPC-KfW3.2-W-TV - Xây lắp đường dây và trạm biến áp phân phối tỉnh Trà Vinh</t>
  </si>
  <si>
    <t>Gói thầu số 12: Thi côngxây dựng công trình đường dây trung thế vàtrạm biến áp 3x25kVA 
theo hợp đồng số25/2022/HĐ-TCXD ngày 07/06/2022</t>
  </si>
  <si>
    <t>Dựng mới trụ BTLT, đà cản,</t>
  </si>
  <si>
    <t>Thay bóng đèn led</t>
  </si>
  <si>
    <t>Gói thầu số 34: Thi công di dời lưới điện (khu vực thành phố Trà Vinh và huyện Châu Thành)
 thuộc dự án Đường tỉnh 915B, giai đoạn 2, tỉnh Trà Vinh theo HĐ số 37/2022/HĐGK ký ngày 04/03/2022</t>
  </si>
  <si>
    <t xml:space="preserve"> 2021_TCCT lắp đặt đèn tín hiệu an toàn giao thông các tuyến đường trên địa bàn thị xã Duyên Hải theo HĐ số 20/2021/HĐ-TC ký ngày 07/10/2021</t>
  </si>
  <si>
    <t>2021_TCXDCT Gói thầu số 18: Thi công trạm biến áp thuộc dự án Xây dựng Khu liên hợp thể dục - thể thao tỉnh Bạc Liêu theo HĐ 46/2021/HĐ-XD</t>
  </si>
  <si>
    <t>2022_TCXDCT Gói thầu số 18: Thi công trạm biến áp thuộc dự án Xây dựng Khu liên hợp thể dục - 
thể thao tỉnh Bạc Liêu theo HĐ 21/2021/HĐ-TC kí ngày 01/02/2022</t>
  </si>
  <si>
    <t>TCXD CT sửa chữa và thay đèn led chiếu sáng cầu C16, huyện Duyên Hải theo hợp đồng số 01/2022/HĐTC ngày 24/01/2022</t>
  </si>
  <si>
    <t xml:space="preserve"> Sửa chữa hệ thống chiếu sáng khu vực UBND xã Dân Thành theo hợp đồng số 04/HĐKT-2022 ngày 18/01/2022</t>
  </si>
  <si>
    <t>Sửa chữa hệ thống chiếu sáng QL53 (Đoạn từ vòng xoay ngã 5 đến HL81) theo hợp đồng số 05/HĐKT-2022 kí ngày 18/01/2022</t>
  </si>
  <si>
    <t>Sữa chữa hệ thống chiếu sáng tuyến đường xã Hiệp Thạnh, thị xã Duyên Hải theo hợp đồng số 11/HĐKT-2022 kí ngày 11/05/2022</t>
  </si>
  <si>
    <t>ữa chữa hệ thống chiếu sáng tuyến đường ấp 15 và 16, xã Long Hữu, thị xã Duyên Hải theo hợp đồng số 12/HĐKT-2022 ký ngày 11/05/2022</t>
  </si>
  <si>
    <t xml:space="preserve">  Sửa chữa hệ thống chiếu sáng các tuyến đườngthuộc QL53 và QL53B, thị xã Duyên Hải theo19/HĐKT-2022 ngày 16/6/2022</t>
  </si>
  <si>
    <t>Sửa chữa hệ thống chiếu sáng các tuyến đườngthị xã Duyên Hải (Hạng mục: Phường 1 và cácxã Hiệp Thạnh, Long Hữu, Dân Thành) theohợp đồng số 26/HĐKT-2022 ngày 12/9/2022</t>
  </si>
  <si>
    <t xml:space="preserve"> Sửa chữa hệ thống chiếu sáng các tuyến đườngthị xã Duyên Hải (Hạng mục: QL53, HL81 vàcác tuyến đường xã Trường Long Hòa, phường1) theo hợp đồng số 27/HĐKT-2022 ngày30/9/2022</t>
  </si>
  <si>
    <t> Sửa chữa hệ thống chiếu sáng các tuyến đườngtrên địa bàn thị xã
 (Hạng mục: QL53 và các xãLong Hữu, xã Trường Long Hòa, xã Long Toàn)theo hợp đồng số 35/HĐKT-2022 ngày08/11/2022</t>
  </si>
  <si>
    <t>Di dời trụ điện phường 2, thị xã Duyên Hải theohợp đồng số 34/HĐKT-2022 ngày 04/11/2022</t>
  </si>
  <si>
    <t xml:space="preserve"> Thi công xây dựng Mái che, khu cát nước, khuvườn rau và lát vỉa hè sân đường Trường Mầmnon Tuổi Ngọc theo hợp đồng số 27/2022/HĐTCXD, ngày 12/8/2022</t>
  </si>
  <si>
    <t>Gói thầu số 16: Trạm biến áp thuộcdự án Xây dựng trạm xử lý nước thải tập trungkhu 
công nghiệp Trà Kha hợp đồng số 37/2021/HĐ-XD ngày 20/12/2021</t>
  </si>
  <si>
    <t>Gói thầu số 21: Thi côngxây dựng Đường dây và Trạm biến áp 800kVAdự án: Khối nhà làm việc Trường trực Tỉnh ủyvà Văn phòng Tỉnh ủy Trà Vinh theo hợp đồngsố 28/2022/HĐ-TC ngày 12/10/2022</t>
  </si>
  <si>
    <t xml:space="preserve"> 2022_Chi phí đóng, mở cầu dao các tuyến đường trênđịa bàn thị xã Duyên Hải</t>
  </si>
  <si>
    <t> Gói thầu 07: Di dời hệthống điện thuộc công trình Đường nhựa Bờkênh vận chuyển
 sản phẩm nông nghiệp ấp15,16, 17 theo hợp đồng số 30/2022/HĐ-TCXDngày 08/9/2022 và
 phụ lục hợp đồng số02/2022/PLHĐ-TCXD ký ngày 06/10/2022</t>
  </si>
  <si>
    <t xml:space="preserve"> Sửa chữa hệ thống chiếusáng công cộng HĐ số 42/2022/HĐTC ngày 23/12/2022</t>
  </si>
  <si>
    <t xml:space="preserve"> Gói thầu số 10: Chi phíđiện thuộc công trình Cụm công nghiệp Hiệp MỹTây, huyện Cầu Ngang</t>
  </si>
  <si>
    <t>Gói thầu Thi công đènchiếu sáng các tuyến đường còn lại của dự ánthuộc công trình Hệ thống chiếu sáng xã LongĐức theo hợp đồng số 40 /2022/HĐXD</t>
  </si>
  <si>
    <t>Thi công công tác lắp đặt trụ đèn 14m, đèn trang trí, đi dây nguồn... theo hợp đồng số : 30/2022/HĐTký ngày 18/10/2022</t>
  </si>
  <si>
    <t>BẢNG XÁC ĐỊNH THU NHẬP CHỊU THUẾ TNDN NĂM 2022</t>
  </si>
  <si>
    <t>BẢNG KÊ DOANH THU CÁC CÔNG TRÌNH NĂM 2023</t>
  </si>
  <si>
    <t>  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</si>
  <si>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điện khu hành chính xã Long Toàn, thị xã Duyên Hải theo hợp đồng số 02/HĐKT-2023 ký ngày 02/02/2023</t>
  </si>
  <si>
    <t>  Sửa chữa, di dời cổng đèn hoa huyện Trà Cú theo hợp đồng số 53/2023/HĐ-XD ngày 04/10/2023</t>
  </si>
  <si>
    <t>  Sửa chữa hệ thống chiếu sáng vòng xoay ngã 5, thị xã Duyên Hải theo hợp đồng số 05/HĐKT2023 ngày 13/02/2023</t>
  </si>
  <si>
    <t>  Dự án: Hạ tầng phục vụ nuôi trồng thủy sản các xã Dân Thành, Trường Long Hòa, thị xã Duyên Hải, tỉnh Trà Vinh. Hạng mục: Thi công xây dựng toàn bộ phần điện xã Trường Long Hòa HĐGK số 19/HĐGK/2023 ngày 22/03/2023</t>
  </si>
  <si>
    <t>  Sửa chữa hệ thống chiếu sáng các tuyến đường xã Long Toàn, Phường 1, thị xã Duyên Hải theo hợp đồng số 46/HĐKT-2023 ngày 13/11/2023</t>
  </si>
  <si>
    <t>  Gói thầu số 11: Muasắm, lắp đặt trang thiết bị thuộc dự án Xây dựngCông viên xã Trường Long Hòa theo hợp đồngsố 32/2023/HĐ-LĐTB ngày 11/7/2023</t>
  </si>
  <si>
    <t>  Sửa chữa hệ thống chiếu sáng các tuyến đường thuộc các xã Long Toàn, xã Long Hữu và Trường Long Hòa, thị xã Duyên Hải theo hợp đồng số 37/HĐKT-2023 ngày 24/8/2023</t>
  </si>
  <si>
    <t>  Sửa chữa hệ thống chiếu sáng các tuyến đườngthuộc xã Dân Thành và Trường Long Hòa, thị xãDuyên Hải theo hợp đồng số 30/HĐKT-2023ngày 20/7/2023</t>
  </si>
  <si>
    <t>  Gói thầu số 07: Di dời hệ thống điện công trình Nâng cấp, mở rộng đường nhựa từ Ủy ban xã đến Quốc lộ 53 theo hợp đồng số 14/2023/HĐ-TCXD ký ngày 23/3/2023</t>
  </si>
  <si>
    <t>  Gói thầu Thi công đènchiếu sáng các tuyến đường còn lại của dự ánthuộc công trình Hệ thống chiếu sáng xã LongĐức theo hợp đồng số 40 /2022/HĐXD ngày01/12/2022</t>
  </si>
  <si>
    <t>  Gói thầu số 08: Thi công công trình sửa chữa, gắn hệ thống chiếu sáng thông minh các tuyến đường trên thị xã Duyên Hải theo HĐ số 45/2022/HDXD ngày 27/12/2022</t>
  </si>
  <si>
    <t>  Thi công hạng mục: Kéo mới thêm 02 dây pha trên lưới điện trung thế 1 pha hiện hữu, xây dựng mới đường dây 22kV và TBA 3 pha - 2.000kVA Công ty Cổ phần Tân Tân Trà Vinh theo hợp đồng số 21- 03/2023/HĐKT/TTTV-ĐH ngày 21/3/2023</t>
  </si>
  <si>
    <t>  Sửa chữa hệ thống chiếu sáng các tuyến đường trên địa bàn thị xã Duyên Hải theo hợp đồng số 16/HĐKT-2023 ngày 05/5/2023</t>
  </si>
  <si>
    <t>  Sửa chữa hệ thống chiếu sáng tuyến đườngvào Trung tâm Y tếthị xã Duyên Hải theo hợp đồng số 07/HĐKT2023 ngày 16/3/2023</t>
  </si>
  <si>
    <t>  Sửa chữa hệ thống đường dây điện bị cắt trộm trên địa bàn thị xã Duyên Hải theo hợp đồng số 18/HĐKT-2023 ngày 22/5/2023</t>
  </si>
  <si>
    <t>  Sửa chữa hệ thống đèn chiếu sáng trên địa bàn huyện theo hợp đồng 42/HĐKT/2023 ký ngày 05/9/2023</t>
  </si>
  <si>
    <t>  Sửa chữa hệ thống đèn chiếu sáng trên địa bànhuyện theo hợp đồng 52/HĐKT/2023 ngày06/11/2023</t>
  </si>
  <si>
    <t>  Sửa chữa hệ thống chiếu sáng các tuyến đường trên đại bàn thị xã Duyên Hải (Hạng mục: Phường 2 và các xã Dân Thành, Long Hữu, Trường Long hòa, Hiệp Thạnh) theo hợp đồng số 52/HĐKT-2023 ngày 13/12/2023</t>
  </si>
  <si>
    <t>  Sửa chữa hệ thống chiếu sáng tuyến đường khóm 3 và đường 2/9, phường 1, thị xã Duyên Hải theo họp đồng số 47/HĐKT-2023 ngày 23/11/2023</t>
  </si>
  <si>
    <t>  Gói thầu 06: Thi công di dời điện công trình Sân vận động xã Hiệp Thạnh theo hợp đồng số 52/2023/HĐ-TCXD ngày 20/12/2023</t>
  </si>
  <si>
    <t>  Chi phí nhân công thi công lắp đặt thang máng cáp ,tủ điện, kéo dây, đấu nối Dự án: NHÀ XƯỞNG SẢN XUẤT BÌNH KHÍ ĐỐT HONG VINA theo biên bản nghiệm thu khối lượng hoàn thành ngày 27/12/2023 của hợp đồng số 0806.2023/HĐGK/DXMD ngày 08 tháng 06 năm 2023</t>
  </si>
  <si>
    <t>  Sửa chữa đèn tín hiệu giao thông vị trí nút giao QL53 với đường 2/9, phường 1 thị xã DuyênHải theo hợp đồng số 41/HĐKT-2023 ngày15/11/2023</t>
  </si>
  <si>
    <t>  Sửa chữa hệ thống đèn chiếu sáng trên địa bàn huyện theo hợp đồng số 58/HĐKT/2023 ký ngày15/12/2023</t>
  </si>
  <si>
    <t>  Sửa chữa hệ thống đèn chiếu sáng trên địa bànhuyện theo hợp đồng số 62/HĐKT/2023 ký ngày20/12/2023</t>
  </si>
  <si>
    <t>  Sửa chữa hệ thống chiếu sáng các tuyến đường thuộc phường 1, phường 2 và xã Long Toàn, thị xã Duyên Hải theo hợp đồng số 31/HĐKT-2023 ngày 27/7/2023</t>
  </si>
  <si>
    <t>  Gói thầu số 04: Thi công xây dựng công trình Đường nhựa Giồng Ổi đến sông Lương Sen theo hợp đồng số 03/2023/HĐTCXD ngày 08/02/2023</t>
  </si>
  <si>
    <t>  Sửa chữa hệ thống chiếu sáng các tuyến đường trên địa bàn thị xã Duyên Hải (Hạng mục: Phường 2 và các xã Dân Thành, Long Hữu, Long Toàn) theo hợp đồng số 29/HĐKT-2023 ngày 30/6/2023</t>
  </si>
  <si>
    <t>  Sửa chữa hệ thống chiếu sáng các tuyến đườngtrên đại bàn thị xã Duyên Hải (Hạng mục:Phường 1 và các xã Dân Thành, Trường LongHòa) theo hợp đồng số 22/HĐKT-2023 ngày20/6/2023</t>
  </si>
  <si>
    <t>  Thi công xây dựng công trình điện và cung cấp vật tư phụ Gói thầu SPC-KfW3.2-W-TV - Xây lắp đường dây và trạm biến áp phân phối tỉnh Trà Vinh - khu vực huyện Duyên Hải - Trà Vinh theo phụ lục 01-12.6/2022/HĐKT-PN-MĐ của hợp đồng 12.6/2022/HĐKT-PN-MĐ ký ngày 06/12/2022</t>
  </si>
  <si>
    <t>  Thi công hạng mục công trình: "đường dây 22kV" - Trạm biến áp 220kV Duyên Hải - Trà Vinh theo hợp đồng số 44/2022/HĐXL/SĐ-MĐ ngày 14/11/2022</t>
  </si>
  <si>
    <t>  Doanh thu xe cẩu dựng trụ</t>
  </si>
  <si>
    <t>  Doanh thu công trình: Thi công công tác lắp đặt trụ đèn 14m, đèn trang trí, đi dây nguồn...theo hợp đồng số: 30/2022/HĐT ký ngày 18/10/2022</t>
  </si>
  <si>
    <t>BẢNG XÁC ĐỊNH THU NHẬP CHỊU THUẾ TNDN NĂM 2023</t>
  </si>
  <si>
    <t>Doanh thu bán gạch+ đèn năng lượng mặt trời</t>
  </si>
  <si>
    <t>GIẢM 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</si>
</sst>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 _₫_-;\-* #,##0.00\ _₫_-;_-* &quot;-&quot;??\ _₫_-;_-@_-"/>
    <numFmt numFmtId="165" formatCode="_-* #,##0\ _₫_-;\-* #,##0\ _₫_-;_-* &quot;-&quot;??\ _₫_-;_-@_-"/>
    <numFmt numFmtId="166" formatCode="_(* #,##0_);_(* \(#,##0\);_(* &quot;-&quot;??_);_(@_)"/>
    <numFmt numFmtId="167" formatCode="0.0%"/>
    <numFmt numFmtId="168" formatCode="#,##0;[Red]#,##0"/>
  </numFmts>
  <fonts count="19"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sz val="11"/>
      <color theme="1"/>
      <name val="Times New Roman"/>
      <family val="1"/>
    </font>
    <font>
      <sz val="13"/>
      <color theme="0"/>
      <name val="Times New Roman"/>
      <family val="1"/>
    </font>
    <font>
      <sz val="13"/>
      <color theme="1"/>
      <name val="Times New Roman"/>
      <family val="1"/>
    </font>
    <font>
      <b/>
      <sz val="13"/>
      <color theme="1"/>
      <name val="Times New Roman"/>
      <family val="1"/>
    </font>
    <font>
      <sz val="13"/>
      <color theme="2"/>
      <name val="Times New Roman"/>
      <family val="1"/>
    </font>
    <font>
      <b/>
      <sz val="13"/>
      <color theme="2"/>
      <name val="Times New Roman"/>
      <family val="1"/>
    </font>
    <font>
      <sz val="10"/>
      <color theme="1"/>
      <name val="Calibri"/>
      <family val="2"/>
      <scheme val="minor"/>
    </font>
    <font>
      <sz val="13"/>
      <color rgb="FFFF0000"/>
      <name val="Times New Roman"/>
      <family val="1"/>
    </font>
  </fonts>
  <fills count="6">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9" fontId="3" fillId="0" borderId="1" xfId="2" applyNumberFormat="1" applyFont="1" applyBorder="1"/>
    <xf numFmtId="0" fontId="2" fillId="3" borderId="1" xfId="0" applyFont="1" applyFill="1" applyBorder="1"/>
    <xf numFmtId="166" fontId="3" fillId="0" borderId="0" xfId="0" applyNumberFormat="1" applyFont="1"/>
    <xf numFmtId="0" fontId="4" fillId="0" borderId="0" xfId="0" applyFont="1" applyFill="1"/>
    <xf numFmtId="0" fontId="6" fillId="0" borderId="0" xfId="0" applyFont="1" applyFill="1"/>
    <xf numFmtId="0" fontId="5" fillId="0" borderId="0" xfId="0" applyFont="1" applyFill="1"/>
    <xf numFmtId="166" fontId="3" fillId="0" borderId="0" xfId="1" applyNumberFormat="1" applyFont="1" applyAlignment="1"/>
    <xf numFmtId="0" fontId="7" fillId="0" borderId="0" xfId="0" applyFont="1" applyFill="1"/>
    <xf numFmtId="0" fontId="7" fillId="0" borderId="0" xfId="0" applyFont="1" applyFill="1" applyAlignment="1">
      <alignment horizontal="left"/>
    </xf>
    <xf numFmtId="0" fontId="2" fillId="0" borderId="0" xfId="0" applyFont="1" applyAlignment="1">
      <alignment horizontal="center"/>
    </xf>
    <xf numFmtId="0" fontId="7" fillId="0" borderId="1" xfId="0" applyFont="1" applyFill="1" applyBorder="1" applyAlignment="1">
      <alignment horizontal="left" vertical="center"/>
    </xf>
    <xf numFmtId="167" fontId="2" fillId="0" borderId="1" xfId="2" applyNumberFormat="1" applyFont="1" applyBorder="1"/>
    <xf numFmtId="9" fontId="2" fillId="0" borderId="1" xfId="2" applyNumberFormat="1" applyFont="1" applyBorder="1" applyAlignment="1">
      <alignment horizontal="center"/>
    </xf>
    <xf numFmtId="0" fontId="2" fillId="0" borderId="1" xfId="0" applyFont="1" applyBorder="1" applyAlignment="1">
      <alignment horizontal="center" wrapText="1"/>
    </xf>
    <xf numFmtId="0" fontId="2" fillId="4" borderId="1" xfId="0" applyFont="1" applyFill="1" applyBorder="1"/>
    <xf numFmtId="165" fontId="3" fillId="0" borderId="0" xfId="1" applyNumberFormat="1" applyFont="1"/>
    <xf numFmtId="166" fontId="3" fillId="0" borderId="0" xfId="1" applyNumberFormat="1" applyFont="1" applyFill="1"/>
    <xf numFmtId="166" fontId="3" fillId="0" borderId="0" xfId="0" applyNumberFormat="1" applyFont="1" applyFill="1"/>
    <xf numFmtId="166" fontId="3" fillId="0" borderId="0" xfId="1" applyNumberFormat="1" applyFont="1" applyFill="1" applyAlignment="1">
      <alignment horizontal="right"/>
    </xf>
    <xf numFmtId="166" fontId="2" fillId="0" borderId="0" xfId="1" applyNumberFormat="1" applyFont="1" applyAlignment="1">
      <alignment horizontal="right"/>
    </xf>
    <xf numFmtId="10" fontId="2" fillId="0" borderId="0" xfId="2" applyNumberFormat="1" applyFont="1"/>
    <xf numFmtId="0" fontId="2" fillId="0" borderId="0" xfId="0" applyFont="1" applyAlignment="1">
      <alignment horizontal="center"/>
    </xf>
    <xf numFmtId="0" fontId="2" fillId="0" borderId="0" xfId="0" applyFont="1" applyAlignment="1">
      <alignment horizontal="center" wrapText="1"/>
    </xf>
    <xf numFmtId="166" fontId="2" fillId="0" borderId="1" xfId="1" applyNumberFormat="1" applyFont="1" applyBorder="1" applyAlignment="1">
      <alignment horizontal="center" wrapText="1"/>
    </xf>
    <xf numFmtId="0" fontId="7" fillId="4" borderId="1" xfId="0" applyFont="1" applyFill="1" applyBorder="1" applyAlignment="1">
      <alignment horizontal="left" vertical="center"/>
    </xf>
    <xf numFmtId="0" fontId="7" fillId="0"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1" xfId="0" applyFont="1" applyBorder="1"/>
    <xf numFmtId="0" fontId="7" fillId="5" borderId="1" xfId="0" applyFont="1" applyFill="1" applyBorder="1" applyAlignment="1">
      <alignment horizontal="center" vertical="center"/>
    </xf>
    <xf numFmtId="0" fontId="8" fillId="0" borderId="0" xfId="0" applyFont="1"/>
    <xf numFmtId="0" fontId="8" fillId="0" borderId="0" xfId="0" applyFont="1" applyAlignment="1">
      <alignment wrapText="1"/>
    </xf>
    <xf numFmtId="168" fontId="3" fillId="0" borderId="0" xfId="0" applyNumberFormat="1" applyFont="1"/>
    <xf numFmtId="0" fontId="7" fillId="4" borderId="1" xfId="0" applyFont="1" applyFill="1" applyBorder="1" applyAlignment="1">
      <alignment horizontal="left" vertical="center"/>
    </xf>
    <xf numFmtId="0" fontId="5" fillId="5" borderId="1" xfId="0" applyFont="1" applyFill="1" applyBorder="1" applyAlignment="1">
      <alignment horizontal="center" vertical="center"/>
    </xf>
    <xf numFmtId="168" fontId="7" fillId="0" borderId="1" xfId="1" applyNumberFormat="1" applyFont="1" applyFill="1" applyBorder="1" applyAlignment="1">
      <alignment horizontal="center" vertical="center"/>
    </xf>
    <xf numFmtId="168" fontId="7" fillId="0" borderId="1" xfId="0" applyNumberFormat="1" applyFont="1" applyFill="1" applyBorder="1" applyAlignment="1">
      <alignment horizontal="center" vertical="center"/>
    </xf>
    <xf numFmtId="168" fontId="7" fillId="0" borderId="1" xfId="1" applyNumberFormat="1" applyFont="1" applyFill="1" applyBorder="1" applyAlignment="1">
      <alignment horizontal="center" vertical="center" wrapText="1"/>
    </xf>
    <xf numFmtId="168" fontId="10" fillId="4" borderId="2" xfId="1" applyNumberFormat="1" applyFont="1" applyFill="1" applyBorder="1" applyAlignment="1">
      <alignment horizontal="center" vertical="center"/>
    </xf>
    <xf numFmtId="168" fontId="5" fillId="5" borderId="1" xfId="0" applyNumberFormat="1" applyFont="1" applyFill="1" applyBorder="1" applyAlignment="1">
      <alignment horizontal="center" vertical="center"/>
    </xf>
    <xf numFmtId="168" fontId="9" fillId="5" borderId="1" xfId="1" applyNumberFormat="1" applyFont="1" applyFill="1" applyBorder="1" applyAlignment="1">
      <alignment horizontal="center" vertical="center"/>
    </xf>
    <xf numFmtId="168" fontId="7" fillId="4" borderId="1" xfId="1" applyNumberFormat="1" applyFont="1" applyFill="1" applyBorder="1" applyAlignment="1">
      <alignment horizontal="center" vertical="center"/>
    </xf>
    <xf numFmtId="168" fontId="3" fillId="0" borderId="0" xfId="1" applyNumberFormat="1" applyFont="1" applyAlignment="1"/>
    <xf numFmtId="168" fontId="5" fillId="0" borderId="0" xfId="1" applyNumberFormat="1" applyFont="1" applyFill="1"/>
    <xf numFmtId="168" fontId="2" fillId="0" borderId="0" xfId="1" applyNumberFormat="1" applyFont="1" applyAlignment="1"/>
    <xf numFmtId="168" fontId="5" fillId="0" borderId="0" xfId="1" applyNumberFormat="1" applyFont="1" applyFill="1" applyAlignment="1"/>
    <xf numFmtId="168" fontId="5" fillId="0" borderId="0" xfId="0" applyNumberFormat="1" applyFont="1" applyFill="1"/>
    <xf numFmtId="168" fontId="6" fillId="0" borderId="0" xfId="1" applyNumberFormat="1" applyFont="1" applyFill="1" applyAlignment="1"/>
    <xf numFmtId="168" fontId="6" fillId="0" borderId="0" xfId="0" applyNumberFormat="1" applyFont="1" applyFill="1"/>
    <xf numFmtId="168" fontId="6" fillId="0" borderId="0" xfId="1" applyNumberFormat="1" applyFont="1" applyFill="1"/>
    <xf numFmtId="168" fontId="5" fillId="5" borderId="1" xfId="0" applyNumberFormat="1" applyFont="1" applyFill="1" applyBorder="1" applyAlignment="1">
      <alignment horizontal="center" vertical="center" wrapText="1"/>
    </xf>
    <xf numFmtId="168" fontId="5" fillId="5" borderId="1" xfId="0" applyNumberFormat="1" applyFont="1" applyFill="1" applyBorder="1" applyAlignment="1">
      <alignment vertical="center"/>
    </xf>
    <xf numFmtId="3" fontId="8" fillId="0" borderId="1" xfId="0" applyNumberFormat="1" applyFont="1" applyBorder="1" applyAlignment="1"/>
    <xf numFmtId="3" fontId="8" fillId="0" borderId="0" xfId="0" applyNumberFormat="1" applyFont="1" applyAlignment="1"/>
    <xf numFmtId="3" fontId="11" fillId="0" borderId="4" xfId="0" applyNumberFormat="1" applyFont="1" applyBorder="1" applyAlignment="1">
      <alignment vertical="center" wrapText="1"/>
    </xf>
    <xf numFmtId="3" fontId="11" fillId="0" borderId="5" xfId="0" applyNumberFormat="1" applyFont="1" applyBorder="1" applyAlignment="1">
      <alignment vertical="center" wrapText="1"/>
    </xf>
    <xf numFmtId="0" fontId="8" fillId="0" borderId="1" xfId="0" applyFont="1" applyBorder="1" applyAlignment="1">
      <alignment wrapText="1"/>
    </xf>
    <xf numFmtId="0" fontId="11" fillId="0" borderId="1" xfId="0" applyFont="1" applyBorder="1" applyAlignment="1">
      <alignment horizontal="left" vertical="center" wrapText="1"/>
    </xf>
    <xf numFmtId="166" fontId="12" fillId="0" borderId="0" xfId="1" applyNumberFormat="1" applyFont="1"/>
    <xf numFmtId="165" fontId="12" fillId="0" borderId="0" xfId="1" applyNumberFormat="1" applyFont="1"/>
    <xf numFmtId="166" fontId="12" fillId="0" borderId="0" xfId="0" applyNumberFormat="1" applyFont="1"/>
    <xf numFmtId="0" fontId="2" fillId="0" borderId="0" xfId="0" applyFont="1" applyAlignment="1">
      <alignment horizontal="center"/>
    </xf>
    <xf numFmtId="166" fontId="13" fillId="0" borderId="0" xfId="1" applyNumberFormat="1" applyFont="1"/>
    <xf numFmtId="165" fontId="13" fillId="0" borderId="0" xfId="1" applyNumberFormat="1" applyFont="1"/>
    <xf numFmtId="0" fontId="13" fillId="0" borderId="0" xfId="0" applyFont="1"/>
    <xf numFmtId="0" fontId="14" fillId="0" borderId="0" xfId="0" applyFont="1"/>
    <xf numFmtId="166" fontId="15" fillId="0" borderId="0" xfId="1" applyNumberFormat="1" applyFont="1"/>
    <xf numFmtId="166" fontId="15" fillId="0" borderId="0" xfId="1" applyNumberFormat="1" applyFont="1" applyFill="1"/>
    <xf numFmtId="166" fontId="15" fillId="0" borderId="0" xfId="0" applyNumberFormat="1" applyFont="1" applyFill="1"/>
    <xf numFmtId="166" fontId="15" fillId="0" borderId="0" xfId="1" applyNumberFormat="1" applyFont="1" applyFill="1" applyAlignment="1">
      <alignment horizontal="right"/>
    </xf>
    <xf numFmtId="0" fontId="16" fillId="0" borderId="0" xfId="0" applyFont="1"/>
    <xf numFmtId="0" fontId="15" fillId="0" borderId="0" xfId="0" applyFont="1"/>
    <xf numFmtId="3" fontId="8" fillId="0" borderId="0" xfId="0" applyNumberFormat="1" applyFont="1"/>
    <xf numFmtId="3" fontId="11" fillId="0" borderId="4" xfId="0" applyNumberFormat="1" applyFont="1" applyBorder="1" applyAlignment="1">
      <alignment horizontal="right" vertical="center" wrapText="1"/>
    </xf>
    <xf numFmtId="0" fontId="17" fillId="0" borderId="4" xfId="0" applyFont="1" applyBorder="1" applyAlignment="1">
      <alignment horizontal="left" wrapText="1"/>
    </xf>
    <xf numFmtId="3" fontId="17" fillId="0" borderId="4" xfId="0" applyNumberFormat="1" applyFont="1" applyBorder="1" applyAlignment="1">
      <alignment horizontal="right" wrapText="1"/>
    </xf>
    <xf numFmtId="166" fontId="12" fillId="0" borderId="0" xfId="1" applyNumberFormat="1" applyFont="1" applyFill="1"/>
    <xf numFmtId="166" fontId="12" fillId="0" borderId="0" xfId="0" applyNumberFormat="1" applyFont="1" applyFill="1"/>
    <xf numFmtId="166" fontId="12" fillId="0" borderId="0" xfId="1" applyNumberFormat="1" applyFont="1" applyFill="1" applyAlignment="1">
      <alignment horizontal="right"/>
    </xf>
    <xf numFmtId="166" fontId="13" fillId="0" borderId="0" xfId="0" applyNumberFormat="1" applyFont="1"/>
    <xf numFmtId="0" fontId="2" fillId="0" borderId="0" xfId="0" applyFont="1" applyAlignment="1">
      <alignment horizontal="center"/>
    </xf>
    <xf numFmtId="166" fontId="3" fillId="0" borderId="0" xfId="2" applyNumberFormat="1" applyFont="1"/>
    <xf numFmtId="168" fontId="10" fillId="4" borderId="1" xfId="1" applyNumberFormat="1" applyFont="1" applyFill="1" applyBorder="1" applyAlignment="1">
      <alignment horizontal="center" vertical="center"/>
    </xf>
    <xf numFmtId="3" fontId="8" fillId="0" borderId="1" xfId="0" applyNumberFormat="1" applyFont="1" applyBorder="1"/>
    <xf numFmtId="3" fontId="11" fillId="0" borderId="1" xfId="0" applyNumberFormat="1" applyFont="1" applyBorder="1" applyAlignment="1">
      <alignment horizontal="right" vertical="center" wrapText="1"/>
    </xf>
    <xf numFmtId="3" fontId="8" fillId="0" borderId="1" xfId="0" applyNumberFormat="1" applyFont="1" applyBorder="1" applyAlignment="1">
      <alignment horizontal="center" vertical="center"/>
    </xf>
    <xf numFmtId="166" fontId="13" fillId="0" borderId="0" xfId="1" applyNumberFormat="1" applyFont="1" applyFill="1"/>
    <xf numFmtId="166" fontId="13" fillId="0" borderId="0" xfId="0" applyNumberFormat="1" applyFont="1" applyFill="1"/>
    <xf numFmtId="166" fontId="13" fillId="0" borderId="0" xfId="1" applyNumberFormat="1" applyFont="1" applyFill="1" applyAlignment="1">
      <alignment horizontal="right"/>
    </xf>
    <xf numFmtId="9" fontId="13" fillId="0" borderId="0" xfId="2" applyFont="1"/>
    <xf numFmtId="166" fontId="13" fillId="0" borderId="0" xfId="2" applyNumberFormat="1" applyFont="1"/>
    <xf numFmtId="10" fontId="14" fillId="0" borderId="0" xfId="2" applyNumberFormat="1" applyFont="1"/>
    <xf numFmtId="166" fontId="14" fillId="0" borderId="0" xfId="1" applyNumberFormat="1" applyFont="1" applyAlignment="1">
      <alignment horizontal="right"/>
    </xf>
    <xf numFmtId="166" fontId="14" fillId="0" borderId="0" xfId="1" applyNumberFormat="1" applyFont="1"/>
    <xf numFmtId="0" fontId="2" fillId="0" borderId="0" xfId="0" applyFont="1" applyAlignment="1">
      <alignment horizontal="center"/>
    </xf>
    <xf numFmtId="0" fontId="8" fillId="0" borderId="0" xfId="0" applyFont="1" applyAlignment="1">
      <alignment horizontal="right"/>
    </xf>
    <xf numFmtId="0" fontId="5" fillId="5" borderId="1" xfId="0" applyFont="1" applyFill="1" applyBorder="1" applyAlignment="1">
      <alignment horizontal="right" vertical="center"/>
    </xf>
    <xf numFmtId="0" fontId="7" fillId="4" borderId="0" xfId="0" applyFont="1" applyFill="1" applyAlignment="1">
      <alignment horizontal="left"/>
    </xf>
    <xf numFmtId="3" fontId="17" fillId="5" borderId="4" xfId="0" applyNumberFormat="1" applyFont="1" applyFill="1" applyBorder="1" applyAlignment="1">
      <alignment horizontal="right" wrapText="1"/>
    </xf>
    <xf numFmtId="168" fontId="5" fillId="5" borderId="1" xfId="0" applyNumberFormat="1" applyFont="1" applyFill="1" applyBorder="1" applyAlignment="1">
      <alignment horizontal="left" vertical="center" wrapText="1"/>
    </xf>
    <xf numFmtId="166" fontId="18" fillId="0" borderId="0" xfId="1" applyNumberFormat="1" applyFont="1" applyFill="1"/>
    <xf numFmtId="0" fontId="17" fillId="4" borderId="4" xfId="0" applyFont="1" applyFill="1" applyBorder="1" applyAlignment="1">
      <alignment horizontal="left" wrapText="1"/>
    </xf>
    <xf numFmtId="3" fontId="17" fillId="4" borderId="4" xfId="0" applyNumberFormat="1" applyFont="1" applyFill="1" applyBorder="1" applyAlignment="1">
      <alignment horizontal="right" wrapText="1"/>
    </xf>
    <xf numFmtId="168" fontId="5" fillId="4" borderId="1" xfId="0" applyNumberFormat="1" applyFont="1" applyFill="1" applyBorder="1" applyAlignment="1">
      <alignment horizontal="center" vertical="center"/>
    </xf>
    <xf numFmtId="164" fontId="3" fillId="0" borderId="0" xfId="1" applyFont="1"/>
    <xf numFmtId="164" fontId="4" fillId="0" borderId="0" xfId="1" applyFont="1" applyFill="1"/>
    <xf numFmtId="164" fontId="7" fillId="0" borderId="0" xfId="1" applyFont="1" applyFill="1"/>
    <xf numFmtId="164" fontId="7" fillId="0" borderId="0" xfId="1" applyFont="1" applyFill="1" applyAlignment="1">
      <alignment horizontal="left"/>
    </xf>
    <xf numFmtId="164" fontId="7" fillId="4" borderId="0" xfId="1" applyFont="1" applyFill="1" applyAlignment="1">
      <alignment horizontal="left"/>
    </xf>
    <xf numFmtId="164" fontId="5" fillId="0" borderId="0" xfId="1" applyFont="1" applyFill="1"/>
    <xf numFmtId="164" fontId="6" fillId="0" borderId="0" xfId="1" applyFont="1" applyFill="1"/>
    <xf numFmtId="3" fontId="11" fillId="4" borderId="4" xfId="0" applyNumberFormat="1" applyFont="1" applyFill="1" applyBorder="1" applyAlignment="1">
      <alignment horizontal="right" vertical="center" wrapText="1"/>
    </xf>
    <xf numFmtId="0" fontId="8" fillId="4" borderId="0" xfId="0" applyFont="1" applyFill="1" applyAlignment="1">
      <alignment wrapText="1"/>
    </xf>
    <xf numFmtId="0" fontId="17" fillId="5" borderId="4" xfId="0" applyFont="1" applyFill="1" applyBorder="1" applyAlignment="1">
      <alignment horizontal="left" wrapText="1"/>
    </xf>
    <xf numFmtId="0" fontId="7" fillId="5" borderId="0" xfId="0" applyFont="1" applyFill="1" applyAlignment="1">
      <alignment horizontal="left"/>
    </xf>
    <xf numFmtId="166" fontId="2" fillId="0" borderId="0" xfId="1" applyNumberFormat="1" applyFont="1" applyAlignment="1">
      <alignment horizontal="center"/>
    </xf>
    <xf numFmtId="0" fontId="4" fillId="0" borderId="0" xfId="0" applyFont="1" applyAlignment="1">
      <alignment horizontal="center"/>
    </xf>
    <xf numFmtId="166" fontId="3" fillId="0" borderId="0" xfId="1" applyNumberFormat="1" applyFont="1" applyAlignment="1">
      <alignment horizontal="center"/>
    </xf>
    <xf numFmtId="0" fontId="4" fillId="0" borderId="3" xfId="0" applyFont="1" applyFill="1" applyBorder="1" applyAlignment="1">
      <alignment horizontal="center" vertical="center"/>
    </xf>
    <xf numFmtId="166" fontId="2" fillId="0" borderId="0" xfId="1" applyNumberFormat="1" applyFont="1" applyAlignment="1">
      <alignment horizontal="center"/>
    </xf>
    <xf numFmtId="166" fontId="3" fillId="0" borderId="0" xfId="1" applyNumberFormat="1" applyFont="1" applyAlignment="1">
      <alignment horizontal="right"/>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1"/>
  <sheetViews>
    <sheetView topLeftCell="A25" workbookViewId="0">
      <selection activeCell="E31" sqref="E31"/>
    </sheetView>
  </sheetViews>
  <sheetFormatPr defaultColWidth="8" defaultRowHeight="15" x14ac:dyDescent="0.25"/>
  <cols>
    <col min="1" max="1" width="8" style="24"/>
    <col min="2" max="2" width="65.42578125" style="24" customWidth="1"/>
    <col min="3" max="3" width="20.42578125" style="66" customWidth="1"/>
    <col min="4" max="4" width="17.7109375" style="67" customWidth="1"/>
    <col min="5" max="5" width="24.28515625" style="68" customWidth="1"/>
    <col min="6" max="16384" width="8" style="24"/>
  </cols>
  <sheetData>
    <row r="1" spans="1:5" s="23" customFormat="1" ht="20.25" x14ac:dyDescent="0.3">
      <c r="A1" s="137" t="s">
        <v>54</v>
      </c>
      <c r="B1" s="137"/>
      <c r="C1" s="137"/>
      <c r="D1" s="137"/>
      <c r="E1" s="137"/>
    </row>
    <row r="2" spans="1:5" s="27" customFormat="1" ht="39" customHeight="1" x14ac:dyDescent="0.25">
      <c r="A2" s="45" t="s">
        <v>10</v>
      </c>
      <c r="B2" s="30" t="s">
        <v>11</v>
      </c>
      <c r="C2" s="54" t="s">
        <v>12</v>
      </c>
      <c r="D2" s="55" t="s">
        <v>14</v>
      </c>
      <c r="E2" s="56" t="s">
        <v>16</v>
      </c>
    </row>
    <row r="3" spans="1:5" s="28" customFormat="1" ht="27.75" customHeight="1" x14ac:dyDescent="0.25">
      <c r="A3" s="46"/>
      <c r="B3" s="44" t="s">
        <v>26</v>
      </c>
      <c r="C3" s="57">
        <f>SUM(C4:C15)</f>
        <v>3818033972</v>
      </c>
      <c r="D3" s="57">
        <f t="shared" ref="D3" si="0">SUM(D4:D15)</f>
        <v>3010321577</v>
      </c>
      <c r="E3" s="57">
        <f>SUM(E4:E15)</f>
        <v>807712395</v>
      </c>
    </row>
    <row r="4" spans="1:5" s="28" customFormat="1" ht="46.5" customHeight="1" x14ac:dyDescent="0.25">
      <c r="A4" s="53"/>
      <c r="B4" s="50" t="s">
        <v>27</v>
      </c>
      <c r="C4" s="70">
        <v>863636364</v>
      </c>
      <c r="D4" s="70">
        <v>863636364</v>
      </c>
      <c r="E4" s="58">
        <f>C4-D4</f>
        <v>0</v>
      </c>
    </row>
    <row r="5" spans="1:5" s="28" customFormat="1" ht="27.75" customHeight="1" x14ac:dyDescent="0.25">
      <c r="A5" s="53"/>
      <c r="B5" s="49" t="s">
        <v>28</v>
      </c>
      <c r="C5" s="71">
        <v>761386060</v>
      </c>
      <c r="D5" s="70">
        <v>721066187</v>
      </c>
      <c r="E5" s="58">
        <f t="shared" ref="E5:E29" si="1">C5-D5</f>
        <v>40319873</v>
      </c>
    </row>
    <row r="6" spans="1:5" s="28" customFormat="1" ht="27.75" customHeight="1" x14ac:dyDescent="0.25">
      <c r="A6" s="53"/>
      <c r="B6" s="58" t="s">
        <v>29</v>
      </c>
      <c r="C6" s="70">
        <v>7000000</v>
      </c>
      <c r="D6" s="70">
        <v>4200000</v>
      </c>
      <c r="E6" s="58">
        <f t="shared" si="1"/>
        <v>2800000</v>
      </c>
    </row>
    <row r="7" spans="1:5" s="28" customFormat="1" ht="27.75" customHeight="1" x14ac:dyDescent="0.25">
      <c r="A7" s="53"/>
      <c r="B7" s="58" t="s">
        <v>30</v>
      </c>
      <c r="C7" s="70">
        <v>10560000</v>
      </c>
      <c r="D7" s="72">
        <v>8436000</v>
      </c>
      <c r="E7" s="58">
        <f t="shared" si="1"/>
        <v>2124000</v>
      </c>
    </row>
    <row r="8" spans="1:5" s="28" customFormat="1" ht="27.75" customHeight="1" x14ac:dyDescent="0.25">
      <c r="A8" s="53"/>
      <c r="B8" s="69" t="s">
        <v>31</v>
      </c>
      <c r="C8" s="70">
        <v>354545455</v>
      </c>
      <c r="D8" s="73">
        <v>296203402</v>
      </c>
      <c r="E8" s="58">
        <f t="shared" si="1"/>
        <v>58342053</v>
      </c>
    </row>
    <row r="9" spans="1:5" s="28" customFormat="1" ht="27.75" customHeight="1" x14ac:dyDescent="0.25">
      <c r="A9" s="53"/>
      <c r="B9" s="58" t="s">
        <v>32</v>
      </c>
      <c r="C9" s="70">
        <v>14500000</v>
      </c>
      <c r="D9" s="72">
        <v>13404301</v>
      </c>
      <c r="E9" s="58">
        <f t="shared" si="1"/>
        <v>1095699</v>
      </c>
    </row>
    <row r="10" spans="1:5" s="28" customFormat="1" ht="27.75" customHeight="1" x14ac:dyDescent="0.25">
      <c r="A10" s="53"/>
      <c r="B10" s="58" t="s">
        <v>29</v>
      </c>
      <c r="C10" s="70">
        <v>3000000</v>
      </c>
      <c r="D10" s="73">
        <v>1700000</v>
      </c>
      <c r="E10" s="58">
        <f t="shared" si="1"/>
        <v>1300000</v>
      </c>
    </row>
    <row r="11" spans="1:5" s="28" customFormat="1" ht="27.75" customHeight="1" x14ac:dyDescent="0.25">
      <c r="A11" s="53"/>
      <c r="B11" s="58" t="s">
        <v>33</v>
      </c>
      <c r="C11" s="70">
        <v>754920091</v>
      </c>
      <c r="D11" s="73">
        <v>403280061</v>
      </c>
      <c r="E11" s="58">
        <f t="shared" si="1"/>
        <v>351640030</v>
      </c>
    </row>
    <row r="12" spans="1:5" s="28" customFormat="1" ht="27.75" customHeight="1" x14ac:dyDescent="0.25">
      <c r="A12" s="53"/>
      <c r="B12" s="58" t="s">
        <v>34</v>
      </c>
      <c r="C12" s="70">
        <v>345454545</v>
      </c>
      <c r="D12" s="72">
        <v>305559162</v>
      </c>
      <c r="E12" s="58">
        <f t="shared" si="1"/>
        <v>39895383</v>
      </c>
    </row>
    <row r="13" spans="1:5" s="28" customFormat="1" ht="45" customHeight="1" x14ac:dyDescent="0.25">
      <c r="A13" s="53"/>
      <c r="B13" s="69" t="s">
        <v>35</v>
      </c>
      <c r="C13" s="70">
        <v>521723275</v>
      </c>
      <c r="D13" s="74">
        <v>248869136</v>
      </c>
      <c r="E13" s="58">
        <f t="shared" si="1"/>
        <v>272854139</v>
      </c>
    </row>
    <row r="14" spans="1:5" s="28" customFormat="1" ht="51" customHeight="1" x14ac:dyDescent="0.25">
      <c r="A14" s="53"/>
      <c r="B14" s="69" t="s">
        <v>36</v>
      </c>
      <c r="C14" s="70">
        <v>109090909</v>
      </c>
      <c r="D14" s="71">
        <v>94940680</v>
      </c>
      <c r="E14" s="58">
        <f t="shared" si="1"/>
        <v>14150229</v>
      </c>
    </row>
    <row r="15" spans="1:5" s="28" customFormat="1" ht="57.75" customHeight="1" x14ac:dyDescent="0.25">
      <c r="A15" s="53"/>
      <c r="B15" s="69" t="s">
        <v>37</v>
      </c>
      <c r="C15" s="70">
        <v>72217273</v>
      </c>
      <c r="D15" s="72">
        <v>49026284</v>
      </c>
      <c r="E15" s="58">
        <f t="shared" si="1"/>
        <v>23190989</v>
      </c>
    </row>
    <row r="16" spans="1:5" s="28" customFormat="1" ht="27.75" customHeight="1" x14ac:dyDescent="0.25">
      <c r="A16" s="46"/>
      <c r="B16" s="44" t="s">
        <v>22</v>
      </c>
      <c r="C16" s="57">
        <f>SUM(C17:C30)</f>
        <v>1949071875</v>
      </c>
      <c r="D16" s="57">
        <f>SUM(D17:D30)</f>
        <v>1787021877</v>
      </c>
      <c r="E16" s="57">
        <f>SUM(E17:E30)</f>
        <v>162049998</v>
      </c>
    </row>
    <row r="17" spans="1:5" s="28" customFormat="1" ht="27.75" customHeight="1" x14ac:dyDescent="0.25">
      <c r="A17" s="48"/>
      <c r="B17" s="75" t="s">
        <v>38</v>
      </c>
      <c r="C17" s="59">
        <v>2700000</v>
      </c>
      <c r="D17" s="59">
        <v>1620000</v>
      </c>
      <c r="E17" s="58">
        <f>C17-D17</f>
        <v>1080000</v>
      </c>
    </row>
    <row r="18" spans="1:5" s="28" customFormat="1" ht="27.75" customHeight="1" x14ac:dyDescent="0.25">
      <c r="A18" s="48"/>
      <c r="B18" s="75" t="s">
        <v>39</v>
      </c>
      <c r="C18" s="59">
        <v>89260821</v>
      </c>
      <c r="D18" s="59">
        <v>81276907</v>
      </c>
      <c r="E18" s="58">
        <f t="shared" si="1"/>
        <v>7983914</v>
      </c>
    </row>
    <row r="19" spans="1:5" s="28" customFormat="1" ht="27.75" customHeight="1" x14ac:dyDescent="0.25">
      <c r="A19" s="48"/>
      <c r="B19" s="75" t="s">
        <v>40</v>
      </c>
      <c r="C19" s="59">
        <v>168181818</v>
      </c>
      <c r="D19" s="59">
        <v>158598363</v>
      </c>
      <c r="E19" s="58">
        <f t="shared" si="1"/>
        <v>9583455</v>
      </c>
    </row>
    <row r="20" spans="1:5" s="28" customFormat="1" ht="27.75" customHeight="1" x14ac:dyDescent="0.25">
      <c r="A20" s="48"/>
      <c r="B20" s="75" t="s">
        <v>41</v>
      </c>
      <c r="C20" s="59">
        <v>898181818</v>
      </c>
      <c r="D20" s="59">
        <v>850360925</v>
      </c>
      <c r="E20" s="58">
        <f t="shared" si="1"/>
        <v>47820893</v>
      </c>
    </row>
    <row r="21" spans="1:5" s="28" customFormat="1" ht="27.75" customHeight="1" x14ac:dyDescent="0.25">
      <c r="A21" s="48"/>
      <c r="B21" s="75" t="s">
        <v>42</v>
      </c>
      <c r="C21" s="59">
        <v>146240909</v>
      </c>
      <c r="D21" s="59">
        <v>135096031</v>
      </c>
      <c r="E21" s="58">
        <f t="shared" si="1"/>
        <v>11144878</v>
      </c>
    </row>
    <row r="22" spans="1:5" s="28" customFormat="1" ht="27.75" customHeight="1" x14ac:dyDescent="0.25">
      <c r="A22" s="48"/>
      <c r="B22" s="75" t="s">
        <v>43</v>
      </c>
      <c r="C22" s="59">
        <v>109090909</v>
      </c>
      <c r="D22" s="59">
        <v>94551173</v>
      </c>
      <c r="E22" s="58">
        <f t="shared" si="1"/>
        <v>14539736</v>
      </c>
    </row>
    <row r="23" spans="1:5" s="28" customFormat="1" ht="27.75" customHeight="1" x14ac:dyDescent="0.25">
      <c r="A23" s="48"/>
      <c r="B23" s="75" t="s">
        <v>44</v>
      </c>
      <c r="C23" s="59">
        <v>163636364</v>
      </c>
      <c r="D23" s="59">
        <v>143431114</v>
      </c>
      <c r="E23" s="58">
        <f t="shared" si="1"/>
        <v>20205250</v>
      </c>
    </row>
    <row r="24" spans="1:5" s="28" customFormat="1" ht="27.75" customHeight="1" x14ac:dyDescent="0.25">
      <c r="A24" s="48"/>
      <c r="B24" s="76" t="s">
        <v>45</v>
      </c>
      <c r="C24" s="59">
        <v>16207000</v>
      </c>
      <c r="D24" s="59">
        <v>11200000</v>
      </c>
      <c r="E24" s="58">
        <f t="shared" si="1"/>
        <v>5007000</v>
      </c>
    </row>
    <row r="25" spans="1:5" s="28" customFormat="1" ht="27.75" customHeight="1" x14ac:dyDescent="0.25">
      <c r="A25" s="48"/>
      <c r="B25" s="47" t="s">
        <v>46</v>
      </c>
      <c r="C25" s="59">
        <v>13636364</v>
      </c>
      <c r="D25" s="59">
        <v>9100000</v>
      </c>
      <c r="E25" s="58">
        <f t="shared" si="1"/>
        <v>4536364</v>
      </c>
    </row>
    <row r="26" spans="1:5" s="28" customFormat="1" ht="27.75" customHeight="1" x14ac:dyDescent="0.25">
      <c r="A26" s="48"/>
      <c r="B26" s="47" t="s">
        <v>47</v>
      </c>
      <c r="C26" s="59">
        <v>25090909</v>
      </c>
      <c r="D26" s="59">
        <v>16300000</v>
      </c>
      <c r="E26" s="58">
        <f t="shared" si="1"/>
        <v>8790909</v>
      </c>
    </row>
    <row r="27" spans="1:5" s="28" customFormat="1" ht="27.75" customHeight="1" x14ac:dyDescent="0.25">
      <c r="A27" s="48"/>
      <c r="B27" s="47" t="s">
        <v>48</v>
      </c>
      <c r="C27" s="59">
        <v>8000000</v>
      </c>
      <c r="D27" s="59">
        <v>5600000</v>
      </c>
      <c r="E27" s="58">
        <f t="shared" si="1"/>
        <v>2400000</v>
      </c>
    </row>
    <row r="28" spans="1:5" s="28" customFormat="1" ht="27.75" customHeight="1" x14ac:dyDescent="0.25">
      <c r="A28" s="48"/>
      <c r="B28" s="76" t="s">
        <v>49</v>
      </c>
      <c r="C28" s="59">
        <v>87272727</v>
      </c>
      <c r="D28" s="59">
        <v>71839120</v>
      </c>
      <c r="E28" s="58">
        <f t="shared" si="1"/>
        <v>15433607</v>
      </c>
    </row>
    <row r="29" spans="1:5" s="28" customFormat="1" ht="27.75" customHeight="1" x14ac:dyDescent="0.25">
      <c r="A29" s="48"/>
      <c r="B29" s="75" t="s">
        <v>50</v>
      </c>
      <c r="C29" s="59">
        <v>209222236</v>
      </c>
      <c r="D29" s="59">
        <v>196452000</v>
      </c>
      <c r="E29" s="58">
        <f t="shared" si="1"/>
        <v>12770236</v>
      </c>
    </row>
    <row r="30" spans="1:5" s="28" customFormat="1" ht="27.75" customHeight="1" x14ac:dyDescent="0.25">
      <c r="A30" s="48"/>
      <c r="B30" s="75" t="s">
        <v>51</v>
      </c>
      <c r="C30" s="59">
        <v>12350000</v>
      </c>
      <c r="D30" s="59">
        <v>11596244</v>
      </c>
      <c r="E30" s="58">
        <f>C30-D30</f>
        <v>753756</v>
      </c>
    </row>
    <row r="31" spans="1:5" s="27" customFormat="1" ht="36" customHeight="1" x14ac:dyDescent="0.25">
      <c r="A31" s="46"/>
      <c r="B31" s="52"/>
      <c r="C31" s="60">
        <f>C16+C3</f>
        <v>5767105847</v>
      </c>
      <c r="D31" s="60">
        <f>D16+D3</f>
        <v>4797343454</v>
      </c>
      <c r="E31" s="60">
        <f>E16+E3</f>
        <v>969762393</v>
      </c>
    </row>
    <row r="32" spans="1:5" s="25" customFormat="1" ht="19.5" customHeight="1" x14ac:dyDescent="0.25">
      <c r="B32" s="139" t="s">
        <v>58</v>
      </c>
      <c r="C32" s="139"/>
      <c r="D32" s="61"/>
      <c r="E32" s="62"/>
    </row>
    <row r="33" spans="2:5" s="25" customFormat="1" ht="19.5" customHeight="1" x14ac:dyDescent="0.25">
      <c r="B33" s="138" t="s">
        <v>13</v>
      </c>
      <c r="C33" s="138"/>
      <c r="D33" s="63"/>
      <c r="E33" s="62"/>
    </row>
    <row r="34" spans="2:5" s="25" customFormat="1" ht="19.5" customHeight="1" x14ac:dyDescent="0.25">
      <c r="B34" s="6"/>
      <c r="C34" s="51"/>
      <c r="D34" s="51"/>
      <c r="E34" s="62"/>
    </row>
    <row r="35" spans="2:5" s="25" customFormat="1" ht="19.5" customHeight="1" x14ac:dyDescent="0.25">
      <c r="B35" s="6"/>
      <c r="C35" s="51"/>
      <c r="D35" s="51"/>
      <c r="E35" s="62"/>
    </row>
    <row r="36" spans="2:5" s="25" customFormat="1" ht="19.5" customHeight="1" x14ac:dyDescent="0.25">
      <c r="B36" s="6"/>
      <c r="C36" s="51"/>
      <c r="D36" s="51"/>
      <c r="E36" s="62"/>
    </row>
    <row r="37" spans="2:5" s="25" customFormat="1" ht="19.5" customHeight="1" x14ac:dyDescent="0.25">
      <c r="B37" s="6"/>
      <c r="C37" s="51"/>
      <c r="D37" s="51"/>
      <c r="E37" s="62"/>
    </row>
    <row r="38" spans="2:5" s="25" customFormat="1" ht="19.5" customHeight="1" x14ac:dyDescent="0.25">
      <c r="B38" s="6"/>
      <c r="C38" s="51"/>
      <c r="D38" s="51"/>
      <c r="E38" s="62"/>
    </row>
    <row r="39" spans="2:5" s="25" customFormat="1" ht="19.5" customHeight="1" x14ac:dyDescent="0.25">
      <c r="B39" s="6"/>
      <c r="C39" s="51"/>
      <c r="D39" s="51"/>
      <c r="E39" s="62"/>
    </row>
    <row r="40" spans="2:5" s="25" customFormat="1" ht="19.5" customHeight="1" x14ac:dyDescent="0.25">
      <c r="B40" s="138"/>
      <c r="C40" s="138"/>
      <c r="D40" s="63"/>
      <c r="E40" s="62"/>
    </row>
    <row r="41" spans="2:5" s="25" customFormat="1" ht="19.5" customHeight="1" x14ac:dyDescent="0.25">
      <c r="C41" s="64"/>
      <c r="D41" s="65"/>
      <c r="E41" s="62"/>
    </row>
    <row r="42" spans="2:5" s="25" customFormat="1" ht="19.5" customHeight="1" x14ac:dyDescent="0.25">
      <c r="C42" s="64"/>
      <c r="D42" s="65"/>
      <c r="E42" s="62"/>
    </row>
    <row r="43" spans="2:5" s="25" customFormat="1" ht="19.5" customHeight="1" x14ac:dyDescent="0.25">
      <c r="C43" s="64"/>
      <c r="D43" s="65"/>
      <c r="E43" s="62"/>
    </row>
    <row r="44" spans="2:5" s="25" customFormat="1" ht="19.5" customHeight="1" x14ac:dyDescent="0.25">
      <c r="C44" s="64"/>
      <c r="D44" s="65"/>
      <c r="E44" s="62"/>
    </row>
    <row r="45" spans="2:5" s="25" customFormat="1" ht="19.5" customHeight="1" x14ac:dyDescent="0.25">
      <c r="C45" s="64"/>
      <c r="D45" s="65"/>
      <c r="E45" s="62"/>
    </row>
    <row r="46" spans="2:5" ht="19.5" customHeight="1" x14ac:dyDescent="0.25"/>
    <row r="47" spans="2:5" ht="19.5" customHeight="1" x14ac:dyDescent="0.25"/>
    <row r="48" spans="2:5"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sheetData>
  <mergeCells count="4">
    <mergeCell ref="A1:E1"/>
    <mergeCell ref="B40:C40"/>
    <mergeCell ref="B32:C32"/>
    <mergeCell ref="B33:C33"/>
  </mergeCells>
  <pageMargins left="0.19685039370078741" right="0.19685039370078741" top="0.39370078740157483" bottom="0.19685039370078741" header="0.31496062992125984" footer="0.31496062992125984"/>
  <pageSetup paperSize="9" scale="7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R32"/>
  <sheetViews>
    <sheetView topLeftCell="E4" zoomScale="85" zoomScaleNormal="85" workbookViewId="0">
      <selection activeCell="J14" sqref="J14"/>
    </sheetView>
  </sheetViews>
  <sheetFormatPr defaultRowHeight="16.5" x14ac:dyDescent="0.25"/>
  <cols>
    <col min="1" max="1" width="39.85546875" style="4" customWidth="1"/>
    <col min="2" max="2" width="9.85546875" style="5" customWidth="1"/>
    <col min="3" max="3" width="19.42578125" style="6" customWidth="1"/>
    <col min="4" max="4" width="19.28515625" style="6" customWidth="1"/>
    <col min="5" max="7" width="16" style="6" customWidth="1"/>
    <col min="8" max="8" width="20.7109375" style="4" customWidth="1"/>
    <col min="9" max="9" width="14.5703125" style="4" customWidth="1"/>
    <col min="10" max="10" width="16" style="4" customWidth="1"/>
    <col min="11" max="11" width="6.85546875" style="5" customWidth="1"/>
    <col min="12" max="12" width="15.5703125" style="6" customWidth="1"/>
    <col min="13" max="13" width="14.85546875" style="4" customWidth="1"/>
    <col min="14" max="16" width="16" style="4" customWidth="1"/>
    <col min="17" max="17" width="9.140625" style="4"/>
    <col min="18" max="18" width="15.85546875" style="4" bestFit="1" customWidth="1"/>
    <col min="19" max="260" width="9.140625" style="4"/>
    <col min="261" max="261" width="28.85546875" style="4" customWidth="1"/>
    <col min="262" max="262" width="11" style="4" customWidth="1"/>
    <col min="263" max="263" width="18.7109375" style="4" customWidth="1"/>
    <col min="264" max="264" width="20.85546875" style="4" customWidth="1"/>
    <col min="265" max="265" width="0" style="4" hidden="1" customWidth="1"/>
    <col min="266" max="266" width="17" style="4" customWidth="1"/>
    <col min="267" max="267" width="15.7109375" style="4" customWidth="1"/>
    <col min="268" max="268" width="6.85546875" style="4" customWidth="1"/>
    <col min="269" max="270" width="15.28515625" style="4" customWidth="1"/>
    <col min="271" max="271" width="18.42578125" style="4" customWidth="1"/>
    <col min="272" max="272" width="0" style="4" hidden="1" customWidth="1"/>
    <col min="273" max="516" width="9.140625" style="4"/>
    <col min="517" max="517" width="28.85546875" style="4" customWidth="1"/>
    <col min="518" max="518" width="11" style="4" customWidth="1"/>
    <col min="519" max="519" width="18.7109375" style="4" customWidth="1"/>
    <col min="520" max="520" width="20.85546875" style="4" customWidth="1"/>
    <col min="521" max="521" width="0" style="4" hidden="1" customWidth="1"/>
    <col min="522" max="522" width="17" style="4" customWidth="1"/>
    <col min="523" max="523" width="15.7109375" style="4" customWidth="1"/>
    <col min="524" max="524" width="6.85546875" style="4" customWidth="1"/>
    <col min="525" max="526" width="15.28515625" style="4" customWidth="1"/>
    <col min="527" max="527" width="18.42578125" style="4" customWidth="1"/>
    <col min="528" max="528" width="0" style="4" hidden="1" customWidth="1"/>
    <col min="529" max="772" width="9.140625" style="4"/>
    <col min="773" max="773" width="28.85546875" style="4" customWidth="1"/>
    <col min="774" max="774" width="11" style="4" customWidth="1"/>
    <col min="775" max="775" width="18.7109375" style="4" customWidth="1"/>
    <col min="776" max="776" width="20.85546875" style="4" customWidth="1"/>
    <col min="777" max="777" width="0" style="4" hidden="1" customWidth="1"/>
    <col min="778" max="778" width="17" style="4" customWidth="1"/>
    <col min="779" max="779" width="15.7109375" style="4" customWidth="1"/>
    <col min="780" max="780" width="6.85546875" style="4" customWidth="1"/>
    <col min="781" max="782" width="15.28515625" style="4" customWidth="1"/>
    <col min="783" max="783" width="18.42578125" style="4" customWidth="1"/>
    <col min="784" max="784" width="0" style="4" hidden="1" customWidth="1"/>
    <col min="785" max="1028" width="9.140625" style="4"/>
    <col min="1029" max="1029" width="28.85546875" style="4" customWidth="1"/>
    <col min="1030" max="1030" width="11" style="4" customWidth="1"/>
    <col min="1031" max="1031" width="18.7109375" style="4" customWidth="1"/>
    <col min="1032" max="1032" width="20.85546875" style="4" customWidth="1"/>
    <col min="1033" max="1033" width="0" style="4" hidden="1" customWidth="1"/>
    <col min="1034" max="1034" width="17" style="4" customWidth="1"/>
    <col min="1035" max="1035" width="15.7109375" style="4" customWidth="1"/>
    <col min="1036" max="1036" width="6.85546875" style="4" customWidth="1"/>
    <col min="1037" max="1038" width="15.28515625" style="4" customWidth="1"/>
    <col min="1039" max="1039" width="18.42578125" style="4" customWidth="1"/>
    <col min="1040" max="1040" width="0" style="4" hidden="1" customWidth="1"/>
    <col min="1041" max="1284" width="9.140625" style="4"/>
    <col min="1285" max="1285" width="28.85546875" style="4" customWidth="1"/>
    <col min="1286" max="1286" width="11" style="4" customWidth="1"/>
    <col min="1287" max="1287" width="18.7109375" style="4" customWidth="1"/>
    <col min="1288" max="1288" width="20.85546875" style="4" customWidth="1"/>
    <col min="1289" max="1289" width="0" style="4" hidden="1" customWidth="1"/>
    <col min="1290" max="1290" width="17" style="4" customWidth="1"/>
    <col min="1291" max="1291" width="15.7109375" style="4" customWidth="1"/>
    <col min="1292" max="1292" width="6.85546875" style="4" customWidth="1"/>
    <col min="1293" max="1294" width="15.28515625" style="4" customWidth="1"/>
    <col min="1295" max="1295" width="18.42578125" style="4" customWidth="1"/>
    <col min="1296" max="1296" width="0" style="4" hidden="1" customWidth="1"/>
    <col min="1297" max="1540" width="9.140625" style="4"/>
    <col min="1541" max="1541" width="28.85546875" style="4" customWidth="1"/>
    <col min="1542" max="1542" width="11" style="4" customWidth="1"/>
    <col min="1543" max="1543" width="18.7109375" style="4" customWidth="1"/>
    <col min="1544" max="1544" width="20.85546875" style="4" customWidth="1"/>
    <col min="1545" max="1545" width="0" style="4" hidden="1" customWidth="1"/>
    <col min="1546" max="1546" width="17" style="4" customWidth="1"/>
    <col min="1547" max="1547" width="15.7109375" style="4" customWidth="1"/>
    <col min="1548" max="1548" width="6.85546875" style="4" customWidth="1"/>
    <col min="1549" max="1550" width="15.28515625" style="4" customWidth="1"/>
    <col min="1551" max="1551" width="18.42578125" style="4" customWidth="1"/>
    <col min="1552" max="1552" width="0" style="4" hidden="1" customWidth="1"/>
    <col min="1553" max="1796" width="9.140625" style="4"/>
    <col min="1797" max="1797" width="28.85546875" style="4" customWidth="1"/>
    <col min="1798" max="1798" width="11" style="4" customWidth="1"/>
    <col min="1799" max="1799" width="18.7109375" style="4" customWidth="1"/>
    <col min="1800" max="1800" width="20.85546875" style="4" customWidth="1"/>
    <col min="1801" max="1801" width="0" style="4" hidden="1" customWidth="1"/>
    <col min="1802" max="1802" width="17" style="4" customWidth="1"/>
    <col min="1803" max="1803" width="15.7109375" style="4" customWidth="1"/>
    <col min="1804" max="1804" width="6.85546875" style="4" customWidth="1"/>
    <col min="1805" max="1806" width="15.28515625" style="4" customWidth="1"/>
    <col min="1807" max="1807" width="18.42578125" style="4" customWidth="1"/>
    <col min="1808" max="1808" width="0" style="4" hidden="1" customWidth="1"/>
    <col min="1809" max="2052" width="9.140625" style="4"/>
    <col min="2053" max="2053" width="28.85546875" style="4" customWidth="1"/>
    <col min="2054" max="2054" width="11" style="4" customWidth="1"/>
    <col min="2055" max="2055" width="18.7109375" style="4" customWidth="1"/>
    <col min="2056" max="2056" width="20.85546875" style="4" customWidth="1"/>
    <col min="2057" max="2057" width="0" style="4" hidden="1" customWidth="1"/>
    <col min="2058" max="2058" width="17" style="4" customWidth="1"/>
    <col min="2059" max="2059" width="15.7109375" style="4" customWidth="1"/>
    <col min="2060" max="2060" width="6.85546875" style="4" customWidth="1"/>
    <col min="2061" max="2062" width="15.28515625" style="4" customWidth="1"/>
    <col min="2063" max="2063" width="18.42578125" style="4" customWidth="1"/>
    <col min="2064" max="2064" width="0" style="4" hidden="1" customWidth="1"/>
    <col min="2065" max="2308" width="9.140625" style="4"/>
    <col min="2309" max="2309" width="28.85546875" style="4" customWidth="1"/>
    <col min="2310" max="2310" width="11" style="4" customWidth="1"/>
    <col min="2311" max="2311" width="18.7109375" style="4" customWidth="1"/>
    <col min="2312" max="2312" width="20.85546875" style="4" customWidth="1"/>
    <col min="2313" max="2313" width="0" style="4" hidden="1" customWidth="1"/>
    <col min="2314" max="2314" width="17" style="4" customWidth="1"/>
    <col min="2315" max="2315" width="15.7109375" style="4" customWidth="1"/>
    <col min="2316" max="2316" width="6.85546875" style="4" customWidth="1"/>
    <col min="2317" max="2318" width="15.28515625" style="4" customWidth="1"/>
    <col min="2319" max="2319" width="18.42578125" style="4" customWidth="1"/>
    <col min="2320" max="2320" width="0" style="4" hidden="1" customWidth="1"/>
    <col min="2321" max="2564" width="9.140625" style="4"/>
    <col min="2565" max="2565" width="28.85546875" style="4" customWidth="1"/>
    <col min="2566" max="2566" width="11" style="4" customWidth="1"/>
    <col min="2567" max="2567" width="18.7109375" style="4" customWidth="1"/>
    <col min="2568" max="2568" width="20.85546875" style="4" customWidth="1"/>
    <col min="2569" max="2569" width="0" style="4" hidden="1" customWidth="1"/>
    <col min="2570" max="2570" width="17" style="4" customWidth="1"/>
    <col min="2571" max="2571" width="15.7109375" style="4" customWidth="1"/>
    <col min="2572" max="2572" width="6.85546875" style="4" customWidth="1"/>
    <col min="2573" max="2574" width="15.28515625" style="4" customWidth="1"/>
    <col min="2575" max="2575" width="18.42578125" style="4" customWidth="1"/>
    <col min="2576" max="2576" width="0" style="4" hidden="1" customWidth="1"/>
    <col min="2577" max="2820" width="9.140625" style="4"/>
    <col min="2821" max="2821" width="28.85546875" style="4" customWidth="1"/>
    <col min="2822" max="2822" width="11" style="4" customWidth="1"/>
    <col min="2823" max="2823" width="18.7109375" style="4" customWidth="1"/>
    <col min="2824" max="2824" width="20.85546875" style="4" customWidth="1"/>
    <col min="2825" max="2825" width="0" style="4" hidden="1" customWidth="1"/>
    <col min="2826" max="2826" width="17" style="4" customWidth="1"/>
    <col min="2827" max="2827" width="15.7109375" style="4" customWidth="1"/>
    <col min="2828" max="2828" width="6.85546875" style="4" customWidth="1"/>
    <col min="2829" max="2830" width="15.28515625" style="4" customWidth="1"/>
    <col min="2831" max="2831" width="18.42578125" style="4" customWidth="1"/>
    <col min="2832" max="2832" width="0" style="4" hidden="1" customWidth="1"/>
    <col min="2833" max="3076" width="9.140625" style="4"/>
    <col min="3077" max="3077" width="28.85546875" style="4" customWidth="1"/>
    <col min="3078" max="3078" width="11" style="4" customWidth="1"/>
    <col min="3079" max="3079" width="18.7109375" style="4" customWidth="1"/>
    <col min="3080" max="3080" width="20.85546875" style="4" customWidth="1"/>
    <col min="3081" max="3081" width="0" style="4" hidden="1" customWidth="1"/>
    <col min="3082" max="3082" width="17" style="4" customWidth="1"/>
    <col min="3083" max="3083" width="15.7109375" style="4" customWidth="1"/>
    <col min="3084" max="3084" width="6.85546875" style="4" customWidth="1"/>
    <col min="3085" max="3086" width="15.28515625" style="4" customWidth="1"/>
    <col min="3087" max="3087" width="18.42578125" style="4" customWidth="1"/>
    <col min="3088" max="3088" width="0" style="4" hidden="1" customWidth="1"/>
    <col min="3089" max="3332" width="9.140625" style="4"/>
    <col min="3333" max="3333" width="28.85546875" style="4" customWidth="1"/>
    <col min="3334" max="3334" width="11" style="4" customWidth="1"/>
    <col min="3335" max="3335" width="18.7109375" style="4" customWidth="1"/>
    <col min="3336" max="3336" width="20.85546875" style="4" customWidth="1"/>
    <col min="3337" max="3337" width="0" style="4" hidden="1" customWidth="1"/>
    <col min="3338" max="3338" width="17" style="4" customWidth="1"/>
    <col min="3339" max="3339" width="15.7109375" style="4" customWidth="1"/>
    <col min="3340" max="3340" width="6.85546875" style="4" customWidth="1"/>
    <col min="3341" max="3342" width="15.28515625" style="4" customWidth="1"/>
    <col min="3343" max="3343" width="18.42578125" style="4" customWidth="1"/>
    <col min="3344" max="3344" width="0" style="4" hidden="1" customWidth="1"/>
    <col min="3345" max="3588" width="9.140625" style="4"/>
    <col min="3589" max="3589" width="28.85546875" style="4" customWidth="1"/>
    <col min="3590" max="3590" width="11" style="4" customWidth="1"/>
    <col min="3591" max="3591" width="18.7109375" style="4" customWidth="1"/>
    <col min="3592" max="3592" width="20.85546875" style="4" customWidth="1"/>
    <col min="3593" max="3593" width="0" style="4" hidden="1" customWidth="1"/>
    <col min="3594" max="3594" width="17" style="4" customWidth="1"/>
    <col min="3595" max="3595" width="15.7109375" style="4" customWidth="1"/>
    <col min="3596" max="3596" width="6.85546875" style="4" customWidth="1"/>
    <col min="3597" max="3598" width="15.28515625" style="4" customWidth="1"/>
    <col min="3599" max="3599" width="18.42578125" style="4" customWidth="1"/>
    <col min="3600" max="3600" width="0" style="4" hidden="1" customWidth="1"/>
    <col min="3601" max="3844" width="9.140625" style="4"/>
    <col min="3845" max="3845" width="28.85546875" style="4" customWidth="1"/>
    <col min="3846" max="3846" width="11" style="4" customWidth="1"/>
    <col min="3847" max="3847" width="18.7109375" style="4" customWidth="1"/>
    <col min="3848" max="3848" width="20.85546875" style="4" customWidth="1"/>
    <col min="3849" max="3849" width="0" style="4" hidden="1" customWidth="1"/>
    <col min="3850" max="3850" width="17" style="4" customWidth="1"/>
    <col min="3851" max="3851" width="15.7109375" style="4" customWidth="1"/>
    <col min="3852" max="3852" width="6.85546875" style="4" customWidth="1"/>
    <col min="3853" max="3854" width="15.28515625" style="4" customWidth="1"/>
    <col min="3855" max="3855" width="18.42578125" style="4" customWidth="1"/>
    <col min="3856" max="3856" width="0" style="4" hidden="1" customWidth="1"/>
    <col min="3857" max="4100" width="9.140625" style="4"/>
    <col min="4101" max="4101" width="28.85546875" style="4" customWidth="1"/>
    <col min="4102" max="4102" width="11" style="4" customWidth="1"/>
    <col min="4103" max="4103" width="18.7109375" style="4" customWidth="1"/>
    <col min="4104" max="4104" width="20.85546875" style="4" customWidth="1"/>
    <col min="4105" max="4105" width="0" style="4" hidden="1" customWidth="1"/>
    <col min="4106" max="4106" width="17" style="4" customWidth="1"/>
    <col min="4107" max="4107" width="15.7109375" style="4" customWidth="1"/>
    <col min="4108" max="4108" width="6.85546875" style="4" customWidth="1"/>
    <col min="4109" max="4110" width="15.28515625" style="4" customWidth="1"/>
    <col min="4111" max="4111" width="18.42578125" style="4" customWidth="1"/>
    <col min="4112" max="4112" width="0" style="4" hidden="1" customWidth="1"/>
    <col min="4113" max="4356" width="9.140625" style="4"/>
    <col min="4357" max="4357" width="28.85546875" style="4" customWidth="1"/>
    <col min="4358" max="4358" width="11" style="4" customWidth="1"/>
    <col min="4359" max="4359" width="18.7109375" style="4" customWidth="1"/>
    <col min="4360" max="4360" width="20.85546875" style="4" customWidth="1"/>
    <col min="4361" max="4361" width="0" style="4" hidden="1" customWidth="1"/>
    <col min="4362" max="4362" width="17" style="4" customWidth="1"/>
    <col min="4363" max="4363" width="15.7109375" style="4" customWidth="1"/>
    <col min="4364" max="4364" width="6.85546875" style="4" customWidth="1"/>
    <col min="4365" max="4366" width="15.28515625" style="4" customWidth="1"/>
    <col min="4367" max="4367" width="18.42578125" style="4" customWidth="1"/>
    <col min="4368" max="4368" width="0" style="4" hidden="1" customWidth="1"/>
    <col min="4369" max="4612" width="9.140625" style="4"/>
    <col min="4613" max="4613" width="28.85546875" style="4" customWidth="1"/>
    <col min="4614" max="4614" width="11" style="4" customWidth="1"/>
    <col min="4615" max="4615" width="18.7109375" style="4" customWidth="1"/>
    <col min="4616" max="4616" width="20.85546875" style="4" customWidth="1"/>
    <col min="4617" max="4617" width="0" style="4" hidden="1" customWidth="1"/>
    <col min="4618" max="4618" width="17" style="4" customWidth="1"/>
    <col min="4619" max="4619" width="15.7109375" style="4" customWidth="1"/>
    <col min="4620" max="4620" width="6.85546875" style="4" customWidth="1"/>
    <col min="4621" max="4622" width="15.28515625" style="4" customWidth="1"/>
    <col min="4623" max="4623" width="18.42578125" style="4" customWidth="1"/>
    <col min="4624" max="4624" width="0" style="4" hidden="1" customWidth="1"/>
    <col min="4625" max="4868" width="9.140625" style="4"/>
    <col min="4869" max="4869" width="28.85546875" style="4" customWidth="1"/>
    <col min="4870" max="4870" width="11" style="4" customWidth="1"/>
    <col min="4871" max="4871" width="18.7109375" style="4" customWidth="1"/>
    <col min="4872" max="4872" width="20.85546875" style="4" customWidth="1"/>
    <col min="4873" max="4873" width="0" style="4" hidden="1" customWidth="1"/>
    <col min="4874" max="4874" width="17" style="4" customWidth="1"/>
    <col min="4875" max="4875" width="15.7109375" style="4" customWidth="1"/>
    <col min="4876" max="4876" width="6.85546875" style="4" customWidth="1"/>
    <col min="4877" max="4878" width="15.28515625" style="4" customWidth="1"/>
    <col min="4879" max="4879" width="18.42578125" style="4" customWidth="1"/>
    <col min="4880" max="4880" width="0" style="4" hidden="1" customWidth="1"/>
    <col min="4881" max="5124" width="9.140625" style="4"/>
    <col min="5125" max="5125" width="28.85546875" style="4" customWidth="1"/>
    <col min="5126" max="5126" width="11" style="4" customWidth="1"/>
    <col min="5127" max="5127" width="18.7109375" style="4" customWidth="1"/>
    <col min="5128" max="5128" width="20.85546875" style="4" customWidth="1"/>
    <col min="5129" max="5129" width="0" style="4" hidden="1" customWidth="1"/>
    <col min="5130" max="5130" width="17" style="4" customWidth="1"/>
    <col min="5131" max="5131" width="15.7109375" style="4" customWidth="1"/>
    <col min="5132" max="5132" width="6.85546875" style="4" customWidth="1"/>
    <col min="5133" max="5134" width="15.28515625" style="4" customWidth="1"/>
    <col min="5135" max="5135" width="18.42578125" style="4" customWidth="1"/>
    <col min="5136" max="5136" width="0" style="4" hidden="1" customWidth="1"/>
    <col min="5137" max="5380" width="9.140625" style="4"/>
    <col min="5381" max="5381" width="28.85546875" style="4" customWidth="1"/>
    <col min="5382" max="5382" width="11" style="4" customWidth="1"/>
    <col min="5383" max="5383" width="18.7109375" style="4" customWidth="1"/>
    <col min="5384" max="5384" width="20.85546875" style="4" customWidth="1"/>
    <col min="5385" max="5385" width="0" style="4" hidden="1" customWidth="1"/>
    <col min="5386" max="5386" width="17" style="4" customWidth="1"/>
    <col min="5387" max="5387" width="15.7109375" style="4" customWidth="1"/>
    <col min="5388" max="5388" width="6.85546875" style="4" customWidth="1"/>
    <col min="5389" max="5390" width="15.28515625" style="4" customWidth="1"/>
    <col min="5391" max="5391" width="18.42578125" style="4" customWidth="1"/>
    <col min="5392" max="5392" width="0" style="4" hidden="1" customWidth="1"/>
    <col min="5393" max="5636" width="9.140625" style="4"/>
    <col min="5637" max="5637" width="28.85546875" style="4" customWidth="1"/>
    <col min="5638" max="5638" width="11" style="4" customWidth="1"/>
    <col min="5639" max="5639" width="18.7109375" style="4" customWidth="1"/>
    <col min="5640" max="5640" width="20.85546875" style="4" customWidth="1"/>
    <col min="5641" max="5641" width="0" style="4" hidden="1" customWidth="1"/>
    <col min="5642" max="5642" width="17" style="4" customWidth="1"/>
    <col min="5643" max="5643" width="15.7109375" style="4" customWidth="1"/>
    <col min="5644" max="5644" width="6.85546875" style="4" customWidth="1"/>
    <col min="5645" max="5646" width="15.28515625" style="4" customWidth="1"/>
    <col min="5647" max="5647" width="18.42578125" style="4" customWidth="1"/>
    <col min="5648" max="5648" width="0" style="4" hidden="1" customWidth="1"/>
    <col min="5649" max="5892" width="9.140625" style="4"/>
    <col min="5893" max="5893" width="28.85546875" style="4" customWidth="1"/>
    <col min="5894" max="5894" width="11" style="4" customWidth="1"/>
    <col min="5895" max="5895" width="18.7109375" style="4" customWidth="1"/>
    <col min="5896" max="5896" width="20.85546875" style="4" customWidth="1"/>
    <col min="5897" max="5897" width="0" style="4" hidden="1" customWidth="1"/>
    <col min="5898" max="5898" width="17" style="4" customWidth="1"/>
    <col min="5899" max="5899" width="15.7109375" style="4" customWidth="1"/>
    <col min="5900" max="5900" width="6.85546875" style="4" customWidth="1"/>
    <col min="5901" max="5902" width="15.28515625" style="4" customWidth="1"/>
    <col min="5903" max="5903" width="18.42578125" style="4" customWidth="1"/>
    <col min="5904" max="5904" width="0" style="4" hidden="1" customWidth="1"/>
    <col min="5905" max="6148" width="9.140625" style="4"/>
    <col min="6149" max="6149" width="28.85546875" style="4" customWidth="1"/>
    <col min="6150" max="6150" width="11" style="4" customWidth="1"/>
    <col min="6151" max="6151" width="18.7109375" style="4" customWidth="1"/>
    <col min="6152" max="6152" width="20.85546875" style="4" customWidth="1"/>
    <col min="6153" max="6153" width="0" style="4" hidden="1" customWidth="1"/>
    <col min="6154" max="6154" width="17" style="4" customWidth="1"/>
    <col min="6155" max="6155" width="15.7109375" style="4" customWidth="1"/>
    <col min="6156" max="6156" width="6.85546875" style="4" customWidth="1"/>
    <col min="6157" max="6158" width="15.28515625" style="4" customWidth="1"/>
    <col min="6159" max="6159" width="18.42578125" style="4" customWidth="1"/>
    <col min="6160" max="6160" width="0" style="4" hidden="1" customWidth="1"/>
    <col min="6161" max="6404" width="9.140625" style="4"/>
    <col min="6405" max="6405" width="28.85546875" style="4" customWidth="1"/>
    <col min="6406" max="6406" width="11" style="4" customWidth="1"/>
    <col min="6407" max="6407" width="18.7109375" style="4" customWidth="1"/>
    <col min="6408" max="6408" width="20.85546875" style="4" customWidth="1"/>
    <col min="6409" max="6409" width="0" style="4" hidden="1" customWidth="1"/>
    <col min="6410" max="6410" width="17" style="4" customWidth="1"/>
    <col min="6411" max="6411" width="15.7109375" style="4" customWidth="1"/>
    <col min="6412" max="6412" width="6.85546875" style="4" customWidth="1"/>
    <col min="6413" max="6414" width="15.28515625" style="4" customWidth="1"/>
    <col min="6415" max="6415" width="18.42578125" style="4" customWidth="1"/>
    <col min="6416" max="6416" width="0" style="4" hidden="1" customWidth="1"/>
    <col min="6417" max="6660" width="9.140625" style="4"/>
    <col min="6661" max="6661" width="28.85546875" style="4" customWidth="1"/>
    <col min="6662" max="6662" width="11" style="4" customWidth="1"/>
    <col min="6663" max="6663" width="18.7109375" style="4" customWidth="1"/>
    <col min="6664" max="6664" width="20.85546875" style="4" customWidth="1"/>
    <col min="6665" max="6665" width="0" style="4" hidden="1" customWidth="1"/>
    <col min="6666" max="6666" width="17" style="4" customWidth="1"/>
    <col min="6667" max="6667" width="15.7109375" style="4" customWidth="1"/>
    <col min="6668" max="6668" width="6.85546875" style="4" customWidth="1"/>
    <col min="6669" max="6670" width="15.28515625" style="4" customWidth="1"/>
    <col min="6671" max="6671" width="18.42578125" style="4" customWidth="1"/>
    <col min="6672" max="6672" width="0" style="4" hidden="1" customWidth="1"/>
    <col min="6673" max="6916" width="9.140625" style="4"/>
    <col min="6917" max="6917" width="28.85546875" style="4" customWidth="1"/>
    <col min="6918" max="6918" width="11" style="4" customWidth="1"/>
    <col min="6919" max="6919" width="18.7109375" style="4" customWidth="1"/>
    <col min="6920" max="6920" width="20.85546875" style="4" customWidth="1"/>
    <col min="6921" max="6921" width="0" style="4" hidden="1" customWidth="1"/>
    <col min="6922" max="6922" width="17" style="4" customWidth="1"/>
    <col min="6923" max="6923" width="15.7109375" style="4" customWidth="1"/>
    <col min="6924" max="6924" width="6.85546875" style="4" customWidth="1"/>
    <col min="6925" max="6926" width="15.28515625" style="4" customWidth="1"/>
    <col min="6927" max="6927" width="18.42578125" style="4" customWidth="1"/>
    <col min="6928" max="6928" width="0" style="4" hidden="1" customWidth="1"/>
    <col min="6929" max="7172" width="9.140625" style="4"/>
    <col min="7173" max="7173" width="28.85546875" style="4" customWidth="1"/>
    <col min="7174" max="7174" width="11" style="4" customWidth="1"/>
    <col min="7175" max="7175" width="18.7109375" style="4" customWidth="1"/>
    <col min="7176" max="7176" width="20.85546875" style="4" customWidth="1"/>
    <col min="7177" max="7177" width="0" style="4" hidden="1" customWidth="1"/>
    <col min="7178" max="7178" width="17" style="4" customWidth="1"/>
    <col min="7179" max="7179" width="15.7109375" style="4" customWidth="1"/>
    <col min="7180" max="7180" width="6.85546875" style="4" customWidth="1"/>
    <col min="7181" max="7182" width="15.28515625" style="4" customWidth="1"/>
    <col min="7183" max="7183" width="18.42578125" style="4" customWidth="1"/>
    <col min="7184" max="7184" width="0" style="4" hidden="1" customWidth="1"/>
    <col min="7185" max="7428" width="9.140625" style="4"/>
    <col min="7429" max="7429" width="28.85546875" style="4" customWidth="1"/>
    <col min="7430" max="7430" width="11" style="4" customWidth="1"/>
    <col min="7431" max="7431" width="18.7109375" style="4" customWidth="1"/>
    <col min="7432" max="7432" width="20.85546875" style="4" customWidth="1"/>
    <col min="7433" max="7433" width="0" style="4" hidden="1" customWidth="1"/>
    <col min="7434" max="7434" width="17" style="4" customWidth="1"/>
    <col min="7435" max="7435" width="15.7109375" style="4" customWidth="1"/>
    <col min="7436" max="7436" width="6.85546875" style="4" customWidth="1"/>
    <col min="7437" max="7438" width="15.28515625" style="4" customWidth="1"/>
    <col min="7439" max="7439" width="18.42578125" style="4" customWidth="1"/>
    <col min="7440" max="7440" width="0" style="4" hidden="1" customWidth="1"/>
    <col min="7441" max="7684" width="9.140625" style="4"/>
    <col min="7685" max="7685" width="28.85546875" style="4" customWidth="1"/>
    <col min="7686" max="7686" width="11" style="4" customWidth="1"/>
    <col min="7687" max="7687" width="18.7109375" style="4" customWidth="1"/>
    <col min="7688" max="7688" width="20.85546875" style="4" customWidth="1"/>
    <col min="7689" max="7689" width="0" style="4" hidden="1" customWidth="1"/>
    <col min="7690" max="7690" width="17" style="4" customWidth="1"/>
    <col min="7691" max="7691" width="15.7109375" style="4" customWidth="1"/>
    <col min="7692" max="7692" width="6.85546875" style="4" customWidth="1"/>
    <col min="7693" max="7694" width="15.28515625" style="4" customWidth="1"/>
    <col min="7695" max="7695" width="18.42578125" style="4" customWidth="1"/>
    <col min="7696" max="7696" width="0" style="4" hidden="1" customWidth="1"/>
    <col min="7697" max="7940" width="9.140625" style="4"/>
    <col min="7941" max="7941" width="28.85546875" style="4" customWidth="1"/>
    <col min="7942" max="7942" width="11" style="4" customWidth="1"/>
    <col min="7943" max="7943" width="18.7109375" style="4" customWidth="1"/>
    <col min="7944" max="7944" width="20.85546875" style="4" customWidth="1"/>
    <col min="7945" max="7945" width="0" style="4" hidden="1" customWidth="1"/>
    <col min="7946" max="7946" width="17" style="4" customWidth="1"/>
    <col min="7947" max="7947" width="15.7109375" style="4" customWidth="1"/>
    <col min="7948" max="7948" width="6.85546875" style="4" customWidth="1"/>
    <col min="7949" max="7950" width="15.28515625" style="4" customWidth="1"/>
    <col min="7951" max="7951" width="18.42578125" style="4" customWidth="1"/>
    <col min="7952" max="7952" width="0" style="4" hidden="1" customWidth="1"/>
    <col min="7953" max="8196" width="9.140625" style="4"/>
    <col min="8197" max="8197" width="28.85546875" style="4" customWidth="1"/>
    <col min="8198" max="8198" width="11" style="4" customWidth="1"/>
    <col min="8199" max="8199" width="18.7109375" style="4" customWidth="1"/>
    <col min="8200" max="8200" width="20.85546875" style="4" customWidth="1"/>
    <col min="8201" max="8201" width="0" style="4" hidden="1" customWidth="1"/>
    <col min="8202" max="8202" width="17" style="4" customWidth="1"/>
    <col min="8203" max="8203" width="15.7109375" style="4" customWidth="1"/>
    <col min="8204" max="8204" width="6.85546875" style="4" customWidth="1"/>
    <col min="8205" max="8206" width="15.28515625" style="4" customWidth="1"/>
    <col min="8207" max="8207" width="18.42578125" style="4" customWidth="1"/>
    <col min="8208" max="8208" width="0" style="4" hidden="1" customWidth="1"/>
    <col min="8209" max="8452" width="9.140625" style="4"/>
    <col min="8453" max="8453" width="28.85546875" style="4" customWidth="1"/>
    <col min="8454" max="8454" width="11" style="4" customWidth="1"/>
    <col min="8455" max="8455" width="18.7109375" style="4" customWidth="1"/>
    <col min="8456" max="8456" width="20.85546875" style="4" customWidth="1"/>
    <col min="8457" max="8457" width="0" style="4" hidden="1" customWidth="1"/>
    <col min="8458" max="8458" width="17" style="4" customWidth="1"/>
    <col min="8459" max="8459" width="15.7109375" style="4" customWidth="1"/>
    <col min="8460" max="8460" width="6.85546875" style="4" customWidth="1"/>
    <col min="8461" max="8462" width="15.28515625" style="4" customWidth="1"/>
    <col min="8463" max="8463" width="18.42578125" style="4" customWidth="1"/>
    <col min="8464" max="8464" width="0" style="4" hidden="1" customWidth="1"/>
    <col min="8465" max="8708" width="9.140625" style="4"/>
    <col min="8709" max="8709" width="28.85546875" style="4" customWidth="1"/>
    <col min="8710" max="8710" width="11" style="4" customWidth="1"/>
    <col min="8711" max="8711" width="18.7109375" style="4" customWidth="1"/>
    <col min="8712" max="8712" width="20.85546875" style="4" customWidth="1"/>
    <col min="8713" max="8713" width="0" style="4" hidden="1" customWidth="1"/>
    <col min="8714" max="8714" width="17" style="4" customWidth="1"/>
    <col min="8715" max="8715" width="15.7109375" style="4" customWidth="1"/>
    <col min="8716" max="8716" width="6.85546875" style="4" customWidth="1"/>
    <col min="8717" max="8718" width="15.28515625" style="4" customWidth="1"/>
    <col min="8719" max="8719" width="18.42578125" style="4" customWidth="1"/>
    <col min="8720" max="8720" width="0" style="4" hidden="1" customWidth="1"/>
    <col min="8721" max="8964" width="9.140625" style="4"/>
    <col min="8965" max="8965" width="28.85546875" style="4" customWidth="1"/>
    <col min="8966" max="8966" width="11" style="4" customWidth="1"/>
    <col min="8967" max="8967" width="18.7109375" style="4" customWidth="1"/>
    <col min="8968" max="8968" width="20.85546875" style="4" customWidth="1"/>
    <col min="8969" max="8969" width="0" style="4" hidden="1" customWidth="1"/>
    <col min="8970" max="8970" width="17" style="4" customWidth="1"/>
    <col min="8971" max="8971" width="15.7109375" style="4" customWidth="1"/>
    <col min="8972" max="8972" width="6.85546875" style="4" customWidth="1"/>
    <col min="8973" max="8974" width="15.28515625" style="4" customWidth="1"/>
    <col min="8975" max="8975" width="18.42578125" style="4" customWidth="1"/>
    <col min="8976" max="8976" width="0" style="4" hidden="1" customWidth="1"/>
    <col min="8977" max="9220" width="9.140625" style="4"/>
    <col min="9221" max="9221" width="28.85546875" style="4" customWidth="1"/>
    <col min="9222" max="9222" width="11" style="4" customWidth="1"/>
    <col min="9223" max="9223" width="18.7109375" style="4" customWidth="1"/>
    <col min="9224" max="9224" width="20.85546875" style="4" customWidth="1"/>
    <col min="9225" max="9225" width="0" style="4" hidden="1" customWidth="1"/>
    <col min="9226" max="9226" width="17" style="4" customWidth="1"/>
    <col min="9227" max="9227" width="15.7109375" style="4" customWidth="1"/>
    <col min="9228" max="9228" width="6.85546875" style="4" customWidth="1"/>
    <col min="9229" max="9230" width="15.28515625" style="4" customWidth="1"/>
    <col min="9231" max="9231" width="18.42578125" style="4" customWidth="1"/>
    <col min="9232" max="9232" width="0" style="4" hidden="1" customWidth="1"/>
    <col min="9233" max="9476" width="9.140625" style="4"/>
    <col min="9477" max="9477" width="28.85546875" style="4" customWidth="1"/>
    <col min="9478" max="9478" width="11" style="4" customWidth="1"/>
    <col min="9479" max="9479" width="18.7109375" style="4" customWidth="1"/>
    <col min="9480" max="9480" width="20.85546875" style="4" customWidth="1"/>
    <col min="9481" max="9481" width="0" style="4" hidden="1" customWidth="1"/>
    <col min="9482" max="9482" width="17" style="4" customWidth="1"/>
    <col min="9483" max="9483" width="15.7109375" style="4" customWidth="1"/>
    <col min="9484" max="9484" width="6.85546875" style="4" customWidth="1"/>
    <col min="9485" max="9486" width="15.28515625" style="4" customWidth="1"/>
    <col min="9487" max="9487" width="18.42578125" style="4" customWidth="1"/>
    <col min="9488" max="9488" width="0" style="4" hidden="1" customWidth="1"/>
    <col min="9489" max="9732" width="9.140625" style="4"/>
    <col min="9733" max="9733" width="28.85546875" style="4" customWidth="1"/>
    <col min="9734" max="9734" width="11" style="4" customWidth="1"/>
    <col min="9735" max="9735" width="18.7109375" style="4" customWidth="1"/>
    <col min="9736" max="9736" width="20.85546875" style="4" customWidth="1"/>
    <col min="9737" max="9737" width="0" style="4" hidden="1" customWidth="1"/>
    <col min="9738" max="9738" width="17" style="4" customWidth="1"/>
    <col min="9739" max="9739" width="15.7109375" style="4" customWidth="1"/>
    <col min="9740" max="9740" width="6.85546875" style="4" customWidth="1"/>
    <col min="9741" max="9742" width="15.28515625" style="4" customWidth="1"/>
    <col min="9743" max="9743" width="18.42578125" style="4" customWidth="1"/>
    <col min="9744" max="9744" width="0" style="4" hidden="1" customWidth="1"/>
    <col min="9745" max="9988" width="9.140625" style="4"/>
    <col min="9989" max="9989" width="28.85546875" style="4" customWidth="1"/>
    <col min="9990" max="9990" width="11" style="4" customWidth="1"/>
    <col min="9991" max="9991" width="18.7109375" style="4" customWidth="1"/>
    <col min="9992" max="9992" width="20.85546875" style="4" customWidth="1"/>
    <col min="9993" max="9993" width="0" style="4" hidden="1" customWidth="1"/>
    <col min="9994" max="9994" width="17" style="4" customWidth="1"/>
    <col min="9995" max="9995" width="15.7109375" style="4" customWidth="1"/>
    <col min="9996" max="9996" width="6.85546875" style="4" customWidth="1"/>
    <col min="9997" max="9998" width="15.28515625" style="4" customWidth="1"/>
    <col min="9999" max="9999" width="18.42578125" style="4" customWidth="1"/>
    <col min="10000" max="10000" width="0" style="4" hidden="1" customWidth="1"/>
    <col min="10001" max="10244" width="9.140625" style="4"/>
    <col min="10245" max="10245" width="28.85546875" style="4" customWidth="1"/>
    <col min="10246" max="10246" width="11" style="4" customWidth="1"/>
    <col min="10247" max="10247" width="18.7109375" style="4" customWidth="1"/>
    <col min="10248" max="10248" width="20.85546875" style="4" customWidth="1"/>
    <col min="10249" max="10249" width="0" style="4" hidden="1" customWidth="1"/>
    <col min="10250" max="10250" width="17" style="4" customWidth="1"/>
    <col min="10251" max="10251" width="15.7109375" style="4" customWidth="1"/>
    <col min="10252" max="10252" width="6.85546875" style="4" customWidth="1"/>
    <col min="10253" max="10254" width="15.28515625" style="4" customWidth="1"/>
    <col min="10255" max="10255" width="18.42578125" style="4" customWidth="1"/>
    <col min="10256" max="10256" width="0" style="4" hidden="1" customWidth="1"/>
    <col min="10257" max="10500" width="9.140625" style="4"/>
    <col min="10501" max="10501" width="28.85546875" style="4" customWidth="1"/>
    <col min="10502" max="10502" width="11" style="4" customWidth="1"/>
    <col min="10503" max="10503" width="18.7109375" style="4" customWidth="1"/>
    <col min="10504" max="10504" width="20.85546875" style="4" customWidth="1"/>
    <col min="10505" max="10505" width="0" style="4" hidden="1" customWidth="1"/>
    <col min="10506" max="10506" width="17" style="4" customWidth="1"/>
    <col min="10507" max="10507" width="15.7109375" style="4" customWidth="1"/>
    <col min="10508" max="10508" width="6.85546875" style="4" customWidth="1"/>
    <col min="10509" max="10510" width="15.28515625" style="4" customWidth="1"/>
    <col min="10511" max="10511" width="18.42578125" style="4" customWidth="1"/>
    <col min="10512" max="10512" width="0" style="4" hidden="1" customWidth="1"/>
    <col min="10513" max="10756" width="9.140625" style="4"/>
    <col min="10757" max="10757" width="28.85546875" style="4" customWidth="1"/>
    <col min="10758" max="10758" width="11" style="4" customWidth="1"/>
    <col min="10759" max="10759" width="18.7109375" style="4" customWidth="1"/>
    <col min="10760" max="10760" width="20.85546875" style="4" customWidth="1"/>
    <col min="10761" max="10761" width="0" style="4" hidden="1" customWidth="1"/>
    <col min="10762" max="10762" width="17" style="4" customWidth="1"/>
    <col min="10763" max="10763" width="15.7109375" style="4" customWidth="1"/>
    <col min="10764" max="10764" width="6.85546875" style="4" customWidth="1"/>
    <col min="10765" max="10766" width="15.28515625" style="4" customWidth="1"/>
    <col min="10767" max="10767" width="18.42578125" style="4" customWidth="1"/>
    <col min="10768" max="10768" width="0" style="4" hidden="1" customWidth="1"/>
    <col min="10769" max="11012" width="9.140625" style="4"/>
    <col min="11013" max="11013" width="28.85546875" style="4" customWidth="1"/>
    <col min="11014" max="11014" width="11" style="4" customWidth="1"/>
    <col min="11015" max="11015" width="18.7109375" style="4" customWidth="1"/>
    <col min="11016" max="11016" width="20.85546875" style="4" customWidth="1"/>
    <col min="11017" max="11017" width="0" style="4" hidden="1" customWidth="1"/>
    <col min="11018" max="11018" width="17" style="4" customWidth="1"/>
    <col min="11019" max="11019" width="15.7109375" style="4" customWidth="1"/>
    <col min="11020" max="11020" width="6.85546875" style="4" customWidth="1"/>
    <col min="11021" max="11022" width="15.28515625" style="4" customWidth="1"/>
    <col min="11023" max="11023" width="18.42578125" style="4" customWidth="1"/>
    <col min="11024" max="11024" width="0" style="4" hidden="1" customWidth="1"/>
    <col min="11025" max="11268" width="9.140625" style="4"/>
    <col min="11269" max="11269" width="28.85546875" style="4" customWidth="1"/>
    <col min="11270" max="11270" width="11" style="4" customWidth="1"/>
    <col min="11271" max="11271" width="18.7109375" style="4" customWidth="1"/>
    <col min="11272" max="11272" width="20.85546875" style="4" customWidth="1"/>
    <col min="11273" max="11273" width="0" style="4" hidden="1" customWidth="1"/>
    <col min="11274" max="11274" width="17" style="4" customWidth="1"/>
    <col min="11275" max="11275" width="15.7109375" style="4" customWidth="1"/>
    <col min="11276" max="11276" width="6.85546875" style="4" customWidth="1"/>
    <col min="11277" max="11278" width="15.28515625" style="4" customWidth="1"/>
    <col min="11279" max="11279" width="18.42578125" style="4" customWidth="1"/>
    <col min="11280" max="11280" width="0" style="4" hidden="1" customWidth="1"/>
    <col min="11281" max="11524" width="9.140625" style="4"/>
    <col min="11525" max="11525" width="28.85546875" style="4" customWidth="1"/>
    <col min="11526" max="11526" width="11" style="4" customWidth="1"/>
    <col min="11527" max="11527" width="18.7109375" style="4" customWidth="1"/>
    <col min="11528" max="11528" width="20.85546875" style="4" customWidth="1"/>
    <col min="11529" max="11529" width="0" style="4" hidden="1" customWidth="1"/>
    <col min="11530" max="11530" width="17" style="4" customWidth="1"/>
    <col min="11531" max="11531" width="15.7109375" style="4" customWidth="1"/>
    <col min="11532" max="11532" width="6.85546875" style="4" customWidth="1"/>
    <col min="11533" max="11534" width="15.28515625" style="4" customWidth="1"/>
    <col min="11535" max="11535" width="18.42578125" style="4" customWidth="1"/>
    <col min="11536" max="11536" width="0" style="4" hidden="1" customWidth="1"/>
    <col min="11537" max="11780" width="9.140625" style="4"/>
    <col min="11781" max="11781" width="28.85546875" style="4" customWidth="1"/>
    <col min="11782" max="11782" width="11" style="4" customWidth="1"/>
    <col min="11783" max="11783" width="18.7109375" style="4" customWidth="1"/>
    <col min="11784" max="11784" width="20.85546875" style="4" customWidth="1"/>
    <col min="11785" max="11785" width="0" style="4" hidden="1" customWidth="1"/>
    <col min="11786" max="11786" width="17" style="4" customWidth="1"/>
    <col min="11787" max="11787" width="15.7109375" style="4" customWidth="1"/>
    <col min="11788" max="11788" width="6.85546875" style="4" customWidth="1"/>
    <col min="11789" max="11790" width="15.28515625" style="4" customWidth="1"/>
    <col min="11791" max="11791" width="18.42578125" style="4" customWidth="1"/>
    <col min="11792" max="11792" width="0" style="4" hidden="1" customWidth="1"/>
    <col min="11793" max="12036" width="9.140625" style="4"/>
    <col min="12037" max="12037" width="28.85546875" style="4" customWidth="1"/>
    <col min="12038" max="12038" width="11" style="4" customWidth="1"/>
    <col min="12039" max="12039" width="18.7109375" style="4" customWidth="1"/>
    <col min="12040" max="12040" width="20.85546875" style="4" customWidth="1"/>
    <col min="12041" max="12041" width="0" style="4" hidden="1" customWidth="1"/>
    <col min="12042" max="12042" width="17" style="4" customWidth="1"/>
    <col min="12043" max="12043" width="15.7109375" style="4" customWidth="1"/>
    <col min="12044" max="12044" width="6.85546875" style="4" customWidth="1"/>
    <col min="12045" max="12046" width="15.28515625" style="4" customWidth="1"/>
    <col min="12047" max="12047" width="18.42578125" style="4" customWidth="1"/>
    <col min="12048" max="12048" width="0" style="4" hidden="1" customWidth="1"/>
    <col min="12049" max="12292" width="9.140625" style="4"/>
    <col min="12293" max="12293" width="28.85546875" style="4" customWidth="1"/>
    <col min="12294" max="12294" width="11" style="4" customWidth="1"/>
    <col min="12295" max="12295" width="18.7109375" style="4" customWidth="1"/>
    <col min="12296" max="12296" width="20.85546875" style="4" customWidth="1"/>
    <col min="12297" max="12297" width="0" style="4" hidden="1" customWidth="1"/>
    <col min="12298" max="12298" width="17" style="4" customWidth="1"/>
    <col min="12299" max="12299" width="15.7109375" style="4" customWidth="1"/>
    <col min="12300" max="12300" width="6.85546875" style="4" customWidth="1"/>
    <col min="12301" max="12302" width="15.28515625" style="4" customWidth="1"/>
    <col min="12303" max="12303" width="18.42578125" style="4" customWidth="1"/>
    <col min="12304" max="12304" width="0" style="4" hidden="1" customWidth="1"/>
    <col min="12305" max="12548" width="9.140625" style="4"/>
    <col min="12549" max="12549" width="28.85546875" style="4" customWidth="1"/>
    <col min="12550" max="12550" width="11" style="4" customWidth="1"/>
    <col min="12551" max="12551" width="18.7109375" style="4" customWidth="1"/>
    <col min="12552" max="12552" width="20.85546875" style="4" customWidth="1"/>
    <col min="12553" max="12553" width="0" style="4" hidden="1" customWidth="1"/>
    <col min="12554" max="12554" width="17" style="4" customWidth="1"/>
    <col min="12555" max="12555" width="15.7109375" style="4" customWidth="1"/>
    <col min="12556" max="12556" width="6.85546875" style="4" customWidth="1"/>
    <col min="12557" max="12558" width="15.28515625" style="4" customWidth="1"/>
    <col min="12559" max="12559" width="18.42578125" style="4" customWidth="1"/>
    <col min="12560" max="12560" width="0" style="4" hidden="1" customWidth="1"/>
    <col min="12561" max="12804" width="9.140625" style="4"/>
    <col min="12805" max="12805" width="28.85546875" style="4" customWidth="1"/>
    <col min="12806" max="12806" width="11" style="4" customWidth="1"/>
    <col min="12807" max="12807" width="18.7109375" style="4" customWidth="1"/>
    <col min="12808" max="12808" width="20.85546875" style="4" customWidth="1"/>
    <col min="12809" max="12809" width="0" style="4" hidden="1" customWidth="1"/>
    <col min="12810" max="12810" width="17" style="4" customWidth="1"/>
    <col min="12811" max="12811" width="15.7109375" style="4" customWidth="1"/>
    <col min="12812" max="12812" width="6.85546875" style="4" customWidth="1"/>
    <col min="12813" max="12814" width="15.28515625" style="4" customWidth="1"/>
    <col min="12815" max="12815" width="18.42578125" style="4" customWidth="1"/>
    <col min="12816" max="12816" width="0" style="4" hidden="1" customWidth="1"/>
    <col min="12817" max="13060" width="9.140625" style="4"/>
    <col min="13061" max="13061" width="28.85546875" style="4" customWidth="1"/>
    <col min="13062" max="13062" width="11" style="4" customWidth="1"/>
    <col min="13063" max="13063" width="18.7109375" style="4" customWidth="1"/>
    <col min="13064" max="13064" width="20.85546875" style="4" customWidth="1"/>
    <col min="13065" max="13065" width="0" style="4" hidden="1" customWidth="1"/>
    <col min="13066" max="13066" width="17" style="4" customWidth="1"/>
    <col min="13067" max="13067" width="15.7109375" style="4" customWidth="1"/>
    <col min="13068" max="13068" width="6.85546875" style="4" customWidth="1"/>
    <col min="13069" max="13070" width="15.28515625" style="4" customWidth="1"/>
    <col min="13071" max="13071" width="18.42578125" style="4" customWidth="1"/>
    <col min="13072" max="13072" width="0" style="4" hidden="1" customWidth="1"/>
    <col min="13073" max="13316" width="9.140625" style="4"/>
    <col min="13317" max="13317" width="28.85546875" style="4" customWidth="1"/>
    <col min="13318" max="13318" width="11" style="4" customWidth="1"/>
    <col min="13319" max="13319" width="18.7109375" style="4" customWidth="1"/>
    <col min="13320" max="13320" width="20.85546875" style="4" customWidth="1"/>
    <col min="13321" max="13321" width="0" style="4" hidden="1" customWidth="1"/>
    <col min="13322" max="13322" width="17" style="4" customWidth="1"/>
    <col min="13323" max="13323" width="15.7109375" style="4" customWidth="1"/>
    <col min="13324" max="13324" width="6.85546875" style="4" customWidth="1"/>
    <col min="13325" max="13326" width="15.28515625" style="4" customWidth="1"/>
    <col min="13327" max="13327" width="18.42578125" style="4" customWidth="1"/>
    <col min="13328" max="13328" width="0" style="4" hidden="1" customWidth="1"/>
    <col min="13329" max="13572" width="9.140625" style="4"/>
    <col min="13573" max="13573" width="28.85546875" style="4" customWidth="1"/>
    <col min="13574" max="13574" width="11" style="4" customWidth="1"/>
    <col min="13575" max="13575" width="18.7109375" style="4" customWidth="1"/>
    <col min="13576" max="13576" width="20.85546875" style="4" customWidth="1"/>
    <col min="13577" max="13577" width="0" style="4" hidden="1" customWidth="1"/>
    <col min="13578" max="13578" width="17" style="4" customWidth="1"/>
    <col min="13579" max="13579" width="15.7109375" style="4" customWidth="1"/>
    <col min="13580" max="13580" width="6.85546875" style="4" customWidth="1"/>
    <col min="13581" max="13582" width="15.28515625" style="4" customWidth="1"/>
    <col min="13583" max="13583" width="18.42578125" style="4" customWidth="1"/>
    <col min="13584" max="13584" width="0" style="4" hidden="1" customWidth="1"/>
    <col min="13585" max="13828" width="9.140625" style="4"/>
    <col min="13829" max="13829" width="28.85546875" style="4" customWidth="1"/>
    <col min="13830" max="13830" width="11" style="4" customWidth="1"/>
    <col min="13831" max="13831" width="18.7109375" style="4" customWidth="1"/>
    <col min="13832" max="13832" width="20.85546875" style="4" customWidth="1"/>
    <col min="13833" max="13833" width="0" style="4" hidden="1" customWidth="1"/>
    <col min="13834" max="13834" width="17" style="4" customWidth="1"/>
    <col min="13835" max="13835" width="15.7109375" style="4" customWidth="1"/>
    <col min="13836" max="13836" width="6.85546875" style="4" customWidth="1"/>
    <col min="13837" max="13838" width="15.28515625" style="4" customWidth="1"/>
    <col min="13839" max="13839" width="18.42578125" style="4" customWidth="1"/>
    <col min="13840" max="13840" width="0" style="4" hidden="1" customWidth="1"/>
    <col min="13841" max="14084" width="9.140625" style="4"/>
    <col min="14085" max="14085" width="28.85546875" style="4" customWidth="1"/>
    <col min="14086" max="14086" width="11" style="4" customWidth="1"/>
    <col min="14087" max="14087" width="18.7109375" style="4" customWidth="1"/>
    <col min="14088" max="14088" width="20.85546875" style="4" customWidth="1"/>
    <col min="14089" max="14089" width="0" style="4" hidden="1" customWidth="1"/>
    <col min="14090" max="14090" width="17" style="4" customWidth="1"/>
    <col min="14091" max="14091" width="15.7109375" style="4" customWidth="1"/>
    <col min="14092" max="14092" width="6.85546875" style="4" customWidth="1"/>
    <col min="14093" max="14094" width="15.28515625" style="4" customWidth="1"/>
    <col min="14095" max="14095" width="18.42578125" style="4" customWidth="1"/>
    <col min="14096" max="14096" width="0" style="4" hidden="1" customWidth="1"/>
    <col min="14097" max="14340" width="9.140625" style="4"/>
    <col min="14341" max="14341" width="28.85546875" style="4" customWidth="1"/>
    <col min="14342" max="14342" width="11" style="4" customWidth="1"/>
    <col min="14343" max="14343" width="18.7109375" style="4" customWidth="1"/>
    <col min="14344" max="14344" width="20.85546875" style="4" customWidth="1"/>
    <col min="14345" max="14345" width="0" style="4" hidden="1" customWidth="1"/>
    <col min="14346" max="14346" width="17" style="4" customWidth="1"/>
    <col min="14347" max="14347" width="15.7109375" style="4" customWidth="1"/>
    <col min="14348" max="14348" width="6.85546875" style="4" customWidth="1"/>
    <col min="14349" max="14350" width="15.28515625" style="4" customWidth="1"/>
    <col min="14351" max="14351" width="18.42578125" style="4" customWidth="1"/>
    <col min="14352" max="14352" width="0" style="4" hidden="1" customWidth="1"/>
    <col min="14353" max="14596" width="9.140625" style="4"/>
    <col min="14597" max="14597" width="28.85546875" style="4" customWidth="1"/>
    <col min="14598" max="14598" width="11" style="4" customWidth="1"/>
    <col min="14599" max="14599" width="18.7109375" style="4" customWidth="1"/>
    <col min="14600" max="14600" width="20.85546875" style="4" customWidth="1"/>
    <col min="14601" max="14601" width="0" style="4" hidden="1" customWidth="1"/>
    <col min="14602" max="14602" width="17" style="4" customWidth="1"/>
    <col min="14603" max="14603" width="15.7109375" style="4" customWidth="1"/>
    <col min="14604" max="14604" width="6.85546875" style="4" customWidth="1"/>
    <col min="14605" max="14606" width="15.28515625" style="4" customWidth="1"/>
    <col min="14607" max="14607" width="18.42578125" style="4" customWidth="1"/>
    <col min="14608" max="14608" width="0" style="4" hidden="1" customWidth="1"/>
    <col min="14609" max="14852" width="9.140625" style="4"/>
    <col min="14853" max="14853" width="28.85546875" style="4" customWidth="1"/>
    <col min="14854" max="14854" width="11" style="4" customWidth="1"/>
    <col min="14855" max="14855" width="18.7109375" style="4" customWidth="1"/>
    <col min="14856" max="14856" width="20.85546875" style="4" customWidth="1"/>
    <col min="14857" max="14857" width="0" style="4" hidden="1" customWidth="1"/>
    <col min="14858" max="14858" width="17" style="4" customWidth="1"/>
    <col min="14859" max="14859" width="15.7109375" style="4" customWidth="1"/>
    <col min="14860" max="14860" width="6.85546875" style="4" customWidth="1"/>
    <col min="14861" max="14862" width="15.28515625" style="4" customWidth="1"/>
    <col min="14863" max="14863" width="18.42578125" style="4" customWidth="1"/>
    <col min="14864" max="14864" width="0" style="4" hidden="1" customWidth="1"/>
    <col min="14865" max="15108" width="9.140625" style="4"/>
    <col min="15109" max="15109" width="28.85546875" style="4" customWidth="1"/>
    <col min="15110" max="15110" width="11" style="4" customWidth="1"/>
    <col min="15111" max="15111" width="18.7109375" style="4" customWidth="1"/>
    <col min="15112" max="15112" width="20.85546875" style="4" customWidth="1"/>
    <col min="15113" max="15113" width="0" style="4" hidden="1" customWidth="1"/>
    <col min="15114" max="15114" width="17" style="4" customWidth="1"/>
    <col min="15115" max="15115" width="15.7109375" style="4" customWidth="1"/>
    <col min="15116" max="15116" width="6.85546875" style="4" customWidth="1"/>
    <col min="15117" max="15118" width="15.28515625" style="4" customWidth="1"/>
    <col min="15119" max="15119" width="18.42578125" style="4" customWidth="1"/>
    <col min="15120" max="15120" width="0" style="4" hidden="1" customWidth="1"/>
    <col min="15121" max="15364" width="9.140625" style="4"/>
    <col min="15365" max="15365" width="28.85546875" style="4" customWidth="1"/>
    <col min="15366" max="15366" width="11" style="4" customWidth="1"/>
    <col min="15367" max="15367" width="18.7109375" style="4" customWidth="1"/>
    <col min="15368" max="15368" width="20.85546875" style="4" customWidth="1"/>
    <col min="15369" max="15369" width="0" style="4" hidden="1" customWidth="1"/>
    <col min="15370" max="15370" width="17" style="4" customWidth="1"/>
    <col min="15371" max="15371" width="15.7109375" style="4" customWidth="1"/>
    <col min="15372" max="15372" width="6.85546875" style="4" customWidth="1"/>
    <col min="15373" max="15374" width="15.28515625" style="4" customWidth="1"/>
    <col min="15375" max="15375" width="18.42578125" style="4" customWidth="1"/>
    <col min="15376" max="15376" width="0" style="4" hidden="1" customWidth="1"/>
    <col min="15377" max="15620" width="9.140625" style="4"/>
    <col min="15621" max="15621" width="28.85546875" style="4" customWidth="1"/>
    <col min="15622" max="15622" width="11" style="4" customWidth="1"/>
    <col min="15623" max="15623" width="18.7109375" style="4" customWidth="1"/>
    <col min="15624" max="15624" width="20.85546875" style="4" customWidth="1"/>
    <col min="15625" max="15625" width="0" style="4" hidden="1" customWidth="1"/>
    <col min="15626" max="15626" width="17" style="4" customWidth="1"/>
    <col min="15627" max="15627" width="15.7109375" style="4" customWidth="1"/>
    <col min="15628" max="15628" width="6.85546875" style="4" customWidth="1"/>
    <col min="15629" max="15630" width="15.28515625" style="4" customWidth="1"/>
    <col min="15631" max="15631" width="18.42578125" style="4" customWidth="1"/>
    <col min="15632" max="15632" width="0" style="4" hidden="1" customWidth="1"/>
    <col min="15633" max="15876" width="9.140625" style="4"/>
    <col min="15877" max="15877" width="28.85546875" style="4" customWidth="1"/>
    <col min="15878" max="15878" width="11" style="4" customWidth="1"/>
    <col min="15879" max="15879" width="18.7109375" style="4" customWidth="1"/>
    <col min="15880" max="15880" width="20.85546875" style="4" customWidth="1"/>
    <col min="15881" max="15881" width="0" style="4" hidden="1" customWidth="1"/>
    <col min="15882" max="15882" width="17" style="4" customWidth="1"/>
    <col min="15883" max="15883" width="15.7109375" style="4" customWidth="1"/>
    <col min="15884" max="15884" width="6.85546875" style="4" customWidth="1"/>
    <col min="15885" max="15886" width="15.28515625" style="4" customWidth="1"/>
    <col min="15887" max="15887" width="18.42578125" style="4" customWidth="1"/>
    <col min="15888" max="15888" width="0" style="4" hidden="1" customWidth="1"/>
    <col min="15889" max="16132" width="9.140625" style="4"/>
    <col min="16133" max="16133" width="28.85546875" style="4" customWidth="1"/>
    <col min="16134" max="16134" width="11" style="4" customWidth="1"/>
    <col min="16135" max="16135" width="18.7109375" style="4" customWidth="1"/>
    <col min="16136" max="16136" width="20.85546875" style="4" customWidth="1"/>
    <col min="16137" max="16137" width="0" style="4" hidden="1" customWidth="1"/>
    <col min="16138" max="16138" width="17" style="4" customWidth="1"/>
    <col min="16139" max="16139" width="15.7109375" style="4" customWidth="1"/>
    <col min="16140" max="16140" width="6.85546875" style="4" customWidth="1"/>
    <col min="16141" max="16142" width="15.28515625" style="4" customWidth="1"/>
    <col min="16143" max="16143" width="18.42578125" style="4" customWidth="1"/>
    <col min="16144" max="16144" width="0" style="4" hidden="1" customWidth="1"/>
    <col min="16145" max="16384" width="9.140625" style="4"/>
  </cols>
  <sheetData>
    <row r="1" spans="1:18" s="1" customFormat="1" ht="33" x14ac:dyDescent="0.25">
      <c r="A1" s="42" t="s">
        <v>56</v>
      </c>
      <c r="B1" s="2"/>
      <c r="C1" s="3"/>
      <c r="D1" s="3"/>
      <c r="E1" s="3"/>
      <c r="F1" s="3"/>
      <c r="G1" s="3"/>
      <c r="K1" s="2"/>
      <c r="L1" s="3"/>
    </row>
    <row r="2" spans="1:18" s="1" customFormat="1" x14ac:dyDescent="0.25">
      <c r="A2" s="1" t="s">
        <v>57</v>
      </c>
      <c r="B2" s="2"/>
      <c r="C2" s="3"/>
      <c r="D2" s="3"/>
      <c r="E2" s="3"/>
      <c r="F2" s="3"/>
      <c r="G2" s="3"/>
      <c r="K2" s="2"/>
      <c r="L2" s="3"/>
    </row>
    <row r="3" spans="1:18" s="7" customFormat="1" ht="20.25" x14ac:dyDescent="0.3">
      <c r="A3" s="140" t="s">
        <v>52</v>
      </c>
      <c r="B3" s="140"/>
      <c r="C3" s="140"/>
      <c r="D3" s="140"/>
      <c r="E3" s="140"/>
      <c r="F3" s="140"/>
      <c r="G3" s="140"/>
      <c r="H3" s="140"/>
      <c r="I3" s="140"/>
      <c r="J3" s="140"/>
      <c r="K3" s="140"/>
      <c r="L3" s="140"/>
      <c r="M3" s="140"/>
      <c r="N3" s="140"/>
      <c r="O3" s="135"/>
      <c r="P3" s="135"/>
    </row>
    <row r="5" spans="1:18" s="29" customFormat="1" ht="42" customHeight="1"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c r="O5" s="33" t="s">
        <v>180</v>
      </c>
      <c r="P5" s="33"/>
    </row>
    <row r="6" spans="1:18" s="1" customFormat="1" hidden="1" x14ac:dyDescent="0.25">
      <c r="A6" s="11" t="s">
        <v>6</v>
      </c>
      <c r="B6" s="12">
        <f>C6/C18</f>
        <v>0</v>
      </c>
      <c r="C6" s="13">
        <f>+C7</f>
        <v>0</v>
      </c>
      <c r="D6" s="13"/>
      <c r="E6" s="13"/>
      <c r="F6" s="13"/>
      <c r="G6" s="13"/>
      <c r="H6" s="14">
        <f>+B6*H18</f>
        <v>0</v>
      </c>
      <c r="I6" s="14"/>
      <c r="J6" s="14"/>
      <c r="K6" s="15">
        <v>0.2</v>
      </c>
      <c r="L6" s="13">
        <f>+K6*H6</f>
        <v>0</v>
      </c>
      <c r="M6" s="16">
        <v>0</v>
      </c>
      <c r="N6" s="14">
        <f>+L6-M6</f>
        <v>0</v>
      </c>
      <c r="O6" s="14"/>
      <c r="P6" s="14"/>
    </row>
    <row r="7" spans="1:18" ht="15.75" customHeight="1" x14ac:dyDescent="0.25">
      <c r="A7" s="17"/>
      <c r="B7" s="18"/>
      <c r="C7" s="19"/>
      <c r="D7" s="19"/>
      <c r="E7" s="19"/>
      <c r="F7" s="19"/>
      <c r="G7" s="19"/>
      <c r="H7" s="17"/>
      <c r="I7" s="17"/>
      <c r="J7" s="17"/>
      <c r="K7" s="20"/>
      <c r="L7" s="19"/>
      <c r="M7" s="17"/>
      <c r="N7" s="17"/>
      <c r="O7" s="17"/>
      <c r="P7" s="17"/>
    </row>
    <row r="8" spans="1:18" s="1" customFormat="1" x14ac:dyDescent="0.25">
      <c r="A8" s="34" t="s">
        <v>53</v>
      </c>
      <c r="B8" s="31">
        <f>C8/C18</f>
        <v>0.66015046347305495</v>
      </c>
      <c r="C8" s="13">
        <f>SUM(C9:C12)</f>
        <v>3823490591</v>
      </c>
      <c r="D8" s="13">
        <f>SUM(D9:D12)</f>
        <v>3010321577</v>
      </c>
      <c r="E8" s="13">
        <f>E18*B8</f>
        <v>323816725.43900639</v>
      </c>
      <c r="F8" s="13">
        <f>F18*B8</f>
        <v>93122733.532649502</v>
      </c>
      <c r="G8" s="13">
        <f>G18*B8</f>
        <v>6639378.7871209253</v>
      </c>
      <c r="H8" s="14">
        <f>C8-D8-E8-F8+G8-G8+F8</f>
        <v>489352288.56099361</v>
      </c>
      <c r="I8" s="14">
        <v>0</v>
      </c>
      <c r="J8" s="14">
        <f>H8-I8</f>
        <v>489352288.56099361</v>
      </c>
      <c r="K8" s="15">
        <v>0.1</v>
      </c>
      <c r="L8" s="13">
        <f>J8*K8</f>
        <v>48935228.856099367</v>
      </c>
      <c r="M8" s="14">
        <f>L8*100%</f>
        <v>48935228.856099367</v>
      </c>
      <c r="N8" s="14">
        <f>L8-M8</f>
        <v>0</v>
      </c>
      <c r="O8" s="14"/>
      <c r="P8" s="14"/>
    </row>
    <row r="9" spans="1:18" x14ac:dyDescent="0.25">
      <c r="A9" s="17">
        <v>5111</v>
      </c>
      <c r="B9" s="18"/>
      <c r="C9" s="19"/>
      <c r="D9" s="19"/>
      <c r="E9" s="19"/>
      <c r="F9" s="19"/>
      <c r="G9" s="19"/>
      <c r="H9" s="17"/>
      <c r="I9" s="17"/>
      <c r="J9" s="17"/>
      <c r="K9" s="20"/>
      <c r="L9" s="19"/>
      <c r="M9" s="17"/>
      <c r="N9" s="14">
        <f t="shared" ref="N9:N12" si="0">L9-M9</f>
        <v>0</v>
      </c>
      <c r="O9" s="14"/>
      <c r="P9" s="14"/>
    </row>
    <row r="10" spans="1:18" x14ac:dyDescent="0.25">
      <c r="A10" s="17">
        <v>5112</v>
      </c>
      <c r="B10" s="18"/>
      <c r="C10" s="19">
        <f>'BANG KE DOANH THU CT 2020'!C3</f>
        <v>3818033972</v>
      </c>
      <c r="D10" s="19">
        <f>'BANG KE DOANH THU CT 2020'!D3</f>
        <v>3010321577</v>
      </c>
      <c r="E10" s="19"/>
      <c r="F10" s="19"/>
      <c r="G10" s="19"/>
      <c r="H10" s="17"/>
      <c r="I10" s="17"/>
      <c r="J10" s="17"/>
      <c r="K10" s="20"/>
      <c r="L10" s="19"/>
      <c r="M10" s="17"/>
      <c r="N10" s="14">
        <f t="shared" si="0"/>
        <v>0</v>
      </c>
      <c r="O10" s="14"/>
      <c r="P10" s="14"/>
    </row>
    <row r="11" spans="1:18" x14ac:dyDescent="0.25">
      <c r="A11" s="17">
        <v>5151</v>
      </c>
      <c r="B11" s="18"/>
      <c r="C11" s="19">
        <v>77167</v>
      </c>
      <c r="D11" s="19"/>
      <c r="E11" s="19"/>
      <c r="F11" s="19"/>
      <c r="G11" s="19"/>
      <c r="H11" s="17"/>
      <c r="I11" s="17"/>
      <c r="J11" s="17"/>
      <c r="K11" s="20"/>
      <c r="L11" s="19"/>
      <c r="M11" s="17"/>
      <c r="N11" s="14">
        <f t="shared" si="0"/>
        <v>0</v>
      </c>
      <c r="O11" s="14"/>
      <c r="P11" s="14"/>
    </row>
    <row r="12" spans="1:18" x14ac:dyDescent="0.25">
      <c r="A12" s="17">
        <v>5152</v>
      </c>
      <c r="B12" s="18"/>
      <c r="C12" s="19">
        <v>5379452</v>
      </c>
      <c r="D12" s="19"/>
      <c r="E12" s="19"/>
      <c r="F12" s="19"/>
      <c r="G12" s="19"/>
      <c r="H12" s="17"/>
      <c r="I12" s="17"/>
      <c r="J12" s="17"/>
      <c r="K12" s="20"/>
      <c r="L12" s="19"/>
      <c r="M12" s="17"/>
      <c r="N12" s="14">
        <f t="shared" si="0"/>
        <v>0</v>
      </c>
      <c r="O12" s="14"/>
      <c r="P12" s="14"/>
    </row>
    <row r="13" spans="1:18" s="1" customFormat="1" x14ac:dyDescent="0.25">
      <c r="A13" s="21" t="s">
        <v>21</v>
      </c>
      <c r="B13" s="31">
        <f>C13/C18</f>
        <v>0.339849536526945</v>
      </c>
      <c r="C13" s="13">
        <f>+C14+C16+C17+C15</f>
        <v>1968356575</v>
      </c>
      <c r="D13" s="13">
        <f>SUM(D14:D17)</f>
        <v>1787021877</v>
      </c>
      <c r="E13" s="13">
        <f>E18*B13</f>
        <v>166702850.56099358</v>
      </c>
      <c r="F13" s="13">
        <f>F18*B13</f>
        <v>47940158.467350498</v>
      </c>
      <c r="G13" s="13">
        <f>G18*B13</f>
        <v>3417993.2128790738</v>
      </c>
      <c r="H13" s="14">
        <f>C13-D13-E13-F13+G13-G13+F13</f>
        <v>14631847.439006418</v>
      </c>
      <c r="I13" s="14">
        <v>0</v>
      </c>
      <c r="J13" s="14">
        <f>H13-I13</f>
        <v>14631847.439006418</v>
      </c>
      <c r="K13" s="15">
        <v>0.17</v>
      </c>
      <c r="L13" s="13">
        <f>J13*K13</f>
        <v>2487414.0646310914</v>
      </c>
      <c r="M13" s="14">
        <v>0</v>
      </c>
      <c r="N13" s="14">
        <f>L13-M13</f>
        <v>2487414.0646310914</v>
      </c>
      <c r="O13" s="14">
        <f>N13*30%</f>
        <v>746224.21938932745</v>
      </c>
      <c r="P13" s="14">
        <f>N13-O13</f>
        <v>1741189.8452417641</v>
      </c>
    </row>
    <row r="14" spans="1:18" x14ac:dyDescent="0.25">
      <c r="A14" s="17">
        <v>5112</v>
      </c>
      <c r="B14" s="18"/>
      <c r="C14" s="19">
        <f>'BANG KE DOANH THU CT 2020'!C16</f>
        <v>1949071875</v>
      </c>
      <c r="D14" s="19">
        <f>'BANG KE DOANH THU CT 2020'!D16</f>
        <v>1787021877</v>
      </c>
      <c r="E14" s="19"/>
      <c r="F14" s="19"/>
      <c r="G14" s="19"/>
      <c r="H14" s="17"/>
      <c r="I14" s="17"/>
      <c r="J14" s="17"/>
      <c r="K14" s="20"/>
      <c r="L14" s="19"/>
      <c r="M14" s="17"/>
      <c r="N14" s="17"/>
      <c r="O14" s="17"/>
      <c r="P14" s="17"/>
      <c r="Q14" s="83"/>
      <c r="R14" s="98">
        <f>N13*30%</f>
        <v>746224.21938932745</v>
      </c>
    </row>
    <row r="15" spans="1:18" x14ac:dyDescent="0.25">
      <c r="A15" s="17">
        <v>5151</v>
      </c>
      <c r="B15" s="18"/>
      <c r="C15" s="19"/>
      <c r="D15" s="19"/>
      <c r="E15" s="19"/>
      <c r="F15" s="19"/>
      <c r="G15" s="19"/>
      <c r="H15" s="17"/>
      <c r="I15" s="17"/>
      <c r="J15" s="17"/>
      <c r="K15" s="20"/>
      <c r="L15" s="19"/>
      <c r="M15" s="17"/>
      <c r="N15" s="17"/>
      <c r="O15" s="17"/>
      <c r="P15" s="17"/>
      <c r="Q15" s="83"/>
      <c r="R15" s="98">
        <f>N13-R14</f>
        <v>1741189.8452417641</v>
      </c>
    </row>
    <row r="16" spans="1:18" x14ac:dyDescent="0.25">
      <c r="A16" s="17">
        <v>5112</v>
      </c>
      <c r="B16" s="18"/>
      <c r="C16" s="19"/>
      <c r="D16" s="19"/>
      <c r="E16" s="19"/>
      <c r="F16" s="19"/>
      <c r="G16" s="19"/>
      <c r="H16" s="17"/>
      <c r="I16" s="17"/>
      <c r="J16" s="17"/>
      <c r="K16" s="20"/>
      <c r="L16" s="19"/>
      <c r="M16" s="17"/>
      <c r="N16" s="17"/>
      <c r="O16" s="17"/>
      <c r="P16" s="17"/>
      <c r="Q16" s="83"/>
      <c r="R16" s="83"/>
    </row>
    <row r="17" spans="1:18" x14ac:dyDescent="0.25">
      <c r="A17" s="4">
        <v>711</v>
      </c>
      <c r="B17" s="4"/>
      <c r="C17" s="19">
        <v>19284700</v>
      </c>
      <c r="D17" s="19"/>
      <c r="E17" s="19"/>
      <c r="F17" s="19"/>
      <c r="G17" s="19"/>
      <c r="H17" s="17"/>
      <c r="I17" s="17"/>
      <c r="J17" s="17"/>
      <c r="K17" s="20"/>
      <c r="L17" s="19"/>
      <c r="M17" s="17"/>
      <c r="N17" s="17"/>
      <c r="O17" s="17"/>
      <c r="P17" s="17"/>
      <c r="Q17" s="83"/>
      <c r="R17" s="83"/>
    </row>
    <row r="18" spans="1:18" s="1" customFormat="1" x14ac:dyDescent="0.25">
      <c r="A18" s="16" t="s">
        <v>7</v>
      </c>
      <c r="B18" s="12">
        <f>B8+B13</f>
        <v>1</v>
      </c>
      <c r="C18" s="13">
        <f>C8+C13</f>
        <v>5791847166</v>
      </c>
      <c r="D18" s="13">
        <f>D8+D13</f>
        <v>4797343454</v>
      </c>
      <c r="E18" s="13">
        <v>490519576</v>
      </c>
      <c r="F18" s="13">
        <v>141062892</v>
      </c>
      <c r="G18" s="13">
        <v>10057372</v>
      </c>
      <c r="H18" s="13">
        <f>H8+H13</f>
        <v>503984136</v>
      </c>
      <c r="I18" s="13"/>
      <c r="J18" s="13">
        <f>J8+J13</f>
        <v>503984136</v>
      </c>
      <c r="K18" s="13"/>
      <c r="L18" s="13">
        <f>L8+L13</f>
        <v>51422642.920730457</v>
      </c>
      <c r="M18" s="13">
        <f>M8+M13</f>
        <v>48935228.856099367</v>
      </c>
      <c r="N18" s="13">
        <f>N13+N8</f>
        <v>2487414.0646310914</v>
      </c>
      <c r="O18" s="13"/>
      <c r="P18" s="13">
        <f>SUM(P13:P17)</f>
        <v>1741189.8452417641</v>
      </c>
      <c r="Q18" s="84"/>
      <c r="R18" s="89"/>
    </row>
    <row r="19" spans="1:18" hidden="1" x14ac:dyDescent="0.25">
      <c r="H19" s="22" t="e">
        <f>+C18-#REF!-#REF!-#REF!</f>
        <v>#REF!</v>
      </c>
      <c r="I19" s="22"/>
      <c r="J19" s="22"/>
      <c r="Q19" s="83"/>
      <c r="R19" s="90"/>
    </row>
    <row r="20" spans="1:18" hidden="1" x14ac:dyDescent="0.25">
      <c r="C20" s="6">
        <v>10793007946</v>
      </c>
      <c r="H20" s="6">
        <v>720227155</v>
      </c>
      <c r="I20" s="6"/>
      <c r="J20" s="6"/>
      <c r="M20" s="4">
        <v>74441349</v>
      </c>
      <c r="Q20" s="83"/>
      <c r="R20" s="90"/>
    </row>
    <row r="21" spans="1:18" hidden="1" x14ac:dyDescent="0.25">
      <c r="C21" s="6">
        <v>454939007</v>
      </c>
      <c r="H21" s="22">
        <f>H20-H18</f>
        <v>216243019</v>
      </c>
      <c r="I21" s="22"/>
      <c r="J21" s="22"/>
      <c r="M21" s="22">
        <f>+M20-N18</f>
        <v>71953934.93536891</v>
      </c>
      <c r="Q21" s="83"/>
      <c r="R21" s="90"/>
    </row>
    <row r="22" spans="1:18" hidden="1" x14ac:dyDescent="0.25">
      <c r="C22" s="6">
        <v>781954</v>
      </c>
      <c r="L22" s="6">
        <v>54680132</v>
      </c>
      <c r="Q22" s="83"/>
      <c r="R22" s="90"/>
    </row>
    <row r="23" spans="1:18" hidden="1" x14ac:dyDescent="0.25">
      <c r="C23" s="6">
        <f>+C22+C21+C20</f>
        <v>11248728907</v>
      </c>
      <c r="H23" s="6"/>
      <c r="I23" s="6"/>
      <c r="J23" s="6"/>
      <c r="L23" s="6">
        <f>+L22-L6</f>
        <v>54680132</v>
      </c>
      <c r="Q23" s="83"/>
      <c r="R23" s="90"/>
    </row>
    <row r="24" spans="1:18" ht="29.25" customHeight="1" x14ac:dyDescent="0.25">
      <c r="C24" s="77"/>
      <c r="G24" s="81"/>
      <c r="H24" s="98"/>
      <c r="I24" s="98"/>
      <c r="J24" s="22"/>
      <c r="K24" s="26"/>
      <c r="L24" s="141" t="s">
        <v>58</v>
      </c>
      <c r="M24" s="141"/>
      <c r="N24" s="141"/>
      <c r="O24" s="136"/>
      <c r="P24" s="136"/>
      <c r="Q24" s="83"/>
      <c r="R24" s="79">
        <f>N13*30%</f>
        <v>746224.21938932745</v>
      </c>
    </row>
    <row r="25" spans="1:18" x14ac:dyDescent="0.25">
      <c r="A25" s="142" t="s">
        <v>8</v>
      </c>
      <c r="B25" s="142"/>
      <c r="C25" s="77">
        <v>4485290597</v>
      </c>
      <c r="D25" s="36"/>
      <c r="E25" s="95"/>
      <c r="F25" s="95">
        <f>J18*20%</f>
        <v>100796827.2</v>
      </c>
      <c r="G25" s="105"/>
      <c r="H25" s="106"/>
      <c r="I25" s="106"/>
      <c r="J25" s="37"/>
      <c r="L25" s="138" t="s">
        <v>9</v>
      </c>
      <c r="M25" s="138"/>
      <c r="N25" s="138"/>
      <c r="O25" s="134"/>
      <c r="P25" s="134"/>
      <c r="Q25" s="83"/>
      <c r="R25" s="79"/>
    </row>
    <row r="26" spans="1:18" x14ac:dyDescent="0.25">
      <c r="C26" s="77"/>
      <c r="D26" s="36"/>
      <c r="E26" s="95"/>
      <c r="F26" s="95">
        <f>L8</f>
        <v>48935228.856099367</v>
      </c>
      <c r="G26" s="105"/>
      <c r="H26" s="107"/>
      <c r="I26" s="107"/>
      <c r="J26" s="38"/>
      <c r="Q26" s="83"/>
      <c r="R26" s="79"/>
    </row>
    <row r="27" spans="1:18" x14ac:dyDescent="0.25">
      <c r="C27" s="77"/>
      <c r="D27" s="36"/>
      <c r="E27" s="95"/>
      <c r="F27" s="95">
        <f>L13</f>
        <v>2487414.0646310914</v>
      </c>
      <c r="G27" s="105"/>
      <c r="H27" s="105"/>
      <c r="I27" s="105"/>
      <c r="J27" s="36"/>
      <c r="Q27" s="83"/>
      <c r="R27" s="79">
        <f>N13-R24</f>
        <v>1741189.8452417641</v>
      </c>
    </row>
    <row r="28" spans="1:18" x14ac:dyDescent="0.25">
      <c r="C28" s="77"/>
      <c r="D28" s="5"/>
      <c r="E28" s="77"/>
      <c r="F28" s="77">
        <f>F26+F27</f>
        <v>51422642.920730457</v>
      </c>
      <c r="G28" s="81"/>
      <c r="H28" s="81"/>
      <c r="I28" s="81"/>
      <c r="J28" s="6"/>
      <c r="Q28" s="83"/>
      <c r="R28" s="90"/>
    </row>
    <row r="29" spans="1:18" x14ac:dyDescent="0.25">
      <c r="C29" s="77"/>
      <c r="D29" s="5"/>
      <c r="E29" s="77"/>
      <c r="F29" s="77">
        <f>F25-F28</f>
        <v>49374184.279269546</v>
      </c>
      <c r="G29" s="81"/>
      <c r="H29" s="82"/>
      <c r="I29" s="82"/>
      <c r="J29" s="35"/>
      <c r="M29" s="41" t="s">
        <v>55</v>
      </c>
      <c r="Q29" s="83"/>
      <c r="R29" s="90"/>
    </row>
    <row r="30" spans="1:18" x14ac:dyDescent="0.25">
      <c r="C30" s="77"/>
      <c r="D30" s="40"/>
      <c r="G30" s="81"/>
      <c r="H30" s="81"/>
      <c r="I30" s="81"/>
      <c r="J30" s="6"/>
    </row>
    <row r="31" spans="1:18" s="1" customFormat="1" x14ac:dyDescent="0.25">
      <c r="B31" s="5"/>
      <c r="C31" s="77"/>
      <c r="D31" s="39"/>
      <c r="E31" s="3"/>
      <c r="F31" s="3"/>
      <c r="G31" s="112"/>
      <c r="H31" s="112"/>
      <c r="I31" s="112"/>
      <c r="J31" s="3"/>
      <c r="K31" s="2"/>
      <c r="L31" s="138"/>
      <c r="M31" s="138"/>
      <c r="N31" s="138"/>
      <c r="O31" s="134"/>
      <c r="P31" s="134"/>
    </row>
    <row r="32" spans="1:18" x14ac:dyDescent="0.25">
      <c r="H32" s="22"/>
      <c r="I32" s="22"/>
      <c r="J32" s="22"/>
    </row>
  </sheetData>
  <mergeCells count="5">
    <mergeCell ref="A3:N3"/>
    <mergeCell ref="L24:N24"/>
    <mergeCell ref="A25:B25"/>
    <mergeCell ref="L25:N25"/>
    <mergeCell ref="L31:N31"/>
  </mergeCells>
  <pageMargins left="0.25" right="0.25" top="0.75" bottom="0.75" header="0.3" footer="0.3"/>
  <pageSetup paperSize="9" scale="7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Views>
    <sheetView topLeftCell="A37" workbookViewId="0">
      <selection activeCell="D26" sqref="D26"/>
    </sheetView>
  </sheetViews>
  <sheetFormatPr defaultColWidth="8" defaultRowHeight="15" x14ac:dyDescent="0.25"/>
  <cols>
    <col min="1" max="1" width="8" style="24"/>
    <col min="2" max="2" width="65.42578125" style="24" customWidth="1"/>
    <col min="3" max="3" width="20.42578125" style="66" customWidth="1"/>
    <col min="4" max="4" width="17.7109375" style="67" customWidth="1"/>
    <col min="5" max="5" width="24.28515625" style="68" customWidth="1"/>
    <col min="6" max="6" width="20.7109375" style="129" bestFit="1" customWidth="1"/>
    <col min="7" max="16384" width="8" style="24"/>
  </cols>
  <sheetData>
    <row r="1" spans="1:6" s="23" customFormat="1" ht="20.25" x14ac:dyDescent="0.3">
      <c r="A1" s="137" t="s">
        <v>54</v>
      </c>
      <c r="B1" s="137"/>
      <c r="C1" s="137"/>
      <c r="D1" s="137"/>
      <c r="E1" s="137"/>
      <c r="F1" s="124"/>
    </row>
    <row r="2" spans="1:6" s="27" customFormat="1" ht="39" customHeight="1" x14ac:dyDescent="0.25">
      <c r="A2" s="45" t="s">
        <v>10</v>
      </c>
      <c r="B2" s="30" t="s">
        <v>11</v>
      </c>
      <c r="C2" s="54" t="s">
        <v>12</v>
      </c>
      <c r="D2" s="55" t="s">
        <v>14</v>
      </c>
      <c r="E2" s="56" t="s">
        <v>16</v>
      </c>
      <c r="F2" s="125"/>
    </row>
    <row r="3" spans="1:6" s="28" customFormat="1" ht="27.75" customHeight="1" x14ac:dyDescent="0.25">
      <c r="A3" s="46"/>
      <c r="B3" s="52" t="s">
        <v>26</v>
      </c>
      <c r="C3" s="57">
        <f>SUM(C4:C10)</f>
        <v>3811991196</v>
      </c>
      <c r="D3" s="57">
        <f>SUM(D4:D10)</f>
        <v>3341983032</v>
      </c>
      <c r="E3" s="57">
        <f>SUM(E4:E10)</f>
        <v>470008164</v>
      </c>
      <c r="F3" s="126"/>
    </row>
    <row r="4" spans="1:6" s="28" customFormat="1" ht="46.5" customHeight="1" x14ac:dyDescent="0.25">
      <c r="A4" s="53"/>
      <c r="B4" s="50" t="s">
        <v>59</v>
      </c>
      <c r="C4" s="70">
        <v>268181818</v>
      </c>
      <c r="D4" s="91">
        <v>245270305</v>
      </c>
      <c r="E4" s="58">
        <f>C4-D4</f>
        <v>22911513</v>
      </c>
      <c r="F4" s="126"/>
    </row>
    <row r="5" spans="1:6" s="28" customFormat="1" ht="27.75" customHeight="1" x14ac:dyDescent="0.25">
      <c r="A5" s="53"/>
      <c r="B5" s="50" t="s">
        <v>60</v>
      </c>
      <c r="C5" s="91">
        <v>43636364</v>
      </c>
      <c r="D5" s="91">
        <v>42874258</v>
      </c>
      <c r="E5" s="58">
        <f>C5-D5</f>
        <v>762106</v>
      </c>
      <c r="F5" s="126"/>
    </row>
    <row r="6" spans="1:6" s="28" customFormat="1" ht="27.75" customHeight="1" x14ac:dyDescent="0.25">
      <c r="A6" s="53"/>
      <c r="B6" s="49" t="s">
        <v>61</v>
      </c>
      <c r="C6" s="92">
        <v>572727272</v>
      </c>
      <c r="D6" s="92">
        <v>550000000</v>
      </c>
      <c r="E6" s="58">
        <f t="shared" ref="E6:E10" si="0">C6-D6</f>
        <v>22727272</v>
      </c>
      <c r="F6" s="126"/>
    </row>
    <row r="7" spans="1:6" s="28" customFormat="1" ht="27.75" customHeight="1" x14ac:dyDescent="0.25">
      <c r="A7" s="53"/>
      <c r="B7" s="50" t="s">
        <v>62</v>
      </c>
      <c r="C7" s="91">
        <v>36584182</v>
      </c>
      <c r="D7" s="91">
        <v>33239007</v>
      </c>
      <c r="E7" s="58">
        <f t="shared" si="0"/>
        <v>3345175</v>
      </c>
      <c r="F7" s="126"/>
    </row>
    <row r="8" spans="1:6" s="28" customFormat="1" ht="27.75" customHeight="1" x14ac:dyDescent="0.25">
      <c r="A8" s="53"/>
      <c r="B8" s="69" t="s">
        <v>63</v>
      </c>
      <c r="C8" s="91">
        <v>79450000</v>
      </c>
      <c r="D8" s="92">
        <v>78298172</v>
      </c>
      <c r="E8" s="58">
        <f t="shared" si="0"/>
        <v>1151828</v>
      </c>
      <c r="F8" s="126"/>
    </row>
    <row r="9" spans="1:6" s="28" customFormat="1" ht="90" customHeight="1" x14ac:dyDescent="0.25">
      <c r="A9" s="53"/>
      <c r="B9" s="50" t="s">
        <v>64</v>
      </c>
      <c r="C9" s="91">
        <v>1249503570</v>
      </c>
      <c r="D9" s="91">
        <v>1010000000</v>
      </c>
      <c r="E9" s="58">
        <f>C9-D9</f>
        <v>239503570</v>
      </c>
      <c r="F9" s="126"/>
    </row>
    <row r="10" spans="1:6" s="28" customFormat="1" ht="44.25" customHeight="1" x14ac:dyDescent="0.25">
      <c r="A10" s="53"/>
      <c r="B10" s="50" t="s">
        <v>65</v>
      </c>
      <c r="C10" s="91">
        <v>1561907990</v>
      </c>
      <c r="D10" s="91">
        <v>1382301290</v>
      </c>
      <c r="E10" s="58">
        <f t="shared" si="0"/>
        <v>179606700</v>
      </c>
      <c r="F10" s="126"/>
    </row>
    <row r="11" spans="1:6" s="28" customFormat="1" ht="27.75" customHeight="1" x14ac:dyDescent="0.25">
      <c r="A11" s="46"/>
      <c r="B11" s="52" t="s">
        <v>22</v>
      </c>
      <c r="C11" s="57">
        <f>SUM(C12:C39)</f>
        <v>6361724948</v>
      </c>
      <c r="D11" s="57">
        <f>SUM(D12:D39)</f>
        <v>5831597194</v>
      </c>
      <c r="E11" s="57">
        <f>SUM(E12:E39)</f>
        <v>530127754</v>
      </c>
      <c r="F11" s="126"/>
    </row>
    <row r="12" spans="1:6" s="28" customFormat="1" ht="27.75" customHeight="1" x14ac:dyDescent="0.25">
      <c r="A12" s="48"/>
      <c r="B12" s="93" t="s">
        <v>66</v>
      </c>
      <c r="C12" s="94">
        <v>251433129</v>
      </c>
      <c r="D12" s="94">
        <v>241225911</v>
      </c>
      <c r="E12" s="58">
        <f>C12-D12</f>
        <v>10207218</v>
      </c>
      <c r="F12" s="126"/>
    </row>
    <row r="13" spans="1:6" s="28" customFormat="1" ht="27.75" customHeight="1" x14ac:dyDescent="0.25">
      <c r="A13" s="48"/>
      <c r="B13" s="93" t="s">
        <v>67</v>
      </c>
      <c r="C13" s="94">
        <v>44857273</v>
      </c>
      <c r="D13" s="94">
        <v>38869847</v>
      </c>
      <c r="E13" s="58">
        <f t="shared" ref="E13:E39" si="1">C13-D13</f>
        <v>5987426</v>
      </c>
      <c r="F13" s="126"/>
    </row>
    <row r="14" spans="1:6" s="28" customFormat="1" ht="27.75" customHeight="1" x14ac:dyDescent="0.25">
      <c r="A14" s="48"/>
      <c r="B14" s="93" t="s">
        <v>68</v>
      </c>
      <c r="C14" s="94">
        <v>23325455</v>
      </c>
      <c r="D14" s="94">
        <v>19458933</v>
      </c>
      <c r="E14" s="58">
        <f t="shared" si="1"/>
        <v>3866522</v>
      </c>
      <c r="F14" s="126"/>
    </row>
    <row r="15" spans="1:6" s="28" customFormat="1" ht="50.25" customHeight="1" x14ac:dyDescent="0.25">
      <c r="A15" s="48"/>
      <c r="B15" s="93" t="s">
        <v>69</v>
      </c>
      <c r="C15" s="94">
        <v>182727273</v>
      </c>
      <c r="D15" s="94">
        <v>125402987</v>
      </c>
      <c r="E15" s="58">
        <f t="shared" si="1"/>
        <v>57324286</v>
      </c>
      <c r="F15" s="126"/>
    </row>
    <row r="16" spans="1:6" s="28" customFormat="1" ht="27.75" customHeight="1" x14ac:dyDescent="0.25">
      <c r="A16" s="48"/>
      <c r="B16" s="93" t="s">
        <v>70</v>
      </c>
      <c r="C16" s="94">
        <v>213242727</v>
      </c>
      <c r="D16" s="94">
        <v>205289628</v>
      </c>
      <c r="E16" s="58">
        <f t="shared" si="1"/>
        <v>7953099</v>
      </c>
      <c r="F16" s="126"/>
    </row>
    <row r="17" spans="1:6" s="28" customFormat="1" ht="27.75" customHeight="1" x14ac:dyDescent="0.25">
      <c r="A17" s="48"/>
      <c r="B17" s="93" t="s">
        <v>71</v>
      </c>
      <c r="C17" s="94">
        <v>91925454</v>
      </c>
      <c r="D17" s="94">
        <v>87616152</v>
      </c>
      <c r="E17" s="58">
        <f t="shared" si="1"/>
        <v>4309302</v>
      </c>
      <c r="F17" s="126"/>
    </row>
    <row r="18" spans="1:6" s="28" customFormat="1" ht="27.75" customHeight="1" x14ac:dyDescent="0.25">
      <c r="A18" s="48"/>
      <c r="B18" s="93" t="s">
        <v>72</v>
      </c>
      <c r="C18" s="94">
        <v>43636364</v>
      </c>
      <c r="D18" s="94">
        <v>40864757</v>
      </c>
      <c r="E18" s="58">
        <f t="shared" si="1"/>
        <v>2771607</v>
      </c>
      <c r="F18" s="126"/>
    </row>
    <row r="19" spans="1:6" s="28" customFormat="1" ht="27.75" customHeight="1" x14ac:dyDescent="0.25">
      <c r="A19" s="48"/>
      <c r="B19" s="93" t="s">
        <v>73</v>
      </c>
      <c r="C19" s="94">
        <v>44090909</v>
      </c>
      <c r="D19" s="94">
        <v>37505914</v>
      </c>
      <c r="E19" s="58">
        <f t="shared" si="1"/>
        <v>6584995</v>
      </c>
      <c r="F19" s="126"/>
    </row>
    <row r="20" spans="1:6" s="28" customFormat="1" ht="27.75" customHeight="1" x14ac:dyDescent="0.25">
      <c r="A20" s="48"/>
      <c r="B20" s="93" t="s">
        <v>74</v>
      </c>
      <c r="C20" s="94">
        <v>38181818</v>
      </c>
      <c r="D20" s="94">
        <v>38930476</v>
      </c>
      <c r="E20" s="58">
        <f t="shared" si="1"/>
        <v>-748658</v>
      </c>
      <c r="F20" s="126"/>
    </row>
    <row r="21" spans="1:6" s="28" customFormat="1" ht="27.75" customHeight="1" x14ac:dyDescent="0.25">
      <c r="A21" s="48"/>
      <c r="B21" s="93" t="s">
        <v>75</v>
      </c>
      <c r="C21" s="94">
        <v>44545455</v>
      </c>
      <c r="D21" s="94">
        <v>41716105</v>
      </c>
      <c r="E21" s="58">
        <f t="shared" si="1"/>
        <v>2829350</v>
      </c>
      <c r="F21" s="126"/>
    </row>
    <row r="22" spans="1:6" s="28" customFormat="1" ht="27.75" customHeight="1" x14ac:dyDescent="0.25">
      <c r="A22" s="48"/>
      <c r="B22" s="93" t="s">
        <v>76</v>
      </c>
      <c r="C22" s="94">
        <v>45090909</v>
      </c>
      <c r="D22" s="94">
        <v>30899642</v>
      </c>
      <c r="E22" s="58">
        <f t="shared" si="1"/>
        <v>14191267</v>
      </c>
      <c r="F22" s="126"/>
    </row>
    <row r="23" spans="1:6" s="28" customFormat="1" ht="27.75" customHeight="1" x14ac:dyDescent="0.25">
      <c r="A23" s="48"/>
      <c r="B23" s="93" t="s">
        <v>77</v>
      </c>
      <c r="C23" s="94">
        <v>136363636</v>
      </c>
      <c r="D23" s="94">
        <v>118823345</v>
      </c>
      <c r="E23" s="58">
        <f t="shared" si="1"/>
        <v>17540291</v>
      </c>
      <c r="F23" s="126"/>
    </row>
    <row r="24" spans="1:6" s="28" customFormat="1" ht="27.75" customHeight="1" x14ac:dyDescent="0.25">
      <c r="A24" s="48"/>
      <c r="B24" s="93" t="s">
        <v>78</v>
      </c>
      <c r="C24" s="94">
        <v>80909091</v>
      </c>
      <c r="D24" s="94">
        <v>79810050</v>
      </c>
      <c r="E24" s="58">
        <f t="shared" si="1"/>
        <v>1099041</v>
      </c>
      <c r="F24" s="126"/>
    </row>
    <row r="25" spans="1:6" s="116" customFormat="1" ht="27.75" customHeight="1" x14ac:dyDescent="0.25">
      <c r="A25" s="46"/>
      <c r="B25" s="120" t="s">
        <v>79</v>
      </c>
      <c r="C25" s="121">
        <v>636363636</v>
      </c>
      <c r="D25" s="130">
        <v>539174531</v>
      </c>
      <c r="E25" s="122">
        <f t="shared" si="1"/>
        <v>97189105</v>
      </c>
      <c r="F25" s="127"/>
    </row>
    <row r="26" spans="1:6" s="28" customFormat="1" ht="27.75" customHeight="1" x14ac:dyDescent="0.25">
      <c r="A26" s="48"/>
      <c r="B26" s="93" t="s">
        <v>80</v>
      </c>
      <c r="C26" s="94">
        <v>854300000</v>
      </c>
      <c r="D26" s="94">
        <v>838451933</v>
      </c>
      <c r="E26" s="58">
        <f t="shared" si="1"/>
        <v>15848067</v>
      </c>
      <c r="F26" s="126"/>
    </row>
    <row r="27" spans="1:6" s="28" customFormat="1" ht="27.75" customHeight="1" x14ac:dyDescent="0.25">
      <c r="A27" s="48"/>
      <c r="B27" s="93" t="s">
        <v>81</v>
      </c>
      <c r="C27" s="94">
        <v>180090000</v>
      </c>
      <c r="D27" s="94">
        <v>160903995</v>
      </c>
      <c r="E27" s="58">
        <f t="shared" si="1"/>
        <v>19186005</v>
      </c>
      <c r="F27" s="126"/>
    </row>
    <row r="28" spans="1:6" s="28" customFormat="1" ht="27.75" customHeight="1" x14ac:dyDescent="0.25">
      <c r="A28" s="48"/>
      <c r="B28" s="93" t="s">
        <v>82</v>
      </c>
      <c r="C28" s="94">
        <v>43830000</v>
      </c>
      <c r="D28" s="94">
        <v>39819049</v>
      </c>
      <c r="E28" s="58">
        <f t="shared" si="1"/>
        <v>4010951</v>
      </c>
      <c r="F28" s="126"/>
    </row>
    <row r="29" spans="1:6" s="28" customFormat="1" ht="27.75" customHeight="1" x14ac:dyDescent="0.25">
      <c r="A29" s="48"/>
      <c r="B29" s="93" t="s">
        <v>83</v>
      </c>
      <c r="C29" s="94">
        <v>42727273</v>
      </c>
      <c r="D29" s="94">
        <v>38680630</v>
      </c>
      <c r="E29" s="58">
        <f t="shared" si="1"/>
        <v>4046643</v>
      </c>
      <c r="F29" s="126"/>
    </row>
    <row r="30" spans="1:6" s="28" customFormat="1" ht="27.75" customHeight="1" x14ac:dyDescent="0.25">
      <c r="A30" s="48"/>
      <c r="B30" s="93" t="s">
        <v>84</v>
      </c>
      <c r="C30" s="94">
        <v>22540000</v>
      </c>
      <c r="D30" s="94">
        <v>15449350</v>
      </c>
      <c r="E30" s="58">
        <f t="shared" si="1"/>
        <v>7090650</v>
      </c>
      <c r="F30" s="126"/>
    </row>
    <row r="31" spans="1:6" s="28" customFormat="1" ht="27.75" customHeight="1" x14ac:dyDescent="0.25">
      <c r="A31" s="48"/>
      <c r="B31" s="93" t="s">
        <v>85</v>
      </c>
      <c r="C31" s="94">
        <v>2818182</v>
      </c>
      <c r="D31" s="94">
        <v>1243728</v>
      </c>
      <c r="E31" s="58">
        <f t="shared" si="1"/>
        <v>1574454</v>
      </c>
      <c r="F31" s="126"/>
    </row>
    <row r="32" spans="1:6" s="116" customFormat="1" ht="27.75" customHeight="1" x14ac:dyDescent="0.25">
      <c r="A32" s="46"/>
      <c r="B32" s="120" t="s">
        <v>86</v>
      </c>
      <c r="C32" s="121">
        <v>790909091</v>
      </c>
      <c r="D32" s="121">
        <v>726212084</v>
      </c>
      <c r="E32" s="122">
        <f t="shared" si="1"/>
        <v>64697007</v>
      </c>
      <c r="F32" s="127"/>
    </row>
    <row r="33" spans="1:6" s="28" customFormat="1" ht="27.75" customHeight="1" x14ac:dyDescent="0.25">
      <c r="A33" s="48"/>
      <c r="B33" s="93" t="s">
        <v>87</v>
      </c>
      <c r="C33" s="94">
        <v>33097273</v>
      </c>
      <c r="D33" s="94">
        <v>32784988</v>
      </c>
      <c r="E33" s="58">
        <f t="shared" si="1"/>
        <v>312285</v>
      </c>
      <c r="F33" s="126"/>
    </row>
    <row r="34" spans="1:6" s="28" customFormat="1" ht="27.75" customHeight="1" x14ac:dyDescent="0.25">
      <c r="A34" s="48"/>
      <c r="B34" s="93" t="s">
        <v>88</v>
      </c>
      <c r="C34" s="94">
        <v>1992000000</v>
      </c>
      <c r="D34" s="94">
        <v>1980000000</v>
      </c>
      <c r="E34" s="58">
        <f t="shared" si="1"/>
        <v>12000000</v>
      </c>
      <c r="F34" s="126"/>
    </row>
    <row r="35" spans="1:6" s="28" customFormat="1" ht="27.75" customHeight="1" x14ac:dyDescent="0.25">
      <c r="A35" s="48"/>
      <c r="B35" s="93" t="s">
        <v>89</v>
      </c>
      <c r="C35" s="94">
        <v>137924545</v>
      </c>
      <c r="D35" s="94">
        <v>114790473</v>
      </c>
      <c r="E35" s="58">
        <f t="shared" si="1"/>
        <v>23134072</v>
      </c>
      <c r="F35" s="126"/>
    </row>
    <row r="36" spans="1:6" s="28" customFormat="1" ht="27.75" customHeight="1" x14ac:dyDescent="0.25">
      <c r="A36" s="48"/>
      <c r="B36" s="93" t="s">
        <v>90</v>
      </c>
      <c r="C36" s="94">
        <v>20400000</v>
      </c>
      <c r="D36" s="94">
        <v>12300000</v>
      </c>
      <c r="E36" s="58">
        <f t="shared" si="1"/>
        <v>8100000</v>
      </c>
      <c r="F36" s="126"/>
    </row>
    <row r="37" spans="1:6" s="28" customFormat="1" ht="27.75" customHeight="1" x14ac:dyDescent="0.25">
      <c r="A37" s="48"/>
      <c r="B37" s="93" t="s">
        <v>91</v>
      </c>
      <c r="C37" s="94">
        <v>113636364</v>
      </c>
      <c r="D37" s="94">
        <v>78027728</v>
      </c>
      <c r="E37" s="58">
        <f t="shared" si="1"/>
        <v>35608636</v>
      </c>
      <c r="F37" s="126"/>
    </row>
    <row r="38" spans="1:6" s="28" customFormat="1" ht="27.75" customHeight="1" x14ac:dyDescent="0.25">
      <c r="A38" s="48"/>
      <c r="B38" s="93" t="s">
        <v>92</v>
      </c>
      <c r="C38" s="94">
        <v>220213636</v>
      </c>
      <c r="D38" s="94">
        <v>129044958</v>
      </c>
      <c r="E38" s="58">
        <f t="shared" si="1"/>
        <v>91168678</v>
      </c>
      <c r="F38" s="126"/>
    </row>
    <row r="39" spans="1:6" s="28" customFormat="1" ht="27.75" customHeight="1" x14ac:dyDescent="0.25">
      <c r="A39" s="48"/>
      <c r="B39" s="93" t="s">
        <v>93</v>
      </c>
      <c r="C39" s="94">
        <v>30545455</v>
      </c>
      <c r="D39" s="94">
        <v>18300000</v>
      </c>
      <c r="E39" s="58">
        <f t="shared" si="1"/>
        <v>12245455</v>
      </c>
      <c r="F39" s="126"/>
    </row>
    <row r="40" spans="1:6" s="27" customFormat="1" ht="36" customHeight="1" x14ac:dyDescent="0.25">
      <c r="A40" s="46"/>
      <c r="B40" s="52"/>
      <c r="C40" s="60">
        <f>C11+C3</f>
        <v>10173716144</v>
      </c>
      <c r="D40" s="60">
        <f>D11+D3</f>
        <v>9173580226</v>
      </c>
      <c r="E40" s="60">
        <f>E11+E3</f>
        <v>1000135918</v>
      </c>
      <c r="F40" s="125"/>
    </row>
    <row r="41" spans="1:6" s="25" customFormat="1" ht="19.5" customHeight="1" x14ac:dyDescent="0.25">
      <c r="B41" s="139" t="s">
        <v>58</v>
      </c>
      <c r="C41" s="139"/>
      <c r="D41" s="61"/>
      <c r="E41" s="62"/>
      <c r="F41" s="128"/>
    </row>
    <row r="42" spans="1:6" s="25" customFormat="1" ht="19.5" customHeight="1" x14ac:dyDescent="0.25">
      <c r="B42" s="138" t="s">
        <v>13</v>
      </c>
      <c r="C42" s="138"/>
      <c r="D42" s="63"/>
      <c r="E42" s="62"/>
      <c r="F42" s="128"/>
    </row>
    <row r="43" spans="1:6" s="25" customFormat="1" ht="19.5" customHeight="1" x14ac:dyDescent="0.25">
      <c r="B43" s="6"/>
      <c r="C43" s="51"/>
      <c r="D43" s="51"/>
      <c r="E43" s="62"/>
      <c r="F43" s="128"/>
    </row>
    <row r="44" spans="1:6" s="25" customFormat="1" ht="19.5" customHeight="1" x14ac:dyDescent="0.25">
      <c r="B44" s="6"/>
      <c r="C44" s="51"/>
      <c r="D44" s="51"/>
      <c r="E44" s="62"/>
      <c r="F44" s="128"/>
    </row>
    <row r="45" spans="1:6" s="25" customFormat="1" ht="19.5" customHeight="1" x14ac:dyDescent="0.25">
      <c r="B45" s="6"/>
      <c r="C45" s="51"/>
      <c r="D45" s="51"/>
      <c r="E45" s="62"/>
      <c r="F45" s="128"/>
    </row>
    <row r="46" spans="1:6" s="25" customFormat="1" ht="19.5" customHeight="1" x14ac:dyDescent="0.25">
      <c r="B46" s="6"/>
      <c r="C46" s="51"/>
      <c r="D46" s="51"/>
      <c r="E46" s="62"/>
      <c r="F46" s="128"/>
    </row>
    <row r="47" spans="1:6" s="25" customFormat="1" ht="19.5" customHeight="1" x14ac:dyDescent="0.25">
      <c r="B47" s="6"/>
      <c r="C47" s="51"/>
      <c r="D47" s="51"/>
      <c r="E47" s="62"/>
      <c r="F47" s="128"/>
    </row>
    <row r="48" spans="1:6" s="25" customFormat="1" ht="19.5" customHeight="1" x14ac:dyDescent="0.25">
      <c r="B48" s="6"/>
      <c r="C48" s="51"/>
      <c r="D48" s="51"/>
      <c r="E48" s="62"/>
      <c r="F48" s="128"/>
    </row>
    <row r="49" spans="2:6" s="25" customFormat="1" ht="19.5" customHeight="1" x14ac:dyDescent="0.25">
      <c r="B49" s="138"/>
      <c r="C49" s="138"/>
      <c r="D49" s="63"/>
      <c r="E49" s="62"/>
      <c r="F49" s="128"/>
    </row>
    <row r="50" spans="2:6" s="25" customFormat="1" ht="19.5" customHeight="1" x14ac:dyDescent="0.25">
      <c r="C50" s="64"/>
      <c r="D50" s="65"/>
      <c r="E50" s="62"/>
      <c r="F50" s="128"/>
    </row>
    <row r="51" spans="2:6" s="25" customFormat="1" ht="19.5" customHeight="1" x14ac:dyDescent="0.25">
      <c r="C51" s="64"/>
      <c r="D51" s="65"/>
      <c r="E51" s="62"/>
      <c r="F51" s="128"/>
    </row>
    <row r="52" spans="2:6" s="25" customFormat="1" ht="19.5" customHeight="1" x14ac:dyDescent="0.25">
      <c r="C52" s="64"/>
      <c r="D52" s="65"/>
      <c r="E52" s="62"/>
      <c r="F52" s="128"/>
    </row>
    <row r="53" spans="2:6" s="25" customFormat="1" ht="19.5" customHeight="1" x14ac:dyDescent="0.25">
      <c r="C53" s="64"/>
      <c r="D53" s="65"/>
      <c r="E53" s="62"/>
      <c r="F53" s="128"/>
    </row>
    <row r="54" spans="2:6" s="25" customFormat="1" ht="19.5" customHeight="1" x14ac:dyDescent="0.25">
      <c r="C54" s="64"/>
      <c r="D54" s="65"/>
      <c r="E54" s="62"/>
      <c r="F54" s="128"/>
    </row>
    <row r="55" spans="2:6" ht="19.5" customHeight="1" x14ac:dyDescent="0.25"/>
    <row r="56" spans="2:6" ht="19.5" customHeight="1" x14ac:dyDescent="0.25"/>
    <row r="57" spans="2:6" ht="19.5" customHeight="1" x14ac:dyDescent="0.25"/>
    <row r="58" spans="2:6" ht="19.5" customHeight="1" x14ac:dyDescent="0.25"/>
    <row r="59" spans="2:6" ht="19.5" customHeight="1" x14ac:dyDescent="0.25"/>
    <row r="60" spans="2:6" ht="19.5" customHeight="1" x14ac:dyDescent="0.25"/>
    <row r="61" spans="2:6" ht="19.5" customHeight="1" x14ac:dyDescent="0.25"/>
    <row r="62" spans="2:6" ht="19.5" customHeight="1" x14ac:dyDescent="0.25"/>
    <row r="63" spans="2:6" ht="19.5" customHeight="1" x14ac:dyDescent="0.25"/>
    <row r="64" spans="2:6" ht="19.5" customHeight="1" x14ac:dyDescent="0.25"/>
    <row r="65" spans="6:6" s="24" customFormat="1" ht="19.5" customHeight="1" x14ac:dyDescent="0.25">
      <c r="F65" s="129"/>
    </row>
    <row r="66" spans="6:6" s="24" customFormat="1" ht="19.5" customHeight="1" x14ac:dyDescent="0.25">
      <c r="F66" s="129"/>
    </row>
    <row r="67" spans="6:6" s="24" customFormat="1" ht="19.5" customHeight="1" x14ac:dyDescent="0.25">
      <c r="F67" s="129"/>
    </row>
    <row r="68" spans="6:6" s="24" customFormat="1" ht="19.5" customHeight="1" x14ac:dyDescent="0.25">
      <c r="F68" s="129"/>
    </row>
    <row r="69" spans="6:6" s="24" customFormat="1" ht="19.5" customHeight="1" x14ac:dyDescent="0.25">
      <c r="F69" s="129"/>
    </row>
    <row r="70" spans="6:6" s="24" customFormat="1" ht="19.5" customHeight="1" x14ac:dyDescent="0.25">
      <c r="F70" s="129"/>
    </row>
    <row r="71" spans="6:6" s="24" customFormat="1" ht="19.5" customHeight="1" x14ac:dyDescent="0.25">
      <c r="F71" s="129"/>
    </row>
    <row r="72" spans="6:6" s="24" customFormat="1" ht="19.5" customHeight="1" x14ac:dyDescent="0.25">
      <c r="F72" s="129"/>
    </row>
    <row r="73" spans="6:6" s="24" customFormat="1" ht="19.5" customHeight="1" x14ac:dyDescent="0.25">
      <c r="F73" s="129"/>
    </row>
    <row r="74" spans="6:6" s="24" customFormat="1" ht="19.5" customHeight="1" x14ac:dyDescent="0.25">
      <c r="F74" s="129"/>
    </row>
    <row r="75" spans="6:6" s="24" customFormat="1" ht="19.5" customHeight="1" x14ac:dyDescent="0.25">
      <c r="F75" s="129"/>
    </row>
    <row r="76" spans="6:6" s="24" customFormat="1" ht="19.5" customHeight="1" x14ac:dyDescent="0.25">
      <c r="F76" s="129"/>
    </row>
    <row r="77" spans="6:6" s="24" customFormat="1" ht="19.5" customHeight="1" x14ac:dyDescent="0.25">
      <c r="F77" s="129"/>
    </row>
    <row r="78" spans="6:6" s="24" customFormat="1" ht="19.5" customHeight="1" x14ac:dyDescent="0.25">
      <c r="F78" s="129"/>
    </row>
    <row r="79" spans="6:6" s="24" customFormat="1" ht="19.5" customHeight="1" x14ac:dyDescent="0.25">
      <c r="F79" s="129"/>
    </row>
    <row r="80" spans="6:6" s="24" customFormat="1" ht="19.5" customHeight="1" x14ac:dyDescent="0.25">
      <c r="F80" s="129"/>
    </row>
    <row r="81" spans="6:6" s="24" customFormat="1" ht="19.5" customHeight="1" x14ac:dyDescent="0.25">
      <c r="F81" s="129"/>
    </row>
    <row r="82" spans="6:6" s="24" customFormat="1" ht="19.5" customHeight="1" x14ac:dyDescent="0.25">
      <c r="F82" s="129"/>
    </row>
    <row r="83" spans="6:6" s="24" customFormat="1" ht="19.5" customHeight="1" x14ac:dyDescent="0.25">
      <c r="F83" s="129"/>
    </row>
    <row r="84" spans="6:6" s="24" customFormat="1" ht="19.5" customHeight="1" x14ac:dyDescent="0.25">
      <c r="F84" s="129"/>
    </row>
    <row r="85" spans="6:6" s="24" customFormat="1" ht="19.5" customHeight="1" x14ac:dyDescent="0.25">
      <c r="F85" s="129"/>
    </row>
    <row r="86" spans="6:6" s="24" customFormat="1" ht="19.5" customHeight="1" x14ac:dyDescent="0.25">
      <c r="F86" s="129"/>
    </row>
    <row r="87" spans="6:6" s="24" customFormat="1" ht="19.5" customHeight="1" x14ac:dyDescent="0.25">
      <c r="F87" s="129"/>
    </row>
    <row r="88" spans="6:6" s="24" customFormat="1" ht="19.5" customHeight="1" x14ac:dyDescent="0.25">
      <c r="F88" s="129"/>
    </row>
    <row r="89" spans="6:6" s="24" customFormat="1" ht="19.5" customHeight="1" x14ac:dyDescent="0.25">
      <c r="F89" s="129"/>
    </row>
    <row r="90" spans="6:6" s="24" customFormat="1" ht="19.5" customHeight="1" x14ac:dyDescent="0.25">
      <c r="F90" s="129"/>
    </row>
    <row r="91" spans="6:6" s="24" customFormat="1" ht="19.5" customHeight="1" x14ac:dyDescent="0.25">
      <c r="F91" s="129"/>
    </row>
    <row r="92" spans="6:6" s="24" customFormat="1" ht="19.5" customHeight="1" x14ac:dyDescent="0.25">
      <c r="F92" s="129"/>
    </row>
    <row r="93" spans="6:6" s="24" customFormat="1" ht="19.5" customHeight="1" x14ac:dyDescent="0.25">
      <c r="F93" s="129"/>
    </row>
    <row r="94" spans="6:6" s="24" customFormat="1" ht="19.5" customHeight="1" x14ac:dyDescent="0.25">
      <c r="F94" s="129"/>
    </row>
    <row r="95" spans="6:6" s="24" customFormat="1" ht="19.5" customHeight="1" x14ac:dyDescent="0.25">
      <c r="F95" s="129"/>
    </row>
    <row r="96" spans="6:6" s="24" customFormat="1" ht="19.5" customHeight="1" x14ac:dyDescent="0.25">
      <c r="F96" s="129"/>
    </row>
    <row r="97" spans="6:6" s="24" customFormat="1" ht="19.5" customHeight="1" x14ac:dyDescent="0.25">
      <c r="F97" s="129"/>
    </row>
    <row r="98" spans="6:6" s="24" customFormat="1" ht="19.5" customHeight="1" x14ac:dyDescent="0.25">
      <c r="F98" s="129"/>
    </row>
    <row r="99" spans="6:6" s="24" customFormat="1" ht="19.5" customHeight="1" x14ac:dyDescent="0.25">
      <c r="F99" s="129"/>
    </row>
    <row r="100" spans="6:6" s="24" customFormat="1" ht="19.5" customHeight="1" x14ac:dyDescent="0.25">
      <c r="F100" s="129"/>
    </row>
    <row r="101" spans="6:6" s="24" customFormat="1" ht="19.5" customHeight="1" x14ac:dyDescent="0.25">
      <c r="F101" s="129"/>
    </row>
    <row r="102" spans="6:6" s="24" customFormat="1" ht="19.5" customHeight="1" x14ac:dyDescent="0.25">
      <c r="F102" s="129"/>
    </row>
    <row r="103" spans="6:6" s="24" customFormat="1" ht="19.5" customHeight="1" x14ac:dyDescent="0.25">
      <c r="F103" s="129"/>
    </row>
    <row r="104" spans="6:6" s="24" customFormat="1" ht="19.5" customHeight="1" x14ac:dyDescent="0.25">
      <c r="F104" s="129"/>
    </row>
    <row r="105" spans="6:6" s="24" customFormat="1" ht="19.5" customHeight="1" x14ac:dyDescent="0.25">
      <c r="F105" s="129"/>
    </row>
    <row r="106" spans="6:6" s="24" customFormat="1" ht="19.5" customHeight="1" x14ac:dyDescent="0.25">
      <c r="F106" s="129"/>
    </row>
    <row r="107" spans="6:6" s="24" customFormat="1" ht="19.5" customHeight="1" x14ac:dyDescent="0.25">
      <c r="F107" s="129"/>
    </row>
    <row r="108" spans="6:6" s="24" customFormat="1" ht="19.5" customHeight="1" x14ac:dyDescent="0.25">
      <c r="F108" s="129"/>
    </row>
    <row r="109" spans="6:6" s="24" customFormat="1" ht="19.5" customHeight="1" x14ac:dyDescent="0.25">
      <c r="F109" s="129"/>
    </row>
    <row r="110" spans="6:6" s="24" customFormat="1" ht="19.5" customHeight="1" x14ac:dyDescent="0.25">
      <c r="F110" s="129"/>
    </row>
    <row r="111" spans="6:6" s="24" customFormat="1" ht="19.5" customHeight="1" x14ac:dyDescent="0.25">
      <c r="F111" s="129"/>
    </row>
    <row r="112" spans="6:6" s="24" customFormat="1" ht="19.5" customHeight="1" x14ac:dyDescent="0.25">
      <c r="F112" s="129"/>
    </row>
    <row r="113" spans="6:6" s="24" customFormat="1" ht="19.5" customHeight="1" x14ac:dyDescent="0.25">
      <c r="F113" s="129"/>
    </row>
    <row r="114" spans="6:6" s="24" customFormat="1" ht="19.5" customHeight="1" x14ac:dyDescent="0.25">
      <c r="F114" s="129"/>
    </row>
    <row r="115" spans="6:6" s="24" customFormat="1" ht="19.5" customHeight="1" x14ac:dyDescent="0.25">
      <c r="F115" s="129"/>
    </row>
    <row r="116" spans="6:6" s="24" customFormat="1" ht="19.5" customHeight="1" x14ac:dyDescent="0.25">
      <c r="F116" s="129"/>
    </row>
    <row r="117" spans="6:6" s="24" customFormat="1" ht="19.5" customHeight="1" x14ac:dyDescent="0.25">
      <c r="F117" s="129"/>
    </row>
    <row r="118" spans="6:6" s="24" customFormat="1" ht="19.5" customHeight="1" x14ac:dyDescent="0.25">
      <c r="F118" s="129"/>
    </row>
    <row r="119" spans="6:6" s="24" customFormat="1" ht="19.5" customHeight="1" x14ac:dyDescent="0.25">
      <c r="F119" s="129"/>
    </row>
    <row r="120" spans="6:6" s="24" customFormat="1" ht="19.5" customHeight="1" x14ac:dyDescent="0.25">
      <c r="F120" s="129"/>
    </row>
    <row r="121" spans="6:6" s="24" customFormat="1" ht="19.5" customHeight="1" x14ac:dyDescent="0.25">
      <c r="F121" s="129"/>
    </row>
    <row r="122" spans="6:6" s="24" customFormat="1" ht="19.5" customHeight="1" x14ac:dyDescent="0.25">
      <c r="F122" s="129"/>
    </row>
    <row r="123" spans="6:6" s="24" customFormat="1" ht="19.5" customHeight="1" x14ac:dyDescent="0.25">
      <c r="F123" s="129"/>
    </row>
    <row r="124" spans="6:6" s="24" customFormat="1" ht="19.5" customHeight="1" x14ac:dyDescent="0.25">
      <c r="F124" s="129"/>
    </row>
    <row r="125" spans="6:6" s="24" customFormat="1" ht="19.5" customHeight="1" x14ac:dyDescent="0.25">
      <c r="F125" s="129"/>
    </row>
    <row r="126" spans="6:6" s="24" customFormat="1" ht="19.5" customHeight="1" x14ac:dyDescent="0.25">
      <c r="F126" s="129"/>
    </row>
    <row r="127" spans="6:6" s="24" customFormat="1" ht="19.5" customHeight="1" x14ac:dyDescent="0.25">
      <c r="F127" s="129"/>
    </row>
    <row r="128" spans="6:6" s="24" customFormat="1" ht="19.5" customHeight="1" x14ac:dyDescent="0.25">
      <c r="F128" s="129"/>
    </row>
    <row r="129" spans="6:6" s="24" customFormat="1" ht="19.5" customHeight="1" x14ac:dyDescent="0.25">
      <c r="F129" s="129"/>
    </row>
    <row r="130" spans="6:6" s="24" customFormat="1" ht="19.5" customHeight="1" x14ac:dyDescent="0.25">
      <c r="F130" s="129"/>
    </row>
    <row r="131" spans="6:6" s="24" customFormat="1" ht="19.5" customHeight="1" x14ac:dyDescent="0.25">
      <c r="F131" s="129"/>
    </row>
    <row r="132" spans="6:6" s="24" customFormat="1" ht="19.5" customHeight="1" x14ac:dyDescent="0.25">
      <c r="F132" s="129"/>
    </row>
    <row r="133" spans="6:6" s="24" customFormat="1" ht="19.5" customHeight="1" x14ac:dyDescent="0.25">
      <c r="F133" s="129"/>
    </row>
    <row r="134" spans="6:6" s="24" customFormat="1" ht="19.5" customHeight="1" x14ac:dyDescent="0.25">
      <c r="F134" s="129"/>
    </row>
    <row r="135" spans="6:6" s="24" customFormat="1" ht="19.5" customHeight="1" x14ac:dyDescent="0.25">
      <c r="F135" s="129"/>
    </row>
    <row r="136" spans="6:6" s="24" customFormat="1" ht="19.5" customHeight="1" x14ac:dyDescent="0.25">
      <c r="F136" s="129"/>
    </row>
    <row r="137" spans="6:6" s="24" customFormat="1" ht="19.5" customHeight="1" x14ac:dyDescent="0.25">
      <c r="F137" s="129"/>
    </row>
    <row r="138" spans="6:6" s="24" customFormat="1" ht="19.5" customHeight="1" x14ac:dyDescent="0.25">
      <c r="F138" s="129"/>
    </row>
    <row r="139" spans="6:6" s="24" customFormat="1" ht="19.5" customHeight="1" x14ac:dyDescent="0.25">
      <c r="F139" s="129"/>
    </row>
    <row r="140" spans="6:6" s="24" customFormat="1" ht="19.5" customHeight="1" x14ac:dyDescent="0.25">
      <c r="F140" s="129"/>
    </row>
    <row r="141" spans="6:6" s="24" customFormat="1" ht="19.5" customHeight="1" x14ac:dyDescent="0.25">
      <c r="F141" s="129"/>
    </row>
    <row r="142" spans="6:6" s="24" customFormat="1" ht="19.5" customHeight="1" x14ac:dyDescent="0.25">
      <c r="F142" s="129"/>
    </row>
    <row r="143" spans="6:6" s="24" customFormat="1" ht="19.5" customHeight="1" x14ac:dyDescent="0.25">
      <c r="F143" s="129"/>
    </row>
    <row r="144" spans="6:6" s="24" customFormat="1" ht="19.5" customHeight="1" x14ac:dyDescent="0.25">
      <c r="F144" s="129"/>
    </row>
    <row r="145" spans="6:6" s="24" customFormat="1" ht="19.5" customHeight="1" x14ac:dyDescent="0.25">
      <c r="F145" s="129"/>
    </row>
    <row r="146" spans="6:6" s="24" customFormat="1" ht="19.5" customHeight="1" x14ac:dyDescent="0.25">
      <c r="F146" s="129"/>
    </row>
    <row r="147" spans="6:6" s="24" customFormat="1" ht="19.5" customHeight="1" x14ac:dyDescent="0.25">
      <c r="F147" s="129"/>
    </row>
    <row r="148" spans="6:6" s="24" customFormat="1" ht="19.5" customHeight="1" x14ac:dyDescent="0.25">
      <c r="F148" s="129"/>
    </row>
    <row r="149" spans="6:6" s="24" customFormat="1" ht="19.5" customHeight="1" x14ac:dyDescent="0.25">
      <c r="F149" s="129"/>
    </row>
    <row r="150" spans="6:6" s="24" customFormat="1" ht="19.5" customHeight="1" x14ac:dyDescent="0.25">
      <c r="F150" s="129"/>
    </row>
    <row r="151" spans="6:6" s="24" customFormat="1" ht="19.5" customHeight="1" x14ac:dyDescent="0.25">
      <c r="F151" s="129"/>
    </row>
    <row r="152" spans="6:6" s="24" customFormat="1" ht="19.5" customHeight="1" x14ac:dyDescent="0.25">
      <c r="F152" s="129"/>
    </row>
    <row r="153" spans="6:6" s="24" customFormat="1" ht="19.5" customHeight="1" x14ac:dyDescent="0.25">
      <c r="F153" s="129"/>
    </row>
    <row r="154" spans="6:6" s="24" customFormat="1" ht="19.5" customHeight="1" x14ac:dyDescent="0.25">
      <c r="F154" s="129"/>
    </row>
    <row r="155" spans="6:6" s="24" customFormat="1" ht="19.5" customHeight="1" x14ac:dyDescent="0.25">
      <c r="F155" s="129"/>
    </row>
    <row r="156" spans="6:6" s="24" customFormat="1" ht="19.5" customHeight="1" x14ac:dyDescent="0.25">
      <c r="F156" s="129"/>
    </row>
    <row r="157" spans="6:6" s="24" customFormat="1" ht="19.5" customHeight="1" x14ac:dyDescent="0.25">
      <c r="F157" s="129"/>
    </row>
    <row r="158" spans="6:6" s="24" customFormat="1" ht="19.5" customHeight="1" x14ac:dyDescent="0.25">
      <c r="F158" s="129"/>
    </row>
    <row r="159" spans="6:6" s="24" customFormat="1" ht="19.5" customHeight="1" x14ac:dyDescent="0.25">
      <c r="F159" s="129"/>
    </row>
    <row r="160" spans="6:6" s="24" customFormat="1" ht="19.5" customHeight="1" x14ac:dyDescent="0.25">
      <c r="F160" s="129"/>
    </row>
    <row r="161" spans="6:6" s="24" customFormat="1" ht="19.5" customHeight="1" x14ac:dyDescent="0.25">
      <c r="F161" s="129"/>
    </row>
    <row r="162" spans="6:6" s="24" customFormat="1" ht="19.5" customHeight="1" x14ac:dyDescent="0.25">
      <c r="F162" s="129"/>
    </row>
    <row r="163" spans="6:6" s="24" customFormat="1" ht="19.5" customHeight="1" x14ac:dyDescent="0.25">
      <c r="F163" s="129"/>
    </row>
    <row r="164" spans="6:6" s="24" customFormat="1" ht="19.5" customHeight="1" x14ac:dyDescent="0.25">
      <c r="F164" s="129"/>
    </row>
    <row r="165" spans="6:6" s="24" customFormat="1" ht="19.5" customHeight="1" x14ac:dyDescent="0.25">
      <c r="F165" s="129"/>
    </row>
    <row r="166" spans="6:6" s="24" customFormat="1" ht="19.5" customHeight="1" x14ac:dyDescent="0.25">
      <c r="F166" s="129"/>
    </row>
    <row r="167" spans="6:6" s="24" customFormat="1" ht="19.5" customHeight="1" x14ac:dyDescent="0.25">
      <c r="F167" s="129"/>
    </row>
    <row r="168" spans="6:6" s="24" customFormat="1" ht="19.5" customHeight="1" x14ac:dyDescent="0.25">
      <c r="F168" s="129"/>
    </row>
    <row r="169" spans="6:6" s="24" customFormat="1" ht="19.5" customHeight="1" x14ac:dyDescent="0.25">
      <c r="F169" s="129"/>
    </row>
    <row r="170" spans="6:6" s="24" customFormat="1" ht="19.5" customHeight="1" x14ac:dyDescent="0.25">
      <c r="F170" s="129"/>
    </row>
    <row r="171" spans="6:6" s="24" customFormat="1" ht="19.5" customHeight="1" x14ac:dyDescent="0.25">
      <c r="F171" s="129"/>
    </row>
    <row r="172" spans="6:6" s="24" customFormat="1" ht="19.5" customHeight="1" x14ac:dyDescent="0.25">
      <c r="F172" s="129"/>
    </row>
    <row r="173" spans="6:6" s="24" customFormat="1" ht="19.5" customHeight="1" x14ac:dyDescent="0.25">
      <c r="F173" s="129"/>
    </row>
    <row r="174" spans="6:6" s="24" customFormat="1" ht="19.5" customHeight="1" x14ac:dyDescent="0.25">
      <c r="F174" s="129"/>
    </row>
    <row r="175" spans="6:6" s="24" customFormat="1" ht="19.5" customHeight="1" x14ac:dyDescent="0.25">
      <c r="F175" s="129"/>
    </row>
    <row r="176" spans="6:6" s="24" customFormat="1" ht="19.5" customHeight="1" x14ac:dyDescent="0.25">
      <c r="F176" s="129"/>
    </row>
    <row r="177" spans="6:6" s="24" customFormat="1" ht="19.5" customHeight="1" x14ac:dyDescent="0.25">
      <c r="F177" s="129"/>
    </row>
    <row r="178" spans="6:6" s="24" customFormat="1" ht="19.5" customHeight="1" x14ac:dyDescent="0.25">
      <c r="F178" s="129"/>
    </row>
    <row r="179" spans="6:6" s="24" customFormat="1" ht="19.5" customHeight="1" x14ac:dyDescent="0.25">
      <c r="F179" s="129"/>
    </row>
    <row r="180" spans="6:6" s="24" customFormat="1" ht="19.5" customHeight="1" x14ac:dyDescent="0.25">
      <c r="F180" s="129"/>
    </row>
    <row r="181" spans="6:6" s="24" customFormat="1" ht="19.5" customHeight="1" x14ac:dyDescent="0.25">
      <c r="F181" s="129"/>
    </row>
    <row r="182" spans="6:6" s="24" customFormat="1" ht="19.5" customHeight="1" x14ac:dyDescent="0.25">
      <c r="F182" s="129"/>
    </row>
    <row r="183" spans="6:6" s="24" customFormat="1" ht="19.5" customHeight="1" x14ac:dyDescent="0.25">
      <c r="F183" s="129"/>
    </row>
    <row r="184" spans="6:6" s="24" customFormat="1" ht="19.5" customHeight="1" x14ac:dyDescent="0.25">
      <c r="F184" s="129"/>
    </row>
    <row r="185" spans="6:6" s="24" customFormat="1" ht="19.5" customHeight="1" x14ac:dyDescent="0.25">
      <c r="F185" s="129"/>
    </row>
    <row r="186" spans="6:6" s="24" customFormat="1" ht="19.5" customHeight="1" x14ac:dyDescent="0.25">
      <c r="F186" s="129"/>
    </row>
    <row r="187" spans="6:6" s="24" customFormat="1" ht="19.5" customHeight="1" x14ac:dyDescent="0.25">
      <c r="F187" s="129"/>
    </row>
    <row r="188" spans="6:6" s="24" customFormat="1" ht="19.5" customHeight="1" x14ac:dyDescent="0.25">
      <c r="F188" s="129"/>
    </row>
    <row r="189" spans="6:6" s="24" customFormat="1" ht="19.5" customHeight="1" x14ac:dyDescent="0.25">
      <c r="F189" s="129"/>
    </row>
    <row r="190" spans="6:6" s="24" customFormat="1" ht="19.5" customHeight="1" x14ac:dyDescent="0.25">
      <c r="F190" s="129"/>
    </row>
    <row r="191" spans="6:6" s="24" customFormat="1" ht="19.5" customHeight="1" x14ac:dyDescent="0.25">
      <c r="F191" s="129"/>
    </row>
    <row r="192" spans="6:6" s="24" customFormat="1" ht="19.5" customHeight="1" x14ac:dyDescent="0.25">
      <c r="F192" s="129"/>
    </row>
    <row r="193" spans="6:6" s="24" customFormat="1" ht="19.5" customHeight="1" x14ac:dyDescent="0.25">
      <c r="F193" s="129"/>
    </row>
    <row r="194" spans="6:6" s="24" customFormat="1" ht="19.5" customHeight="1" x14ac:dyDescent="0.25">
      <c r="F194" s="129"/>
    </row>
    <row r="195" spans="6:6" s="24" customFormat="1" ht="19.5" customHeight="1" x14ac:dyDescent="0.25">
      <c r="F195" s="129"/>
    </row>
    <row r="196" spans="6:6" s="24" customFormat="1" ht="19.5" customHeight="1" x14ac:dyDescent="0.25">
      <c r="F196" s="129"/>
    </row>
    <row r="197" spans="6:6" s="24" customFormat="1" ht="19.5" customHeight="1" x14ac:dyDescent="0.25">
      <c r="F197" s="129"/>
    </row>
    <row r="198" spans="6:6" s="24" customFormat="1" ht="19.5" customHeight="1" x14ac:dyDescent="0.25">
      <c r="F198" s="129"/>
    </row>
    <row r="199" spans="6:6" s="24" customFormat="1" ht="19.5" customHeight="1" x14ac:dyDescent="0.25">
      <c r="F199" s="129"/>
    </row>
    <row r="200" spans="6:6" s="24" customFormat="1" ht="19.5" customHeight="1" x14ac:dyDescent="0.25">
      <c r="F200" s="129"/>
    </row>
    <row r="201" spans="6:6" s="24" customFormat="1" ht="19.5" customHeight="1" x14ac:dyDescent="0.25">
      <c r="F201" s="129"/>
    </row>
    <row r="202" spans="6:6" s="24" customFormat="1" ht="19.5" customHeight="1" x14ac:dyDescent="0.25">
      <c r="F202" s="129"/>
    </row>
    <row r="203" spans="6:6" s="24" customFormat="1" ht="19.5" customHeight="1" x14ac:dyDescent="0.25">
      <c r="F203" s="129"/>
    </row>
    <row r="204" spans="6:6" s="24" customFormat="1" ht="19.5" customHeight="1" x14ac:dyDescent="0.25">
      <c r="F204" s="129"/>
    </row>
    <row r="205" spans="6:6" s="24" customFormat="1" ht="19.5" customHeight="1" x14ac:dyDescent="0.25">
      <c r="F205" s="129"/>
    </row>
    <row r="206" spans="6:6" s="24" customFormat="1" ht="19.5" customHeight="1" x14ac:dyDescent="0.25">
      <c r="F206" s="129"/>
    </row>
    <row r="207" spans="6:6" s="24" customFormat="1" ht="19.5" customHeight="1" x14ac:dyDescent="0.25">
      <c r="F207" s="129"/>
    </row>
    <row r="208" spans="6:6" s="24" customFormat="1" ht="19.5" customHeight="1" x14ac:dyDescent="0.25">
      <c r="F208" s="129"/>
    </row>
    <row r="209" spans="6:6" s="24" customFormat="1" ht="19.5" customHeight="1" x14ac:dyDescent="0.25">
      <c r="F209" s="129"/>
    </row>
    <row r="210" spans="6:6" s="24" customFormat="1" ht="19.5" customHeight="1" x14ac:dyDescent="0.25">
      <c r="F210" s="129"/>
    </row>
  </sheetData>
  <mergeCells count="4">
    <mergeCell ref="A1:E1"/>
    <mergeCell ref="B41:C41"/>
    <mergeCell ref="B42:C42"/>
    <mergeCell ref="B49:C4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abSelected="1" topLeftCell="D4" workbookViewId="0">
      <selection activeCell="H11" sqref="H11"/>
    </sheetView>
  </sheetViews>
  <sheetFormatPr defaultRowHeight="16.5" x14ac:dyDescent="0.25"/>
  <cols>
    <col min="1" max="1" width="39.85546875" style="4" customWidth="1"/>
    <col min="2" max="2" width="9.85546875" style="5" customWidth="1"/>
    <col min="3" max="3" width="19.42578125" style="6" customWidth="1"/>
    <col min="4" max="4" width="19.28515625" style="6" customWidth="1"/>
    <col min="5" max="7" width="16" style="6" customWidth="1"/>
    <col min="8" max="8" width="20.7109375" style="4" customWidth="1"/>
    <col min="9" max="9" width="14.5703125" style="4" customWidth="1"/>
    <col min="10" max="10" width="16" style="4" customWidth="1"/>
    <col min="11" max="11" width="6.85546875" style="5" customWidth="1"/>
    <col min="12" max="12" width="15.5703125" style="6" customWidth="1"/>
    <col min="13" max="13" width="14.85546875" style="4" customWidth="1"/>
    <col min="14" max="14" width="16" style="4" customWidth="1"/>
    <col min="15" max="15" width="14.5703125" style="4" bestFit="1" customWidth="1"/>
    <col min="16" max="16" width="15.85546875" style="4" bestFit="1" customWidth="1"/>
    <col min="17" max="258" width="9.140625" style="4"/>
    <col min="259" max="259" width="28.85546875" style="4" customWidth="1"/>
    <col min="260" max="260" width="11" style="4" customWidth="1"/>
    <col min="261" max="261" width="18.7109375" style="4" customWidth="1"/>
    <col min="262" max="262" width="20.85546875" style="4" customWidth="1"/>
    <col min="263" max="263" width="0" style="4" hidden="1" customWidth="1"/>
    <col min="264" max="264" width="17" style="4" customWidth="1"/>
    <col min="265" max="265" width="15.7109375" style="4" customWidth="1"/>
    <col min="266" max="266" width="6.85546875" style="4" customWidth="1"/>
    <col min="267" max="268" width="15.28515625" style="4" customWidth="1"/>
    <col min="269" max="269" width="18.42578125" style="4" customWidth="1"/>
    <col min="270" max="270" width="0" style="4" hidden="1" customWidth="1"/>
    <col min="271" max="514" width="9.140625" style="4"/>
    <col min="515" max="515" width="28.85546875" style="4" customWidth="1"/>
    <col min="516" max="516" width="11" style="4" customWidth="1"/>
    <col min="517" max="517" width="18.7109375" style="4" customWidth="1"/>
    <col min="518" max="518" width="20.85546875" style="4" customWidth="1"/>
    <col min="519" max="519" width="0" style="4" hidden="1" customWidth="1"/>
    <col min="520" max="520" width="17" style="4" customWidth="1"/>
    <col min="521" max="521" width="15.7109375" style="4" customWidth="1"/>
    <col min="522" max="522" width="6.85546875" style="4" customWidth="1"/>
    <col min="523" max="524" width="15.28515625" style="4" customWidth="1"/>
    <col min="525" max="525" width="18.42578125" style="4" customWidth="1"/>
    <col min="526" max="526" width="0" style="4" hidden="1" customWidth="1"/>
    <col min="527" max="770" width="9.140625" style="4"/>
    <col min="771" max="771" width="28.85546875" style="4" customWidth="1"/>
    <col min="772" max="772" width="11" style="4" customWidth="1"/>
    <col min="773" max="773" width="18.7109375" style="4" customWidth="1"/>
    <col min="774" max="774" width="20.85546875" style="4" customWidth="1"/>
    <col min="775" max="775" width="0" style="4" hidden="1" customWidth="1"/>
    <col min="776" max="776" width="17" style="4" customWidth="1"/>
    <col min="777" max="777" width="15.7109375" style="4" customWidth="1"/>
    <col min="778" max="778" width="6.85546875" style="4" customWidth="1"/>
    <col min="779" max="780" width="15.28515625" style="4" customWidth="1"/>
    <col min="781" max="781" width="18.42578125" style="4" customWidth="1"/>
    <col min="782" max="782" width="0" style="4" hidden="1" customWidth="1"/>
    <col min="783" max="1026" width="9.140625" style="4"/>
    <col min="1027" max="1027" width="28.85546875" style="4" customWidth="1"/>
    <col min="1028" max="1028" width="11" style="4" customWidth="1"/>
    <col min="1029" max="1029" width="18.7109375" style="4" customWidth="1"/>
    <col min="1030" max="1030" width="20.85546875" style="4" customWidth="1"/>
    <col min="1031" max="1031" width="0" style="4" hidden="1" customWidth="1"/>
    <col min="1032" max="1032" width="17" style="4" customWidth="1"/>
    <col min="1033" max="1033" width="15.7109375" style="4" customWidth="1"/>
    <col min="1034" max="1034" width="6.85546875" style="4" customWidth="1"/>
    <col min="1035" max="1036" width="15.28515625" style="4" customWidth="1"/>
    <col min="1037" max="1037" width="18.42578125" style="4" customWidth="1"/>
    <col min="1038" max="1038" width="0" style="4" hidden="1" customWidth="1"/>
    <col min="1039" max="1282" width="9.140625" style="4"/>
    <col min="1283" max="1283" width="28.85546875" style="4" customWidth="1"/>
    <col min="1284" max="1284" width="11" style="4" customWidth="1"/>
    <col min="1285" max="1285" width="18.7109375" style="4" customWidth="1"/>
    <col min="1286" max="1286" width="20.85546875" style="4" customWidth="1"/>
    <col min="1287" max="1287" width="0" style="4" hidden="1" customWidth="1"/>
    <col min="1288" max="1288" width="17" style="4" customWidth="1"/>
    <col min="1289" max="1289" width="15.7109375" style="4" customWidth="1"/>
    <col min="1290" max="1290" width="6.85546875" style="4" customWidth="1"/>
    <col min="1291" max="1292" width="15.28515625" style="4" customWidth="1"/>
    <col min="1293" max="1293" width="18.42578125" style="4" customWidth="1"/>
    <col min="1294" max="1294" width="0" style="4" hidden="1" customWidth="1"/>
    <col min="1295" max="1538" width="9.140625" style="4"/>
    <col min="1539" max="1539" width="28.85546875" style="4" customWidth="1"/>
    <col min="1540" max="1540" width="11" style="4" customWidth="1"/>
    <col min="1541" max="1541" width="18.7109375" style="4" customWidth="1"/>
    <col min="1542" max="1542" width="20.85546875" style="4" customWidth="1"/>
    <col min="1543" max="1543" width="0" style="4" hidden="1" customWidth="1"/>
    <col min="1544" max="1544" width="17" style="4" customWidth="1"/>
    <col min="1545" max="1545" width="15.7109375" style="4" customWidth="1"/>
    <col min="1546" max="1546" width="6.85546875" style="4" customWidth="1"/>
    <col min="1547" max="1548" width="15.28515625" style="4" customWidth="1"/>
    <col min="1549" max="1549" width="18.42578125" style="4" customWidth="1"/>
    <col min="1550" max="1550" width="0" style="4" hidden="1" customWidth="1"/>
    <col min="1551" max="1794" width="9.140625" style="4"/>
    <col min="1795" max="1795" width="28.85546875" style="4" customWidth="1"/>
    <col min="1796" max="1796" width="11" style="4" customWidth="1"/>
    <col min="1797" max="1797" width="18.7109375" style="4" customWidth="1"/>
    <col min="1798" max="1798" width="20.85546875" style="4" customWidth="1"/>
    <col min="1799" max="1799" width="0" style="4" hidden="1" customWidth="1"/>
    <col min="1800" max="1800" width="17" style="4" customWidth="1"/>
    <col min="1801" max="1801" width="15.7109375" style="4" customWidth="1"/>
    <col min="1802" max="1802" width="6.85546875" style="4" customWidth="1"/>
    <col min="1803" max="1804" width="15.28515625" style="4" customWidth="1"/>
    <col min="1805" max="1805" width="18.42578125" style="4" customWidth="1"/>
    <col min="1806" max="1806" width="0" style="4" hidden="1" customWidth="1"/>
    <col min="1807" max="2050" width="9.140625" style="4"/>
    <col min="2051" max="2051" width="28.85546875" style="4" customWidth="1"/>
    <col min="2052" max="2052" width="11" style="4" customWidth="1"/>
    <col min="2053" max="2053" width="18.7109375" style="4" customWidth="1"/>
    <col min="2054" max="2054" width="20.85546875" style="4" customWidth="1"/>
    <col min="2055" max="2055" width="0" style="4" hidden="1" customWidth="1"/>
    <col min="2056" max="2056" width="17" style="4" customWidth="1"/>
    <col min="2057" max="2057" width="15.7109375" style="4" customWidth="1"/>
    <col min="2058" max="2058" width="6.85546875" style="4" customWidth="1"/>
    <col min="2059" max="2060" width="15.28515625" style="4" customWidth="1"/>
    <col min="2061" max="2061" width="18.42578125" style="4" customWidth="1"/>
    <col min="2062" max="2062" width="0" style="4" hidden="1" customWidth="1"/>
    <col min="2063" max="2306" width="9.140625" style="4"/>
    <col min="2307" max="2307" width="28.85546875" style="4" customWidth="1"/>
    <col min="2308" max="2308" width="11" style="4" customWidth="1"/>
    <col min="2309" max="2309" width="18.7109375" style="4" customWidth="1"/>
    <col min="2310" max="2310" width="20.85546875" style="4" customWidth="1"/>
    <col min="2311" max="2311" width="0" style="4" hidden="1" customWidth="1"/>
    <col min="2312" max="2312" width="17" style="4" customWidth="1"/>
    <col min="2313" max="2313" width="15.7109375" style="4" customWidth="1"/>
    <col min="2314" max="2314" width="6.85546875" style="4" customWidth="1"/>
    <col min="2315" max="2316" width="15.28515625" style="4" customWidth="1"/>
    <col min="2317" max="2317" width="18.42578125" style="4" customWidth="1"/>
    <col min="2318" max="2318" width="0" style="4" hidden="1" customWidth="1"/>
    <col min="2319" max="2562" width="9.140625" style="4"/>
    <col min="2563" max="2563" width="28.85546875" style="4" customWidth="1"/>
    <col min="2564" max="2564" width="11" style="4" customWidth="1"/>
    <col min="2565" max="2565" width="18.7109375" style="4" customWidth="1"/>
    <col min="2566" max="2566" width="20.85546875" style="4" customWidth="1"/>
    <col min="2567" max="2567" width="0" style="4" hidden="1" customWidth="1"/>
    <col min="2568" max="2568" width="17" style="4" customWidth="1"/>
    <col min="2569" max="2569" width="15.7109375" style="4" customWidth="1"/>
    <col min="2570" max="2570" width="6.85546875" style="4" customWidth="1"/>
    <col min="2571" max="2572" width="15.28515625" style="4" customWidth="1"/>
    <col min="2573" max="2573" width="18.42578125" style="4" customWidth="1"/>
    <col min="2574" max="2574" width="0" style="4" hidden="1" customWidth="1"/>
    <col min="2575" max="2818" width="9.140625" style="4"/>
    <col min="2819" max="2819" width="28.85546875" style="4" customWidth="1"/>
    <col min="2820" max="2820" width="11" style="4" customWidth="1"/>
    <col min="2821" max="2821" width="18.7109375" style="4" customWidth="1"/>
    <col min="2822" max="2822" width="20.85546875" style="4" customWidth="1"/>
    <col min="2823" max="2823" width="0" style="4" hidden="1" customWidth="1"/>
    <col min="2824" max="2824" width="17" style="4" customWidth="1"/>
    <col min="2825" max="2825" width="15.7109375" style="4" customWidth="1"/>
    <col min="2826" max="2826" width="6.85546875" style="4" customWidth="1"/>
    <col min="2827" max="2828" width="15.28515625" style="4" customWidth="1"/>
    <col min="2829" max="2829" width="18.42578125" style="4" customWidth="1"/>
    <col min="2830" max="2830" width="0" style="4" hidden="1" customWidth="1"/>
    <col min="2831" max="3074" width="9.140625" style="4"/>
    <col min="3075" max="3075" width="28.85546875" style="4" customWidth="1"/>
    <col min="3076" max="3076" width="11" style="4" customWidth="1"/>
    <col min="3077" max="3077" width="18.7109375" style="4" customWidth="1"/>
    <col min="3078" max="3078" width="20.85546875" style="4" customWidth="1"/>
    <col min="3079" max="3079" width="0" style="4" hidden="1" customWidth="1"/>
    <col min="3080" max="3080" width="17" style="4" customWidth="1"/>
    <col min="3081" max="3081" width="15.7109375" style="4" customWidth="1"/>
    <col min="3082" max="3082" width="6.85546875" style="4" customWidth="1"/>
    <col min="3083" max="3084" width="15.28515625" style="4" customWidth="1"/>
    <col min="3085" max="3085" width="18.42578125" style="4" customWidth="1"/>
    <col min="3086" max="3086" width="0" style="4" hidden="1" customWidth="1"/>
    <col min="3087" max="3330" width="9.140625" style="4"/>
    <col min="3331" max="3331" width="28.85546875" style="4" customWidth="1"/>
    <col min="3332" max="3332" width="11" style="4" customWidth="1"/>
    <col min="3333" max="3333" width="18.7109375" style="4" customWidth="1"/>
    <col min="3334" max="3334" width="20.85546875" style="4" customWidth="1"/>
    <col min="3335" max="3335" width="0" style="4" hidden="1" customWidth="1"/>
    <col min="3336" max="3336" width="17" style="4" customWidth="1"/>
    <col min="3337" max="3337" width="15.7109375" style="4" customWidth="1"/>
    <col min="3338" max="3338" width="6.85546875" style="4" customWidth="1"/>
    <col min="3339" max="3340" width="15.28515625" style="4" customWidth="1"/>
    <col min="3341" max="3341" width="18.42578125" style="4" customWidth="1"/>
    <col min="3342" max="3342" width="0" style="4" hidden="1" customWidth="1"/>
    <col min="3343" max="3586" width="9.140625" style="4"/>
    <col min="3587" max="3587" width="28.85546875" style="4" customWidth="1"/>
    <col min="3588" max="3588" width="11" style="4" customWidth="1"/>
    <col min="3589" max="3589" width="18.7109375" style="4" customWidth="1"/>
    <col min="3590" max="3590" width="20.85546875" style="4" customWidth="1"/>
    <col min="3591" max="3591" width="0" style="4" hidden="1" customWidth="1"/>
    <col min="3592" max="3592" width="17" style="4" customWidth="1"/>
    <col min="3593" max="3593" width="15.7109375" style="4" customWidth="1"/>
    <col min="3594" max="3594" width="6.85546875" style="4" customWidth="1"/>
    <col min="3595" max="3596" width="15.28515625" style="4" customWidth="1"/>
    <col min="3597" max="3597" width="18.42578125" style="4" customWidth="1"/>
    <col min="3598" max="3598" width="0" style="4" hidden="1" customWidth="1"/>
    <col min="3599" max="3842" width="9.140625" style="4"/>
    <col min="3843" max="3843" width="28.85546875" style="4" customWidth="1"/>
    <col min="3844" max="3844" width="11" style="4" customWidth="1"/>
    <col min="3845" max="3845" width="18.7109375" style="4" customWidth="1"/>
    <col min="3846" max="3846" width="20.85546875" style="4" customWidth="1"/>
    <col min="3847" max="3847" width="0" style="4" hidden="1" customWidth="1"/>
    <col min="3848" max="3848" width="17" style="4" customWidth="1"/>
    <col min="3849" max="3849" width="15.7109375" style="4" customWidth="1"/>
    <col min="3850" max="3850" width="6.85546875" style="4" customWidth="1"/>
    <col min="3851" max="3852" width="15.28515625" style="4" customWidth="1"/>
    <col min="3853" max="3853" width="18.42578125" style="4" customWidth="1"/>
    <col min="3854" max="3854" width="0" style="4" hidden="1" customWidth="1"/>
    <col min="3855" max="4098" width="9.140625" style="4"/>
    <col min="4099" max="4099" width="28.85546875" style="4" customWidth="1"/>
    <col min="4100" max="4100" width="11" style="4" customWidth="1"/>
    <col min="4101" max="4101" width="18.7109375" style="4" customWidth="1"/>
    <col min="4102" max="4102" width="20.85546875" style="4" customWidth="1"/>
    <col min="4103" max="4103" width="0" style="4" hidden="1" customWidth="1"/>
    <col min="4104" max="4104" width="17" style="4" customWidth="1"/>
    <col min="4105" max="4105" width="15.7109375" style="4" customWidth="1"/>
    <col min="4106" max="4106" width="6.85546875" style="4" customWidth="1"/>
    <col min="4107" max="4108" width="15.28515625" style="4" customWidth="1"/>
    <col min="4109" max="4109" width="18.42578125" style="4" customWidth="1"/>
    <col min="4110" max="4110" width="0" style="4" hidden="1" customWidth="1"/>
    <col min="4111" max="4354" width="9.140625" style="4"/>
    <col min="4355" max="4355" width="28.85546875" style="4" customWidth="1"/>
    <col min="4356" max="4356" width="11" style="4" customWidth="1"/>
    <col min="4357" max="4357" width="18.7109375" style="4" customWidth="1"/>
    <col min="4358" max="4358" width="20.85546875" style="4" customWidth="1"/>
    <col min="4359" max="4359" width="0" style="4" hidden="1" customWidth="1"/>
    <col min="4360" max="4360" width="17" style="4" customWidth="1"/>
    <col min="4361" max="4361" width="15.7109375" style="4" customWidth="1"/>
    <col min="4362" max="4362" width="6.85546875" style="4" customWidth="1"/>
    <col min="4363" max="4364" width="15.28515625" style="4" customWidth="1"/>
    <col min="4365" max="4365" width="18.42578125" style="4" customWidth="1"/>
    <col min="4366" max="4366" width="0" style="4" hidden="1" customWidth="1"/>
    <col min="4367" max="4610" width="9.140625" style="4"/>
    <col min="4611" max="4611" width="28.85546875" style="4" customWidth="1"/>
    <col min="4612" max="4612" width="11" style="4" customWidth="1"/>
    <col min="4613" max="4613" width="18.7109375" style="4" customWidth="1"/>
    <col min="4614" max="4614" width="20.85546875" style="4" customWidth="1"/>
    <col min="4615" max="4615" width="0" style="4" hidden="1" customWidth="1"/>
    <col min="4616" max="4616" width="17" style="4" customWidth="1"/>
    <col min="4617" max="4617" width="15.7109375" style="4" customWidth="1"/>
    <col min="4618" max="4618" width="6.85546875" style="4" customWidth="1"/>
    <col min="4619" max="4620" width="15.28515625" style="4" customWidth="1"/>
    <col min="4621" max="4621" width="18.42578125" style="4" customWidth="1"/>
    <col min="4622" max="4622" width="0" style="4" hidden="1" customWidth="1"/>
    <col min="4623" max="4866" width="9.140625" style="4"/>
    <col min="4867" max="4867" width="28.85546875" style="4" customWidth="1"/>
    <col min="4868" max="4868" width="11" style="4" customWidth="1"/>
    <col min="4869" max="4869" width="18.7109375" style="4" customWidth="1"/>
    <col min="4870" max="4870" width="20.85546875" style="4" customWidth="1"/>
    <col min="4871" max="4871" width="0" style="4" hidden="1" customWidth="1"/>
    <col min="4872" max="4872" width="17" style="4" customWidth="1"/>
    <col min="4873" max="4873" width="15.7109375" style="4" customWidth="1"/>
    <col min="4874" max="4874" width="6.85546875" style="4" customWidth="1"/>
    <col min="4875" max="4876" width="15.28515625" style="4" customWidth="1"/>
    <col min="4877" max="4877" width="18.42578125" style="4" customWidth="1"/>
    <col min="4878" max="4878" width="0" style="4" hidden="1" customWidth="1"/>
    <col min="4879" max="5122" width="9.140625" style="4"/>
    <col min="5123" max="5123" width="28.85546875" style="4" customWidth="1"/>
    <col min="5124" max="5124" width="11" style="4" customWidth="1"/>
    <col min="5125" max="5125" width="18.7109375" style="4" customWidth="1"/>
    <col min="5126" max="5126" width="20.85546875" style="4" customWidth="1"/>
    <col min="5127" max="5127" width="0" style="4" hidden="1" customWidth="1"/>
    <col min="5128" max="5128" width="17" style="4" customWidth="1"/>
    <col min="5129" max="5129" width="15.7109375" style="4" customWidth="1"/>
    <col min="5130" max="5130" width="6.85546875" style="4" customWidth="1"/>
    <col min="5131" max="5132" width="15.28515625" style="4" customWidth="1"/>
    <col min="5133" max="5133" width="18.42578125" style="4" customWidth="1"/>
    <col min="5134" max="5134" width="0" style="4" hidden="1" customWidth="1"/>
    <col min="5135" max="5378" width="9.140625" style="4"/>
    <col min="5379" max="5379" width="28.85546875" style="4" customWidth="1"/>
    <col min="5380" max="5380" width="11" style="4" customWidth="1"/>
    <col min="5381" max="5381" width="18.7109375" style="4" customWidth="1"/>
    <col min="5382" max="5382" width="20.85546875" style="4" customWidth="1"/>
    <col min="5383" max="5383" width="0" style="4" hidden="1" customWidth="1"/>
    <col min="5384" max="5384" width="17" style="4" customWidth="1"/>
    <col min="5385" max="5385" width="15.7109375" style="4" customWidth="1"/>
    <col min="5386" max="5386" width="6.85546875" style="4" customWidth="1"/>
    <col min="5387" max="5388" width="15.28515625" style="4" customWidth="1"/>
    <col min="5389" max="5389" width="18.42578125" style="4" customWidth="1"/>
    <col min="5390" max="5390" width="0" style="4" hidden="1" customWidth="1"/>
    <col min="5391" max="5634" width="9.140625" style="4"/>
    <col min="5635" max="5635" width="28.85546875" style="4" customWidth="1"/>
    <col min="5636" max="5636" width="11" style="4" customWidth="1"/>
    <col min="5637" max="5637" width="18.7109375" style="4" customWidth="1"/>
    <col min="5638" max="5638" width="20.85546875" style="4" customWidth="1"/>
    <col min="5639" max="5639" width="0" style="4" hidden="1" customWidth="1"/>
    <col min="5640" max="5640" width="17" style="4" customWidth="1"/>
    <col min="5641" max="5641" width="15.7109375" style="4" customWidth="1"/>
    <col min="5642" max="5642" width="6.85546875" style="4" customWidth="1"/>
    <col min="5643" max="5644" width="15.28515625" style="4" customWidth="1"/>
    <col min="5645" max="5645" width="18.42578125" style="4" customWidth="1"/>
    <col min="5646" max="5646" width="0" style="4" hidden="1" customWidth="1"/>
    <col min="5647" max="5890" width="9.140625" style="4"/>
    <col min="5891" max="5891" width="28.85546875" style="4" customWidth="1"/>
    <col min="5892" max="5892" width="11" style="4" customWidth="1"/>
    <col min="5893" max="5893" width="18.7109375" style="4" customWidth="1"/>
    <col min="5894" max="5894" width="20.85546875" style="4" customWidth="1"/>
    <col min="5895" max="5895" width="0" style="4" hidden="1" customWidth="1"/>
    <col min="5896" max="5896" width="17" style="4" customWidth="1"/>
    <col min="5897" max="5897" width="15.7109375" style="4" customWidth="1"/>
    <col min="5898" max="5898" width="6.85546875" style="4" customWidth="1"/>
    <col min="5899" max="5900" width="15.28515625" style="4" customWidth="1"/>
    <col min="5901" max="5901" width="18.42578125" style="4" customWidth="1"/>
    <col min="5902" max="5902" width="0" style="4" hidden="1" customWidth="1"/>
    <col min="5903" max="6146" width="9.140625" style="4"/>
    <col min="6147" max="6147" width="28.85546875" style="4" customWidth="1"/>
    <col min="6148" max="6148" width="11" style="4" customWidth="1"/>
    <col min="6149" max="6149" width="18.7109375" style="4" customWidth="1"/>
    <col min="6150" max="6150" width="20.85546875" style="4" customWidth="1"/>
    <col min="6151" max="6151" width="0" style="4" hidden="1" customWidth="1"/>
    <col min="6152" max="6152" width="17" style="4" customWidth="1"/>
    <col min="6153" max="6153" width="15.7109375" style="4" customWidth="1"/>
    <col min="6154" max="6154" width="6.85546875" style="4" customWidth="1"/>
    <col min="6155" max="6156" width="15.28515625" style="4" customWidth="1"/>
    <col min="6157" max="6157" width="18.42578125" style="4" customWidth="1"/>
    <col min="6158" max="6158" width="0" style="4" hidden="1" customWidth="1"/>
    <col min="6159" max="6402" width="9.140625" style="4"/>
    <col min="6403" max="6403" width="28.85546875" style="4" customWidth="1"/>
    <col min="6404" max="6404" width="11" style="4" customWidth="1"/>
    <col min="6405" max="6405" width="18.7109375" style="4" customWidth="1"/>
    <col min="6406" max="6406" width="20.85546875" style="4" customWidth="1"/>
    <col min="6407" max="6407" width="0" style="4" hidden="1" customWidth="1"/>
    <col min="6408" max="6408" width="17" style="4" customWidth="1"/>
    <col min="6409" max="6409" width="15.7109375" style="4" customWidth="1"/>
    <col min="6410" max="6410" width="6.85546875" style="4" customWidth="1"/>
    <col min="6411" max="6412" width="15.28515625" style="4" customWidth="1"/>
    <col min="6413" max="6413" width="18.42578125" style="4" customWidth="1"/>
    <col min="6414" max="6414" width="0" style="4" hidden="1" customWidth="1"/>
    <col min="6415" max="6658" width="9.140625" style="4"/>
    <col min="6659" max="6659" width="28.85546875" style="4" customWidth="1"/>
    <col min="6660" max="6660" width="11" style="4" customWidth="1"/>
    <col min="6661" max="6661" width="18.7109375" style="4" customWidth="1"/>
    <col min="6662" max="6662" width="20.85546875" style="4" customWidth="1"/>
    <col min="6663" max="6663" width="0" style="4" hidden="1" customWidth="1"/>
    <col min="6664" max="6664" width="17" style="4" customWidth="1"/>
    <col min="6665" max="6665" width="15.7109375" style="4" customWidth="1"/>
    <col min="6666" max="6666" width="6.85546875" style="4" customWidth="1"/>
    <col min="6667" max="6668" width="15.28515625" style="4" customWidth="1"/>
    <col min="6669" max="6669" width="18.42578125" style="4" customWidth="1"/>
    <col min="6670" max="6670" width="0" style="4" hidden="1" customWidth="1"/>
    <col min="6671" max="6914" width="9.140625" style="4"/>
    <col min="6915" max="6915" width="28.85546875" style="4" customWidth="1"/>
    <col min="6916" max="6916" width="11" style="4" customWidth="1"/>
    <col min="6917" max="6917" width="18.7109375" style="4" customWidth="1"/>
    <col min="6918" max="6918" width="20.85546875" style="4" customWidth="1"/>
    <col min="6919" max="6919" width="0" style="4" hidden="1" customWidth="1"/>
    <col min="6920" max="6920" width="17" style="4" customWidth="1"/>
    <col min="6921" max="6921" width="15.7109375" style="4" customWidth="1"/>
    <col min="6922" max="6922" width="6.85546875" style="4" customWidth="1"/>
    <col min="6923" max="6924" width="15.28515625" style="4" customWidth="1"/>
    <col min="6925" max="6925" width="18.42578125" style="4" customWidth="1"/>
    <col min="6926" max="6926" width="0" style="4" hidden="1" customWidth="1"/>
    <col min="6927" max="7170" width="9.140625" style="4"/>
    <col min="7171" max="7171" width="28.85546875" style="4" customWidth="1"/>
    <col min="7172" max="7172" width="11" style="4" customWidth="1"/>
    <col min="7173" max="7173" width="18.7109375" style="4" customWidth="1"/>
    <col min="7174" max="7174" width="20.85546875" style="4" customWidth="1"/>
    <col min="7175" max="7175" width="0" style="4" hidden="1" customWidth="1"/>
    <col min="7176" max="7176" width="17" style="4" customWidth="1"/>
    <col min="7177" max="7177" width="15.7109375" style="4" customWidth="1"/>
    <col min="7178" max="7178" width="6.85546875" style="4" customWidth="1"/>
    <col min="7179" max="7180" width="15.28515625" style="4" customWidth="1"/>
    <col min="7181" max="7181" width="18.42578125" style="4" customWidth="1"/>
    <col min="7182" max="7182" width="0" style="4" hidden="1" customWidth="1"/>
    <col min="7183" max="7426" width="9.140625" style="4"/>
    <col min="7427" max="7427" width="28.85546875" style="4" customWidth="1"/>
    <col min="7428" max="7428" width="11" style="4" customWidth="1"/>
    <col min="7429" max="7429" width="18.7109375" style="4" customWidth="1"/>
    <col min="7430" max="7430" width="20.85546875" style="4" customWidth="1"/>
    <col min="7431" max="7431" width="0" style="4" hidden="1" customWidth="1"/>
    <col min="7432" max="7432" width="17" style="4" customWidth="1"/>
    <col min="7433" max="7433" width="15.7109375" style="4" customWidth="1"/>
    <col min="7434" max="7434" width="6.85546875" style="4" customWidth="1"/>
    <col min="7435" max="7436" width="15.28515625" style="4" customWidth="1"/>
    <col min="7437" max="7437" width="18.42578125" style="4" customWidth="1"/>
    <col min="7438" max="7438" width="0" style="4" hidden="1" customWidth="1"/>
    <col min="7439" max="7682" width="9.140625" style="4"/>
    <col min="7683" max="7683" width="28.85546875" style="4" customWidth="1"/>
    <col min="7684" max="7684" width="11" style="4" customWidth="1"/>
    <col min="7685" max="7685" width="18.7109375" style="4" customWidth="1"/>
    <col min="7686" max="7686" width="20.85546875" style="4" customWidth="1"/>
    <col min="7687" max="7687" width="0" style="4" hidden="1" customWidth="1"/>
    <col min="7688" max="7688" width="17" style="4" customWidth="1"/>
    <col min="7689" max="7689" width="15.7109375" style="4" customWidth="1"/>
    <col min="7690" max="7690" width="6.85546875" style="4" customWidth="1"/>
    <col min="7691" max="7692" width="15.28515625" style="4" customWidth="1"/>
    <col min="7693" max="7693" width="18.42578125" style="4" customWidth="1"/>
    <col min="7694" max="7694" width="0" style="4" hidden="1" customWidth="1"/>
    <col min="7695" max="7938" width="9.140625" style="4"/>
    <col min="7939" max="7939" width="28.85546875" style="4" customWidth="1"/>
    <col min="7940" max="7940" width="11" style="4" customWidth="1"/>
    <col min="7941" max="7941" width="18.7109375" style="4" customWidth="1"/>
    <col min="7942" max="7942" width="20.85546875" style="4" customWidth="1"/>
    <col min="7943" max="7943" width="0" style="4" hidden="1" customWidth="1"/>
    <col min="7944" max="7944" width="17" style="4" customWidth="1"/>
    <col min="7945" max="7945" width="15.7109375" style="4" customWidth="1"/>
    <col min="7946" max="7946" width="6.85546875" style="4" customWidth="1"/>
    <col min="7947" max="7948" width="15.28515625" style="4" customWidth="1"/>
    <col min="7949" max="7949" width="18.42578125" style="4" customWidth="1"/>
    <col min="7950" max="7950" width="0" style="4" hidden="1" customWidth="1"/>
    <col min="7951" max="8194" width="9.140625" style="4"/>
    <col min="8195" max="8195" width="28.85546875" style="4" customWidth="1"/>
    <col min="8196" max="8196" width="11" style="4" customWidth="1"/>
    <col min="8197" max="8197" width="18.7109375" style="4" customWidth="1"/>
    <col min="8198" max="8198" width="20.85546875" style="4" customWidth="1"/>
    <col min="8199" max="8199" width="0" style="4" hidden="1" customWidth="1"/>
    <col min="8200" max="8200" width="17" style="4" customWidth="1"/>
    <col min="8201" max="8201" width="15.7109375" style="4" customWidth="1"/>
    <col min="8202" max="8202" width="6.85546875" style="4" customWidth="1"/>
    <col min="8203" max="8204" width="15.28515625" style="4" customWidth="1"/>
    <col min="8205" max="8205" width="18.42578125" style="4" customWidth="1"/>
    <col min="8206" max="8206" width="0" style="4" hidden="1" customWidth="1"/>
    <col min="8207" max="8450" width="9.140625" style="4"/>
    <col min="8451" max="8451" width="28.85546875" style="4" customWidth="1"/>
    <col min="8452" max="8452" width="11" style="4" customWidth="1"/>
    <col min="8453" max="8453" width="18.7109375" style="4" customWidth="1"/>
    <col min="8454" max="8454" width="20.85546875" style="4" customWidth="1"/>
    <col min="8455" max="8455" width="0" style="4" hidden="1" customWidth="1"/>
    <col min="8456" max="8456" width="17" style="4" customWidth="1"/>
    <col min="8457" max="8457" width="15.7109375" style="4" customWidth="1"/>
    <col min="8458" max="8458" width="6.85546875" style="4" customWidth="1"/>
    <col min="8459" max="8460" width="15.28515625" style="4" customWidth="1"/>
    <col min="8461" max="8461" width="18.42578125" style="4" customWidth="1"/>
    <col min="8462" max="8462" width="0" style="4" hidden="1" customWidth="1"/>
    <col min="8463" max="8706" width="9.140625" style="4"/>
    <col min="8707" max="8707" width="28.85546875" style="4" customWidth="1"/>
    <col min="8708" max="8708" width="11" style="4" customWidth="1"/>
    <col min="8709" max="8709" width="18.7109375" style="4" customWidth="1"/>
    <col min="8710" max="8710" width="20.85546875" style="4" customWidth="1"/>
    <col min="8711" max="8711" width="0" style="4" hidden="1" customWidth="1"/>
    <col min="8712" max="8712" width="17" style="4" customWidth="1"/>
    <col min="8713" max="8713" width="15.7109375" style="4" customWidth="1"/>
    <col min="8714" max="8714" width="6.85546875" style="4" customWidth="1"/>
    <col min="8715" max="8716" width="15.28515625" style="4" customWidth="1"/>
    <col min="8717" max="8717" width="18.42578125" style="4" customWidth="1"/>
    <col min="8718" max="8718" width="0" style="4" hidden="1" customWidth="1"/>
    <col min="8719" max="8962" width="9.140625" style="4"/>
    <col min="8963" max="8963" width="28.85546875" style="4" customWidth="1"/>
    <col min="8964" max="8964" width="11" style="4" customWidth="1"/>
    <col min="8965" max="8965" width="18.7109375" style="4" customWidth="1"/>
    <col min="8966" max="8966" width="20.85546875" style="4" customWidth="1"/>
    <col min="8967" max="8967" width="0" style="4" hidden="1" customWidth="1"/>
    <col min="8968" max="8968" width="17" style="4" customWidth="1"/>
    <col min="8969" max="8969" width="15.7109375" style="4" customWidth="1"/>
    <col min="8970" max="8970" width="6.85546875" style="4" customWidth="1"/>
    <col min="8971" max="8972" width="15.28515625" style="4" customWidth="1"/>
    <col min="8973" max="8973" width="18.42578125" style="4" customWidth="1"/>
    <col min="8974" max="8974" width="0" style="4" hidden="1" customWidth="1"/>
    <col min="8975" max="9218" width="9.140625" style="4"/>
    <col min="9219" max="9219" width="28.85546875" style="4" customWidth="1"/>
    <col min="9220" max="9220" width="11" style="4" customWidth="1"/>
    <col min="9221" max="9221" width="18.7109375" style="4" customWidth="1"/>
    <col min="9222" max="9222" width="20.85546875" style="4" customWidth="1"/>
    <col min="9223" max="9223" width="0" style="4" hidden="1" customWidth="1"/>
    <col min="9224" max="9224" width="17" style="4" customWidth="1"/>
    <col min="9225" max="9225" width="15.7109375" style="4" customWidth="1"/>
    <col min="9226" max="9226" width="6.85546875" style="4" customWidth="1"/>
    <col min="9227" max="9228" width="15.28515625" style="4" customWidth="1"/>
    <col min="9229" max="9229" width="18.42578125" style="4" customWidth="1"/>
    <col min="9230" max="9230" width="0" style="4" hidden="1" customWidth="1"/>
    <col min="9231" max="9474" width="9.140625" style="4"/>
    <col min="9475" max="9475" width="28.85546875" style="4" customWidth="1"/>
    <col min="9476" max="9476" width="11" style="4" customWidth="1"/>
    <col min="9477" max="9477" width="18.7109375" style="4" customWidth="1"/>
    <col min="9478" max="9478" width="20.85546875" style="4" customWidth="1"/>
    <col min="9479" max="9479" width="0" style="4" hidden="1" customWidth="1"/>
    <col min="9480" max="9480" width="17" style="4" customWidth="1"/>
    <col min="9481" max="9481" width="15.7109375" style="4" customWidth="1"/>
    <col min="9482" max="9482" width="6.85546875" style="4" customWidth="1"/>
    <col min="9483" max="9484" width="15.28515625" style="4" customWidth="1"/>
    <col min="9485" max="9485" width="18.42578125" style="4" customWidth="1"/>
    <col min="9486" max="9486" width="0" style="4" hidden="1" customWidth="1"/>
    <col min="9487" max="9730" width="9.140625" style="4"/>
    <col min="9731" max="9731" width="28.85546875" style="4" customWidth="1"/>
    <col min="9732" max="9732" width="11" style="4" customWidth="1"/>
    <col min="9733" max="9733" width="18.7109375" style="4" customWidth="1"/>
    <col min="9734" max="9734" width="20.85546875" style="4" customWidth="1"/>
    <col min="9735" max="9735" width="0" style="4" hidden="1" customWidth="1"/>
    <col min="9736" max="9736" width="17" style="4" customWidth="1"/>
    <col min="9737" max="9737" width="15.7109375" style="4" customWidth="1"/>
    <col min="9738" max="9738" width="6.85546875" style="4" customWidth="1"/>
    <col min="9739" max="9740" width="15.28515625" style="4" customWidth="1"/>
    <col min="9741" max="9741" width="18.42578125" style="4" customWidth="1"/>
    <col min="9742" max="9742" width="0" style="4" hidden="1" customWidth="1"/>
    <col min="9743" max="9986" width="9.140625" style="4"/>
    <col min="9987" max="9987" width="28.85546875" style="4" customWidth="1"/>
    <col min="9988" max="9988" width="11" style="4" customWidth="1"/>
    <col min="9989" max="9989" width="18.7109375" style="4" customWidth="1"/>
    <col min="9990" max="9990" width="20.85546875" style="4" customWidth="1"/>
    <col min="9991" max="9991" width="0" style="4" hidden="1" customWidth="1"/>
    <col min="9992" max="9992" width="17" style="4" customWidth="1"/>
    <col min="9993" max="9993" width="15.7109375" style="4" customWidth="1"/>
    <col min="9994" max="9994" width="6.85546875" style="4" customWidth="1"/>
    <col min="9995" max="9996" width="15.28515625" style="4" customWidth="1"/>
    <col min="9997" max="9997" width="18.42578125" style="4" customWidth="1"/>
    <col min="9998" max="9998" width="0" style="4" hidden="1" customWidth="1"/>
    <col min="9999" max="10242" width="9.140625" style="4"/>
    <col min="10243" max="10243" width="28.85546875" style="4" customWidth="1"/>
    <col min="10244" max="10244" width="11" style="4" customWidth="1"/>
    <col min="10245" max="10245" width="18.7109375" style="4" customWidth="1"/>
    <col min="10246" max="10246" width="20.85546875" style="4" customWidth="1"/>
    <col min="10247" max="10247" width="0" style="4" hidden="1" customWidth="1"/>
    <col min="10248" max="10248" width="17" style="4" customWidth="1"/>
    <col min="10249" max="10249" width="15.7109375" style="4" customWidth="1"/>
    <col min="10250" max="10250" width="6.85546875" style="4" customWidth="1"/>
    <col min="10251" max="10252" width="15.28515625" style="4" customWidth="1"/>
    <col min="10253" max="10253" width="18.42578125" style="4" customWidth="1"/>
    <col min="10254" max="10254" width="0" style="4" hidden="1" customWidth="1"/>
    <col min="10255" max="10498" width="9.140625" style="4"/>
    <col min="10499" max="10499" width="28.85546875" style="4" customWidth="1"/>
    <col min="10500" max="10500" width="11" style="4" customWidth="1"/>
    <col min="10501" max="10501" width="18.7109375" style="4" customWidth="1"/>
    <col min="10502" max="10502" width="20.85546875" style="4" customWidth="1"/>
    <col min="10503" max="10503" width="0" style="4" hidden="1" customWidth="1"/>
    <col min="10504" max="10504" width="17" style="4" customWidth="1"/>
    <col min="10505" max="10505" width="15.7109375" style="4" customWidth="1"/>
    <col min="10506" max="10506" width="6.85546875" style="4" customWidth="1"/>
    <col min="10507" max="10508" width="15.28515625" style="4" customWidth="1"/>
    <col min="10509" max="10509" width="18.42578125" style="4" customWidth="1"/>
    <col min="10510" max="10510" width="0" style="4" hidden="1" customWidth="1"/>
    <col min="10511" max="10754" width="9.140625" style="4"/>
    <col min="10755" max="10755" width="28.85546875" style="4" customWidth="1"/>
    <col min="10756" max="10756" width="11" style="4" customWidth="1"/>
    <col min="10757" max="10757" width="18.7109375" style="4" customWidth="1"/>
    <col min="10758" max="10758" width="20.85546875" style="4" customWidth="1"/>
    <col min="10759" max="10759" width="0" style="4" hidden="1" customWidth="1"/>
    <col min="10760" max="10760" width="17" style="4" customWidth="1"/>
    <col min="10761" max="10761" width="15.7109375" style="4" customWidth="1"/>
    <col min="10762" max="10762" width="6.85546875" style="4" customWidth="1"/>
    <col min="10763" max="10764" width="15.28515625" style="4" customWidth="1"/>
    <col min="10765" max="10765" width="18.42578125" style="4" customWidth="1"/>
    <col min="10766" max="10766" width="0" style="4" hidden="1" customWidth="1"/>
    <col min="10767" max="11010" width="9.140625" style="4"/>
    <col min="11011" max="11011" width="28.85546875" style="4" customWidth="1"/>
    <col min="11012" max="11012" width="11" style="4" customWidth="1"/>
    <col min="11013" max="11013" width="18.7109375" style="4" customWidth="1"/>
    <col min="11014" max="11014" width="20.85546875" style="4" customWidth="1"/>
    <col min="11015" max="11015" width="0" style="4" hidden="1" customWidth="1"/>
    <col min="11016" max="11016" width="17" style="4" customWidth="1"/>
    <col min="11017" max="11017" width="15.7109375" style="4" customWidth="1"/>
    <col min="11018" max="11018" width="6.85546875" style="4" customWidth="1"/>
    <col min="11019" max="11020" width="15.28515625" style="4" customWidth="1"/>
    <col min="11021" max="11021" width="18.42578125" style="4" customWidth="1"/>
    <col min="11022" max="11022" width="0" style="4" hidden="1" customWidth="1"/>
    <col min="11023" max="11266" width="9.140625" style="4"/>
    <col min="11267" max="11267" width="28.85546875" style="4" customWidth="1"/>
    <col min="11268" max="11268" width="11" style="4" customWidth="1"/>
    <col min="11269" max="11269" width="18.7109375" style="4" customWidth="1"/>
    <col min="11270" max="11270" width="20.85546875" style="4" customWidth="1"/>
    <col min="11271" max="11271" width="0" style="4" hidden="1" customWidth="1"/>
    <col min="11272" max="11272" width="17" style="4" customWidth="1"/>
    <col min="11273" max="11273" width="15.7109375" style="4" customWidth="1"/>
    <col min="11274" max="11274" width="6.85546875" style="4" customWidth="1"/>
    <col min="11275" max="11276" width="15.28515625" style="4" customWidth="1"/>
    <col min="11277" max="11277" width="18.42578125" style="4" customWidth="1"/>
    <col min="11278" max="11278" width="0" style="4" hidden="1" customWidth="1"/>
    <col min="11279" max="11522" width="9.140625" style="4"/>
    <col min="11523" max="11523" width="28.85546875" style="4" customWidth="1"/>
    <col min="11524" max="11524" width="11" style="4" customWidth="1"/>
    <col min="11525" max="11525" width="18.7109375" style="4" customWidth="1"/>
    <col min="11526" max="11526" width="20.85546875" style="4" customWidth="1"/>
    <col min="11527" max="11527" width="0" style="4" hidden="1" customWidth="1"/>
    <col min="11528" max="11528" width="17" style="4" customWidth="1"/>
    <col min="11529" max="11529" width="15.7109375" style="4" customWidth="1"/>
    <col min="11530" max="11530" width="6.85546875" style="4" customWidth="1"/>
    <col min="11531" max="11532" width="15.28515625" style="4" customWidth="1"/>
    <col min="11533" max="11533" width="18.42578125" style="4" customWidth="1"/>
    <col min="11534" max="11534" width="0" style="4" hidden="1" customWidth="1"/>
    <col min="11535" max="11778" width="9.140625" style="4"/>
    <col min="11779" max="11779" width="28.85546875" style="4" customWidth="1"/>
    <col min="11780" max="11780" width="11" style="4" customWidth="1"/>
    <col min="11781" max="11781" width="18.7109375" style="4" customWidth="1"/>
    <col min="11782" max="11782" width="20.85546875" style="4" customWidth="1"/>
    <col min="11783" max="11783" width="0" style="4" hidden="1" customWidth="1"/>
    <col min="11784" max="11784" width="17" style="4" customWidth="1"/>
    <col min="11785" max="11785" width="15.7109375" style="4" customWidth="1"/>
    <col min="11786" max="11786" width="6.85546875" style="4" customWidth="1"/>
    <col min="11787" max="11788" width="15.28515625" style="4" customWidth="1"/>
    <col min="11789" max="11789" width="18.42578125" style="4" customWidth="1"/>
    <col min="11790" max="11790" width="0" style="4" hidden="1" customWidth="1"/>
    <col min="11791" max="12034" width="9.140625" style="4"/>
    <col min="12035" max="12035" width="28.85546875" style="4" customWidth="1"/>
    <col min="12036" max="12036" width="11" style="4" customWidth="1"/>
    <col min="12037" max="12037" width="18.7109375" style="4" customWidth="1"/>
    <col min="12038" max="12038" width="20.85546875" style="4" customWidth="1"/>
    <col min="12039" max="12039" width="0" style="4" hidden="1" customWidth="1"/>
    <col min="12040" max="12040" width="17" style="4" customWidth="1"/>
    <col min="12041" max="12041" width="15.7109375" style="4" customWidth="1"/>
    <col min="12042" max="12042" width="6.85546875" style="4" customWidth="1"/>
    <col min="12043" max="12044" width="15.28515625" style="4" customWidth="1"/>
    <col min="12045" max="12045" width="18.42578125" style="4" customWidth="1"/>
    <col min="12046" max="12046" width="0" style="4" hidden="1" customWidth="1"/>
    <col min="12047" max="12290" width="9.140625" style="4"/>
    <col min="12291" max="12291" width="28.85546875" style="4" customWidth="1"/>
    <col min="12292" max="12292" width="11" style="4" customWidth="1"/>
    <col min="12293" max="12293" width="18.7109375" style="4" customWidth="1"/>
    <col min="12294" max="12294" width="20.85546875" style="4" customWidth="1"/>
    <col min="12295" max="12295" width="0" style="4" hidden="1" customWidth="1"/>
    <col min="12296" max="12296" width="17" style="4" customWidth="1"/>
    <col min="12297" max="12297" width="15.7109375" style="4" customWidth="1"/>
    <col min="12298" max="12298" width="6.85546875" style="4" customWidth="1"/>
    <col min="12299" max="12300" width="15.28515625" style="4" customWidth="1"/>
    <col min="12301" max="12301" width="18.42578125" style="4" customWidth="1"/>
    <col min="12302" max="12302" width="0" style="4" hidden="1" customWidth="1"/>
    <col min="12303" max="12546" width="9.140625" style="4"/>
    <col min="12547" max="12547" width="28.85546875" style="4" customWidth="1"/>
    <col min="12548" max="12548" width="11" style="4" customWidth="1"/>
    <col min="12549" max="12549" width="18.7109375" style="4" customWidth="1"/>
    <col min="12550" max="12550" width="20.85546875" style="4" customWidth="1"/>
    <col min="12551" max="12551" width="0" style="4" hidden="1" customWidth="1"/>
    <col min="12552" max="12552" width="17" style="4" customWidth="1"/>
    <col min="12553" max="12553" width="15.7109375" style="4" customWidth="1"/>
    <col min="12554" max="12554" width="6.85546875" style="4" customWidth="1"/>
    <col min="12555" max="12556" width="15.28515625" style="4" customWidth="1"/>
    <col min="12557" max="12557" width="18.42578125" style="4" customWidth="1"/>
    <col min="12558" max="12558" width="0" style="4" hidden="1" customWidth="1"/>
    <col min="12559" max="12802" width="9.140625" style="4"/>
    <col min="12803" max="12803" width="28.85546875" style="4" customWidth="1"/>
    <col min="12804" max="12804" width="11" style="4" customWidth="1"/>
    <col min="12805" max="12805" width="18.7109375" style="4" customWidth="1"/>
    <col min="12806" max="12806" width="20.85546875" style="4" customWidth="1"/>
    <col min="12807" max="12807" width="0" style="4" hidden="1" customWidth="1"/>
    <col min="12808" max="12808" width="17" style="4" customWidth="1"/>
    <col min="12809" max="12809" width="15.7109375" style="4" customWidth="1"/>
    <col min="12810" max="12810" width="6.85546875" style="4" customWidth="1"/>
    <col min="12811" max="12812" width="15.28515625" style="4" customWidth="1"/>
    <col min="12813" max="12813" width="18.42578125" style="4" customWidth="1"/>
    <col min="12814" max="12814" width="0" style="4" hidden="1" customWidth="1"/>
    <col min="12815" max="13058" width="9.140625" style="4"/>
    <col min="13059" max="13059" width="28.85546875" style="4" customWidth="1"/>
    <col min="13060" max="13060" width="11" style="4" customWidth="1"/>
    <col min="13061" max="13061" width="18.7109375" style="4" customWidth="1"/>
    <col min="13062" max="13062" width="20.85546875" style="4" customWidth="1"/>
    <col min="13063" max="13063" width="0" style="4" hidden="1" customWidth="1"/>
    <col min="13064" max="13064" width="17" style="4" customWidth="1"/>
    <col min="13065" max="13065" width="15.7109375" style="4" customWidth="1"/>
    <col min="13066" max="13066" width="6.85546875" style="4" customWidth="1"/>
    <col min="13067" max="13068" width="15.28515625" style="4" customWidth="1"/>
    <col min="13069" max="13069" width="18.42578125" style="4" customWidth="1"/>
    <col min="13070" max="13070" width="0" style="4" hidden="1" customWidth="1"/>
    <col min="13071" max="13314" width="9.140625" style="4"/>
    <col min="13315" max="13315" width="28.85546875" style="4" customWidth="1"/>
    <col min="13316" max="13316" width="11" style="4" customWidth="1"/>
    <col min="13317" max="13317" width="18.7109375" style="4" customWidth="1"/>
    <col min="13318" max="13318" width="20.85546875" style="4" customWidth="1"/>
    <col min="13319" max="13319" width="0" style="4" hidden="1" customWidth="1"/>
    <col min="13320" max="13320" width="17" style="4" customWidth="1"/>
    <col min="13321" max="13321" width="15.7109375" style="4" customWidth="1"/>
    <col min="13322" max="13322" width="6.85546875" style="4" customWidth="1"/>
    <col min="13323" max="13324" width="15.28515625" style="4" customWidth="1"/>
    <col min="13325" max="13325" width="18.42578125" style="4" customWidth="1"/>
    <col min="13326" max="13326" width="0" style="4" hidden="1" customWidth="1"/>
    <col min="13327" max="13570" width="9.140625" style="4"/>
    <col min="13571" max="13571" width="28.85546875" style="4" customWidth="1"/>
    <col min="13572" max="13572" width="11" style="4" customWidth="1"/>
    <col min="13573" max="13573" width="18.7109375" style="4" customWidth="1"/>
    <col min="13574" max="13574" width="20.85546875" style="4" customWidth="1"/>
    <col min="13575" max="13575" width="0" style="4" hidden="1" customWidth="1"/>
    <col min="13576" max="13576" width="17" style="4" customWidth="1"/>
    <col min="13577" max="13577" width="15.7109375" style="4" customWidth="1"/>
    <col min="13578" max="13578" width="6.85546875" style="4" customWidth="1"/>
    <col min="13579" max="13580" width="15.28515625" style="4" customWidth="1"/>
    <col min="13581" max="13581" width="18.42578125" style="4" customWidth="1"/>
    <col min="13582" max="13582" width="0" style="4" hidden="1" customWidth="1"/>
    <col min="13583" max="13826" width="9.140625" style="4"/>
    <col min="13827" max="13827" width="28.85546875" style="4" customWidth="1"/>
    <col min="13828" max="13828" width="11" style="4" customWidth="1"/>
    <col min="13829" max="13829" width="18.7109375" style="4" customWidth="1"/>
    <col min="13830" max="13830" width="20.85546875" style="4" customWidth="1"/>
    <col min="13831" max="13831" width="0" style="4" hidden="1" customWidth="1"/>
    <col min="13832" max="13832" width="17" style="4" customWidth="1"/>
    <col min="13833" max="13833" width="15.7109375" style="4" customWidth="1"/>
    <col min="13834" max="13834" width="6.85546875" style="4" customWidth="1"/>
    <col min="13835" max="13836" width="15.28515625" style="4" customWidth="1"/>
    <col min="13837" max="13837" width="18.42578125" style="4" customWidth="1"/>
    <col min="13838" max="13838" width="0" style="4" hidden="1" customWidth="1"/>
    <col min="13839" max="14082" width="9.140625" style="4"/>
    <col min="14083" max="14083" width="28.85546875" style="4" customWidth="1"/>
    <col min="14084" max="14084" width="11" style="4" customWidth="1"/>
    <col min="14085" max="14085" width="18.7109375" style="4" customWidth="1"/>
    <col min="14086" max="14086" width="20.85546875" style="4" customWidth="1"/>
    <col min="14087" max="14087" width="0" style="4" hidden="1" customWidth="1"/>
    <col min="14088" max="14088" width="17" style="4" customWidth="1"/>
    <col min="14089" max="14089" width="15.7109375" style="4" customWidth="1"/>
    <col min="14090" max="14090" width="6.85546875" style="4" customWidth="1"/>
    <col min="14091" max="14092" width="15.28515625" style="4" customWidth="1"/>
    <col min="14093" max="14093" width="18.42578125" style="4" customWidth="1"/>
    <col min="14094" max="14094" width="0" style="4" hidden="1" customWidth="1"/>
    <col min="14095" max="14338" width="9.140625" style="4"/>
    <col min="14339" max="14339" width="28.85546875" style="4" customWidth="1"/>
    <col min="14340" max="14340" width="11" style="4" customWidth="1"/>
    <col min="14341" max="14341" width="18.7109375" style="4" customWidth="1"/>
    <col min="14342" max="14342" width="20.85546875" style="4" customWidth="1"/>
    <col min="14343" max="14343" width="0" style="4" hidden="1" customWidth="1"/>
    <col min="14344" max="14344" width="17" style="4" customWidth="1"/>
    <col min="14345" max="14345" width="15.7109375" style="4" customWidth="1"/>
    <col min="14346" max="14346" width="6.85546875" style="4" customWidth="1"/>
    <col min="14347" max="14348" width="15.28515625" style="4" customWidth="1"/>
    <col min="14349" max="14349" width="18.42578125" style="4" customWidth="1"/>
    <col min="14350" max="14350" width="0" style="4" hidden="1" customWidth="1"/>
    <col min="14351" max="14594" width="9.140625" style="4"/>
    <col min="14595" max="14595" width="28.85546875" style="4" customWidth="1"/>
    <col min="14596" max="14596" width="11" style="4" customWidth="1"/>
    <col min="14597" max="14597" width="18.7109375" style="4" customWidth="1"/>
    <col min="14598" max="14598" width="20.85546875" style="4" customWidth="1"/>
    <col min="14599" max="14599" width="0" style="4" hidden="1" customWidth="1"/>
    <col min="14600" max="14600" width="17" style="4" customWidth="1"/>
    <col min="14601" max="14601" width="15.7109375" style="4" customWidth="1"/>
    <col min="14602" max="14602" width="6.85546875" style="4" customWidth="1"/>
    <col min="14603" max="14604" width="15.28515625" style="4" customWidth="1"/>
    <col min="14605" max="14605" width="18.42578125" style="4" customWidth="1"/>
    <col min="14606" max="14606" width="0" style="4" hidden="1" customWidth="1"/>
    <col min="14607" max="14850" width="9.140625" style="4"/>
    <col min="14851" max="14851" width="28.85546875" style="4" customWidth="1"/>
    <col min="14852" max="14852" width="11" style="4" customWidth="1"/>
    <col min="14853" max="14853" width="18.7109375" style="4" customWidth="1"/>
    <col min="14854" max="14854" width="20.85546875" style="4" customWidth="1"/>
    <col min="14855" max="14855" width="0" style="4" hidden="1" customWidth="1"/>
    <col min="14856" max="14856" width="17" style="4" customWidth="1"/>
    <col min="14857" max="14857" width="15.7109375" style="4" customWidth="1"/>
    <col min="14858" max="14858" width="6.85546875" style="4" customWidth="1"/>
    <col min="14859" max="14860" width="15.28515625" style="4" customWidth="1"/>
    <col min="14861" max="14861" width="18.42578125" style="4" customWidth="1"/>
    <col min="14862" max="14862" width="0" style="4" hidden="1" customWidth="1"/>
    <col min="14863" max="15106" width="9.140625" style="4"/>
    <col min="15107" max="15107" width="28.85546875" style="4" customWidth="1"/>
    <col min="15108" max="15108" width="11" style="4" customWidth="1"/>
    <col min="15109" max="15109" width="18.7109375" style="4" customWidth="1"/>
    <col min="15110" max="15110" width="20.85546875" style="4" customWidth="1"/>
    <col min="15111" max="15111" width="0" style="4" hidden="1" customWidth="1"/>
    <col min="15112" max="15112" width="17" style="4" customWidth="1"/>
    <col min="15113" max="15113" width="15.7109375" style="4" customWidth="1"/>
    <col min="15114" max="15114" width="6.85546875" style="4" customWidth="1"/>
    <col min="15115" max="15116" width="15.28515625" style="4" customWidth="1"/>
    <col min="15117" max="15117" width="18.42578125" style="4" customWidth="1"/>
    <col min="15118" max="15118" width="0" style="4" hidden="1" customWidth="1"/>
    <col min="15119" max="15362" width="9.140625" style="4"/>
    <col min="15363" max="15363" width="28.85546875" style="4" customWidth="1"/>
    <col min="15364" max="15364" width="11" style="4" customWidth="1"/>
    <col min="15365" max="15365" width="18.7109375" style="4" customWidth="1"/>
    <col min="15366" max="15366" width="20.85546875" style="4" customWidth="1"/>
    <col min="15367" max="15367" width="0" style="4" hidden="1" customWidth="1"/>
    <col min="15368" max="15368" width="17" style="4" customWidth="1"/>
    <col min="15369" max="15369" width="15.7109375" style="4" customWidth="1"/>
    <col min="15370" max="15370" width="6.85546875" style="4" customWidth="1"/>
    <col min="15371" max="15372" width="15.28515625" style="4" customWidth="1"/>
    <col min="15373" max="15373" width="18.42578125" style="4" customWidth="1"/>
    <col min="15374" max="15374" width="0" style="4" hidden="1" customWidth="1"/>
    <col min="15375" max="15618" width="9.140625" style="4"/>
    <col min="15619" max="15619" width="28.85546875" style="4" customWidth="1"/>
    <col min="15620" max="15620" width="11" style="4" customWidth="1"/>
    <col min="15621" max="15621" width="18.7109375" style="4" customWidth="1"/>
    <col min="15622" max="15622" width="20.85546875" style="4" customWidth="1"/>
    <col min="15623" max="15623" width="0" style="4" hidden="1" customWidth="1"/>
    <col min="15624" max="15624" width="17" style="4" customWidth="1"/>
    <col min="15625" max="15625" width="15.7109375" style="4" customWidth="1"/>
    <col min="15626" max="15626" width="6.85546875" style="4" customWidth="1"/>
    <col min="15627" max="15628" width="15.28515625" style="4" customWidth="1"/>
    <col min="15629" max="15629" width="18.42578125" style="4" customWidth="1"/>
    <col min="15630" max="15630" width="0" style="4" hidden="1" customWidth="1"/>
    <col min="15631" max="15874" width="9.140625" style="4"/>
    <col min="15875" max="15875" width="28.85546875" style="4" customWidth="1"/>
    <col min="15876" max="15876" width="11" style="4" customWidth="1"/>
    <col min="15877" max="15877" width="18.7109375" style="4" customWidth="1"/>
    <col min="15878" max="15878" width="20.85546875" style="4" customWidth="1"/>
    <col min="15879" max="15879" width="0" style="4" hidden="1" customWidth="1"/>
    <col min="15880" max="15880" width="17" style="4" customWidth="1"/>
    <col min="15881" max="15881" width="15.7109375" style="4" customWidth="1"/>
    <col min="15882" max="15882" width="6.85546875" style="4" customWidth="1"/>
    <col min="15883" max="15884" width="15.28515625" style="4" customWidth="1"/>
    <col min="15885" max="15885" width="18.42578125" style="4" customWidth="1"/>
    <col min="15886" max="15886" width="0" style="4" hidden="1" customWidth="1"/>
    <col min="15887" max="16130" width="9.140625" style="4"/>
    <col min="16131" max="16131" width="28.85546875" style="4" customWidth="1"/>
    <col min="16132" max="16132" width="11" style="4" customWidth="1"/>
    <col min="16133" max="16133" width="18.7109375" style="4" customWidth="1"/>
    <col min="16134" max="16134" width="20.85546875" style="4" customWidth="1"/>
    <col min="16135" max="16135" width="0" style="4" hidden="1" customWidth="1"/>
    <col min="16136" max="16136" width="17" style="4" customWidth="1"/>
    <col min="16137" max="16137" width="15.7109375" style="4" customWidth="1"/>
    <col min="16138" max="16138" width="6.85546875" style="4" customWidth="1"/>
    <col min="16139" max="16140" width="15.28515625" style="4" customWidth="1"/>
    <col min="16141" max="16141" width="18.42578125" style="4" customWidth="1"/>
    <col min="16142" max="16142" width="0" style="4" hidden="1" customWidth="1"/>
    <col min="16143" max="16384" width="9.140625" style="4"/>
  </cols>
  <sheetData>
    <row r="1" spans="1:16" s="1" customFormat="1" ht="33" x14ac:dyDescent="0.25">
      <c r="A1" s="42" t="s">
        <v>56</v>
      </c>
      <c r="B1" s="2"/>
      <c r="C1" s="3"/>
      <c r="D1" s="3"/>
      <c r="E1" s="3"/>
      <c r="F1" s="3"/>
      <c r="G1" s="3"/>
      <c r="K1" s="2"/>
      <c r="L1" s="3"/>
    </row>
    <row r="2" spans="1:16" s="1" customFormat="1" x14ac:dyDescent="0.25">
      <c r="A2" s="1" t="s">
        <v>57</v>
      </c>
      <c r="B2" s="2"/>
      <c r="C2" s="3"/>
      <c r="D2" s="3"/>
      <c r="E2" s="3"/>
      <c r="F2" s="3"/>
      <c r="G2" s="3"/>
      <c r="K2" s="2"/>
      <c r="L2" s="3"/>
    </row>
    <row r="3" spans="1:16" s="7" customFormat="1" ht="20.25" x14ac:dyDescent="0.3">
      <c r="A3" s="140" t="s">
        <v>95</v>
      </c>
      <c r="B3" s="140"/>
      <c r="C3" s="140"/>
      <c r="D3" s="140"/>
      <c r="E3" s="140"/>
      <c r="F3" s="140"/>
      <c r="G3" s="140"/>
      <c r="H3" s="140"/>
      <c r="I3" s="140"/>
      <c r="J3" s="140"/>
      <c r="K3" s="140"/>
      <c r="L3" s="140"/>
      <c r="M3" s="140"/>
      <c r="N3" s="140"/>
    </row>
    <row r="5" spans="1:16" s="80" customFormat="1" ht="42" customHeight="1"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idden="1" x14ac:dyDescent="0.25">
      <c r="A6" s="11" t="s">
        <v>6</v>
      </c>
      <c r="B6" s="12">
        <f>C6/C17</f>
        <v>0</v>
      </c>
      <c r="C6" s="13">
        <f>+C7</f>
        <v>0</v>
      </c>
      <c r="D6" s="13"/>
      <c r="E6" s="13"/>
      <c r="F6" s="13"/>
      <c r="G6" s="13"/>
      <c r="H6" s="14">
        <f>+B6*H17</f>
        <v>0</v>
      </c>
      <c r="I6" s="14"/>
      <c r="J6" s="14"/>
      <c r="K6" s="15">
        <v>0.2</v>
      </c>
      <c r="L6" s="13">
        <f>+K6*H6</f>
        <v>0</v>
      </c>
      <c r="M6" s="16">
        <v>0</v>
      </c>
      <c r="N6" s="14">
        <f>+L6-M6</f>
        <v>0</v>
      </c>
    </row>
    <row r="7" spans="1:16" ht="15.75" customHeight="1" x14ac:dyDescent="0.25">
      <c r="A7" s="17"/>
      <c r="B7" s="18"/>
      <c r="C7" s="19"/>
      <c r="D7" s="19"/>
      <c r="E7" s="19"/>
      <c r="F7" s="19"/>
      <c r="G7" s="19"/>
      <c r="H7" s="17"/>
      <c r="I7" s="17"/>
      <c r="J7" s="17"/>
      <c r="K7" s="20"/>
      <c r="L7" s="19"/>
      <c r="M7" s="17"/>
      <c r="N7" s="17"/>
    </row>
    <row r="8" spans="1:16" s="1" customFormat="1" x14ac:dyDescent="0.25">
      <c r="A8" s="34" t="s">
        <v>53</v>
      </c>
      <c r="B8" s="31">
        <f>C8/C17</f>
        <v>0.37600629479109104</v>
      </c>
      <c r="C8" s="13">
        <f>SUM(C9:C12)</f>
        <v>3833449931</v>
      </c>
      <c r="D8" s="13">
        <f>SUM(D9:D12)</f>
        <v>3341983032</v>
      </c>
      <c r="E8" s="13">
        <f>E17*B8</f>
        <v>218774977.65646088</v>
      </c>
      <c r="F8" s="13">
        <f>F17*B8</f>
        <v>48082993.5023086</v>
      </c>
      <c r="G8" s="13">
        <f>G17*B8</f>
        <v>5894064.8656326495</v>
      </c>
      <c r="H8" s="14">
        <f>C8-D8-E8-F8+G8-G8+F8</f>
        <v>272691921.34353912</v>
      </c>
      <c r="I8" s="14">
        <v>0</v>
      </c>
      <c r="J8" s="14">
        <f>H8-I8</f>
        <v>272691921.34353912</v>
      </c>
      <c r="K8" s="15">
        <v>0.1</v>
      </c>
      <c r="L8" s="13">
        <f>J8*K8</f>
        <v>27269192.134353913</v>
      </c>
      <c r="M8" s="14">
        <f>L8*50%</f>
        <v>13634596.067176957</v>
      </c>
      <c r="N8" s="14">
        <f>L8-M8</f>
        <v>13634596.067176957</v>
      </c>
    </row>
    <row r="9" spans="1:16" x14ac:dyDescent="0.25">
      <c r="A9" s="17">
        <v>5111</v>
      </c>
      <c r="B9" s="18"/>
      <c r="C9" s="19"/>
      <c r="D9" s="19"/>
      <c r="E9" s="19"/>
      <c r="F9" s="19"/>
      <c r="G9" s="19"/>
      <c r="H9" s="17"/>
      <c r="I9" s="17"/>
      <c r="J9" s="17"/>
      <c r="K9" s="20"/>
      <c r="L9" s="19"/>
      <c r="M9" s="17"/>
      <c r="N9" s="14">
        <f t="shared" ref="N9:N12" si="0">L9-M9</f>
        <v>0</v>
      </c>
    </row>
    <row r="10" spans="1:16" x14ac:dyDescent="0.25">
      <c r="A10" s="17">
        <v>5112</v>
      </c>
      <c r="B10" s="18"/>
      <c r="C10" s="19">
        <f>'BANG KE DOANH THU CT 2021'!C3</f>
        <v>3811991196</v>
      </c>
      <c r="D10" s="19">
        <f>'BANG KE DOANH THU CT 2021'!D3</f>
        <v>3341983032</v>
      </c>
      <c r="E10" s="19"/>
      <c r="F10" s="19"/>
      <c r="G10" s="19"/>
      <c r="H10" s="17"/>
      <c r="I10" s="17"/>
      <c r="J10" s="17"/>
      <c r="K10" s="20"/>
      <c r="L10" s="19"/>
      <c r="M10" s="17"/>
      <c r="N10" s="14">
        <f t="shared" si="0"/>
        <v>0</v>
      </c>
    </row>
    <row r="11" spans="1:16" x14ac:dyDescent="0.25">
      <c r="A11" s="17">
        <v>5151</v>
      </c>
      <c r="B11" s="18"/>
      <c r="C11" s="19">
        <v>63187</v>
      </c>
      <c r="D11" s="19"/>
      <c r="E11" s="19"/>
      <c r="F11" s="19"/>
      <c r="G11" s="19"/>
      <c r="H11" s="17"/>
      <c r="I11" s="17"/>
      <c r="J11" s="17"/>
      <c r="K11" s="20"/>
      <c r="L11" s="19"/>
      <c r="M11" s="17"/>
      <c r="N11" s="14">
        <f t="shared" si="0"/>
        <v>0</v>
      </c>
    </row>
    <row r="12" spans="1:16" x14ac:dyDescent="0.25">
      <c r="A12" s="17">
        <v>5152</v>
      </c>
      <c r="B12" s="18"/>
      <c r="C12" s="19">
        <v>21395548</v>
      </c>
      <c r="D12" s="19"/>
      <c r="E12" s="19"/>
      <c r="F12" s="19"/>
      <c r="G12" s="19"/>
      <c r="H12" s="17"/>
      <c r="I12" s="17"/>
      <c r="J12" s="17"/>
      <c r="K12" s="20"/>
      <c r="L12" s="19"/>
      <c r="M12" s="17"/>
      <c r="N12" s="14">
        <f t="shared" si="0"/>
        <v>0</v>
      </c>
    </row>
    <row r="13" spans="1:16" s="1" customFormat="1" x14ac:dyDescent="0.25">
      <c r="A13" s="21" t="s">
        <v>21</v>
      </c>
      <c r="B13" s="31">
        <f>C13/C17</f>
        <v>0.62399370520890896</v>
      </c>
      <c r="C13" s="13">
        <f>+C14+C15+C16</f>
        <v>6361724948</v>
      </c>
      <c r="D13" s="13">
        <f>SUM(D14:D16)</f>
        <v>5831597194</v>
      </c>
      <c r="E13" s="13">
        <f>E17*B13</f>
        <v>363063626.34353912</v>
      </c>
      <c r="F13" s="13">
        <f>F17*B13</f>
        <v>79795167.497691393</v>
      </c>
      <c r="G13" s="13">
        <f>G17*B13</f>
        <v>9781377.1343673505</v>
      </c>
      <c r="H13" s="14">
        <f>C13-D13-E13-F13+G13-G13+F13</f>
        <v>167064127.65646088</v>
      </c>
      <c r="I13" s="14">
        <v>0</v>
      </c>
      <c r="J13" s="14">
        <f>H13-I13</f>
        <v>167064127.65646088</v>
      </c>
      <c r="K13" s="15">
        <v>0.17</v>
      </c>
      <c r="L13" s="13">
        <f>J13*K13</f>
        <v>28400901.701598354</v>
      </c>
      <c r="M13" s="14"/>
      <c r="N13" s="14">
        <f>L13-M13</f>
        <v>28400901.701598354</v>
      </c>
    </row>
    <row r="14" spans="1:16" x14ac:dyDescent="0.25">
      <c r="A14" s="17">
        <v>5112</v>
      </c>
      <c r="B14" s="18"/>
      <c r="C14" s="19">
        <f>'BANG KE DOANH THU CT 2021'!C11</f>
        <v>6361724948</v>
      </c>
      <c r="D14" s="19">
        <f>'BANG KE DOANH THU CT 2021'!D11</f>
        <v>5831597194</v>
      </c>
      <c r="E14" s="19"/>
      <c r="F14" s="19"/>
      <c r="G14" s="19"/>
      <c r="H14" s="17"/>
      <c r="I14" s="17"/>
      <c r="J14" s="17"/>
      <c r="K14" s="20"/>
      <c r="L14" s="19"/>
      <c r="M14" s="17"/>
      <c r="N14" s="17"/>
      <c r="O14" s="83"/>
      <c r="P14" s="83"/>
    </row>
    <row r="15" spans="1:16" x14ac:dyDescent="0.25">
      <c r="A15" s="17">
        <v>5151</v>
      </c>
      <c r="B15" s="18"/>
      <c r="C15" s="19"/>
      <c r="D15" s="19"/>
      <c r="E15" s="19"/>
      <c r="F15" s="19"/>
      <c r="G15" s="19"/>
      <c r="H15" s="17"/>
      <c r="I15" s="17"/>
      <c r="J15" s="17"/>
      <c r="K15" s="20"/>
      <c r="L15" s="19"/>
      <c r="M15" s="17"/>
      <c r="N15" s="17"/>
      <c r="O15" s="83"/>
      <c r="P15" s="83"/>
    </row>
    <row r="16" spans="1:16" x14ac:dyDescent="0.25">
      <c r="A16" s="4">
        <v>5152</v>
      </c>
      <c r="B16" s="4"/>
      <c r="C16" s="19"/>
      <c r="D16" s="19"/>
      <c r="E16" s="19"/>
      <c r="F16" s="19"/>
      <c r="G16" s="19"/>
      <c r="H16" s="17"/>
      <c r="I16" s="17"/>
      <c r="J16" s="17"/>
      <c r="K16" s="20"/>
      <c r="L16" s="19"/>
      <c r="M16" s="17"/>
      <c r="N16" s="17"/>
      <c r="O16" s="83"/>
      <c r="P16" s="83"/>
    </row>
    <row r="17" spans="1:16" s="1" customFormat="1" x14ac:dyDescent="0.25">
      <c r="A17" s="16" t="s">
        <v>7</v>
      </c>
      <c r="B17" s="12">
        <f>B8+B13</f>
        <v>1</v>
      </c>
      <c r="C17" s="13">
        <f>C8+C13</f>
        <v>10195174879</v>
      </c>
      <c r="D17" s="13">
        <f>D8+D13</f>
        <v>9173580226</v>
      </c>
      <c r="E17" s="13">
        <v>581838604</v>
      </c>
      <c r="F17" s="13">
        <v>127878161</v>
      </c>
      <c r="G17" s="13">
        <v>15675442</v>
      </c>
      <c r="H17" s="13">
        <f>H8+H13</f>
        <v>439756049</v>
      </c>
      <c r="I17" s="13"/>
      <c r="J17" s="13">
        <f>J8+J13</f>
        <v>439756049</v>
      </c>
      <c r="K17" s="13"/>
      <c r="L17" s="13">
        <f>L8+L13</f>
        <v>55670093.835952267</v>
      </c>
      <c r="M17" s="13">
        <f>M8+M13</f>
        <v>13634596.067176957</v>
      </c>
      <c r="N17" s="13">
        <f>N13+N8</f>
        <v>42035497.768775314</v>
      </c>
      <c r="O17" s="84"/>
      <c r="P17" s="89"/>
    </row>
    <row r="18" spans="1:16" hidden="1" x14ac:dyDescent="0.25">
      <c r="H18" s="22" t="e">
        <f>+C17-#REF!-#REF!-#REF!</f>
        <v>#REF!</v>
      </c>
      <c r="I18" s="22"/>
      <c r="J18" s="22"/>
      <c r="O18" s="83"/>
      <c r="P18" s="90"/>
    </row>
    <row r="19" spans="1:16" hidden="1" x14ac:dyDescent="0.25">
      <c r="C19" s="6">
        <v>10793007946</v>
      </c>
      <c r="H19" s="6">
        <v>720227155</v>
      </c>
      <c r="I19" s="6"/>
      <c r="J19" s="6"/>
      <c r="M19" s="4">
        <v>74441349</v>
      </c>
      <c r="O19" s="83"/>
      <c r="P19" s="90"/>
    </row>
    <row r="20" spans="1:16" hidden="1" x14ac:dyDescent="0.25">
      <c r="C20" s="6">
        <v>454939007</v>
      </c>
      <c r="H20" s="22">
        <f>H19-H17</f>
        <v>280471106</v>
      </c>
      <c r="I20" s="22"/>
      <c r="J20" s="22"/>
      <c r="M20" s="22">
        <f>+M19-N17</f>
        <v>32405851.231224686</v>
      </c>
      <c r="O20" s="83"/>
      <c r="P20" s="90"/>
    </row>
    <row r="21" spans="1:16" hidden="1" x14ac:dyDescent="0.25">
      <c r="C21" s="6">
        <v>781954</v>
      </c>
      <c r="L21" s="6">
        <v>54680132</v>
      </c>
      <c r="O21" s="83"/>
      <c r="P21" s="90"/>
    </row>
    <row r="22" spans="1:16" hidden="1" x14ac:dyDescent="0.25">
      <c r="C22" s="6">
        <f>+C21+C20+C19</f>
        <v>11248728907</v>
      </c>
      <c r="H22" s="6"/>
      <c r="I22" s="6"/>
      <c r="J22" s="6"/>
      <c r="L22" s="6">
        <f>+L21-L6</f>
        <v>54680132</v>
      </c>
      <c r="O22" s="83"/>
      <c r="P22" s="90"/>
    </row>
    <row r="23" spans="1:16" ht="29.25" customHeight="1" x14ac:dyDescent="0.25">
      <c r="C23" s="81"/>
      <c r="D23" s="81"/>
      <c r="E23" s="81"/>
      <c r="F23" s="81"/>
      <c r="G23" s="81"/>
      <c r="H23" s="98"/>
      <c r="I23" s="98"/>
      <c r="J23" s="98"/>
      <c r="K23" s="26"/>
      <c r="L23" s="141" t="s">
        <v>94</v>
      </c>
      <c r="M23" s="141"/>
      <c r="N23" s="141"/>
      <c r="O23" s="98"/>
      <c r="P23" s="79">
        <f>N13*30%</f>
        <v>8520270.5104795061</v>
      </c>
    </row>
    <row r="24" spans="1:16" x14ac:dyDescent="0.25">
      <c r="A24" s="142" t="s">
        <v>8</v>
      </c>
      <c r="B24" s="142"/>
      <c r="C24" s="81"/>
      <c r="D24" s="105"/>
      <c r="E24" s="105"/>
      <c r="F24" s="95">
        <f>J17*20%</f>
        <v>87951209.800000012</v>
      </c>
      <c r="G24" s="105"/>
      <c r="H24" s="106"/>
      <c r="I24" s="106"/>
      <c r="J24" s="106"/>
      <c r="L24" s="138" t="s">
        <v>9</v>
      </c>
      <c r="M24" s="138"/>
      <c r="N24" s="138"/>
      <c r="O24" s="98"/>
      <c r="P24" s="79"/>
    </row>
    <row r="25" spans="1:16" x14ac:dyDescent="0.25">
      <c r="C25" s="81"/>
      <c r="D25" s="105"/>
      <c r="E25" s="105"/>
      <c r="F25" s="95">
        <f>L8</f>
        <v>27269192.134353913</v>
      </c>
      <c r="G25" s="105"/>
      <c r="H25" s="107"/>
      <c r="I25" s="107"/>
      <c r="J25" s="107"/>
      <c r="O25" s="83"/>
      <c r="P25" s="79"/>
    </row>
    <row r="26" spans="1:16" x14ac:dyDescent="0.25">
      <c r="C26" s="81"/>
      <c r="D26" s="105"/>
      <c r="E26" s="105"/>
      <c r="F26" s="95">
        <f>L13</f>
        <v>28400901.701598354</v>
      </c>
      <c r="G26" s="105"/>
      <c r="H26" s="105"/>
      <c r="I26" s="105"/>
      <c r="J26" s="105"/>
      <c r="O26" s="83"/>
      <c r="P26" s="79">
        <f>N13-P23</f>
        <v>19880631.191118848</v>
      </c>
    </row>
    <row r="27" spans="1:16" x14ac:dyDescent="0.25">
      <c r="C27" s="81"/>
      <c r="D27" s="108"/>
      <c r="E27" s="81"/>
      <c r="F27" s="77">
        <f>F25+F26</f>
        <v>55670093.835952267</v>
      </c>
      <c r="G27" s="81"/>
      <c r="H27" s="81"/>
      <c r="I27" s="81"/>
      <c r="J27" s="81"/>
      <c r="O27" s="83"/>
      <c r="P27" s="90"/>
    </row>
    <row r="28" spans="1:16" x14ac:dyDescent="0.25">
      <c r="C28" s="81"/>
      <c r="D28" s="109"/>
      <c r="E28" s="81"/>
      <c r="F28" s="77">
        <f>F24-F27</f>
        <v>32281115.964047745</v>
      </c>
      <c r="G28" s="81"/>
      <c r="H28" s="82"/>
      <c r="I28" s="82"/>
      <c r="J28" s="82"/>
      <c r="M28" s="80" t="s">
        <v>55</v>
      </c>
      <c r="O28" s="83"/>
      <c r="P28" s="90"/>
    </row>
    <row r="29" spans="1:16" x14ac:dyDescent="0.25">
      <c r="C29" s="81"/>
      <c r="D29" s="110"/>
      <c r="E29" s="81"/>
      <c r="F29" s="81"/>
      <c r="G29" s="81"/>
      <c r="H29" s="81"/>
      <c r="I29" s="81"/>
      <c r="J29" s="81"/>
    </row>
    <row r="30" spans="1:16" s="1" customFormat="1" x14ac:dyDescent="0.25">
      <c r="B30" s="5"/>
      <c r="C30" s="81"/>
      <c r="D30" s="111"/>
      <c r="E30" s="112"/>
      <c r="F30" s="112"/>
      <c r="G30" s="112"/>
      <c r="H30" s="112"/>
      <c r="I30" s="112"/>
      <c r="J30" s="112"/>
      <c r="K30" s="2"/>
      <c r="L30" s="138"/>
      <c r="M30" s="138"/>
      <c r="N30" s="138"/>
    </row>
    <row r="31" spans="1:16" x14ac:dyDescent="0.25">
      <c r="C31" s="81"/>
      <c r="D31" s="81"/>
      <c r="E31" s="81"/>
      <c r="F31" s="81"/>
      <c r="G31" s="81"/>
      <c r="H31" s="98"/>
      <c r="I31" s="98"/>
      <c r="J31" s="98"/>
    </row>
    <row r="32" spans="1:16" x14ac:dyDescent="0.25">
      <c r="C32" s="81"/>
      <c r="D32" s="81"/>
      <c r="E32" s="81"/>
      <c r="F32" s="81"/>
      <c r="G32" s="81"/>
      <c r="H32" s="83"/>
      <c r="I32" s="83"/>
      <c r="J32" s="83"/>
    </row>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219"/>
  <sheetViews>
    <sheetView topLeftCell="B46" workbookViewId="0">
      <selection activeCell="D52" sqref="D52:E56"/>
    </sheetView>
  </sheetViews>
  <sheetFormatPr defaultColWidth="8" defaultRowHeight="15" x14ac:dyDescent="0.25"/>
  <cols>
    <col min="1" max="1" width="15.5703125" style="24" customWidth="1"/>
    <col min="2" max="2" width="91.5703125" style="24" customWidth="1"/>
    <col min="3" max="3" width="20.42578125" style="66" customWidth="1"/>
    <col min="4" max="4" width="17.7109375" style="67" customWidth="1"/>
    <col min="5" max="5" width="24.28515625" style="68" customWidth="1"/>
    <col min="6" max="16384" width="8" style="24"/>
  </cols>
  <sheetData>
    <row r="1" spans="1:5" s="23" customFormat="1" ht="20.25" x14ac:dyDescent="0.3">
      <c r="A1" s="137" t="s">
        <v>96</v>
      </c>
      <c r="B1" s="137"/>
      <c r="C1" s="137"/>
      <c r="D1" s="137"/>
      <c r="E1" s="137"/>
    </row>
    <row r="2" spans="1:5" s="27" customFormat="1" ht="39" customHeight="1" x14ac:dyDescent="0.25">
      <c r="A2" s="45" t="s">
        <v>10</v>
      </c>
      <c r="B2" s="30" t="s">
        <v>11</v>
      </c>
      <c r="C2" s="54" t="s">
        <v>12</v>
      </c>
      <c r="D2" s="55" t="s">
        <v>14</v>
      </c>
      <c r="E2" s="56" t="s">
        <v>16</v>
      </c>
    </row>
    <row r="3" spans="1:5" s="28" customFormat="1" ht="27.75" customHeight="1" x14ac:dyDescent="0.25">
      <c r="A3" s="46"/>
      <c r="B3" s="52" t="s">
        <v>26</v>
      </c>
      <c r="C3" s="101">
        <f>SUM(C4:C8)</f>
        <v>4199112539</v>
      </c>
      <c r="D3" s="101">
        <f>SUM(D4:D8)</f>
        <v>4070594256</v>
      </c>
      <c r="E3" s="101">
        <f>SUM(E4:E8)</f>
        <v>128518283</v>
      </c>
    </row>
    <row r="4" spans="1:5" s="28" customFormat="1" ht="63" customHeight="1" x14ac:dyDescent="0.25">
      <c r="A4" s="49" t="s">
        <v>98</v>
      </c>
      <c r="B4" s="50" t="s">
        <v>97</v>
      </c>
      <c r="C4" s="58">
        <v>803905000</v>
      </c>
      <c r="D4" s="104">
        <v>707885000</v>
      </c>
      <c r="E4" s="58">
        <f>+C4-D4</f>
        <v>96020000</v>
      </c>
    </row>
    <row r="5" spans="1:5" s="28" customFormat="1" ht="45" x14ac:dyDescent="0.25">
      <c r="A5" s="49" t="s">
        <v>100</v>
      </c>
      <c r="B5" s="50" t="s">
        <v>99</v>
      </c>
      <c r="C5" s="102">
        <v>1185236700</v>
      </c>
      <c r="D5" s="102">
        <v>1179236700</v>
      </c>
      <c r="E5" s="58">
        <f>+C5-D5</f>
        <v>6000000</v>
      </c>
    </row>
    <row r="6" spans="1:5" s="28" customFormat="1" ht="84" customHeight="1" x14ac:dyDescent="0.25">
      <c r="A6" s="53"/>
      <c r="B6" s="50" t="s">
        <v>103</v>
      </c>
      <c r="C6" s="103">
        <v>1343244474</v>
      </c>
      <c r="D6" s="103">
        <v>1324454796</v>
      </c>
      <c r="E6" s="58">
        <f t="shared" ref="E6:E8" si="0">+C6-D6</f>
        <v>18789678</v>
      </c>
    </row>
    <row r="7" spans="1:5" s="28" customFormat="1" ht="27.75" customHeight="1" x14ac:dyDescent="0.25">
      <c r="A7" s="53"/>
      <c r="B7" s="75" t="s">
        <v>122</v>
      </c>
      <c r="C7" s="102">
        <v>316726366</v>
      </c>
      <c r="D7" s="102">
        <v>313614760</v>
      </c>
      <c r="E7" s="58">
        <f>+C7-D7</f>
        <v>3111606</v>
      </c>
    </row>
    <row r="8" spans="1:5" s="28" customFormat="1" ht="27.75" customHeight="1" x14ac:dyDescent="0.25">
      <c r="A8" s="53"/>
      <c r="B8" s="50" t="s">
        <v>123</v>
      </c>
      <c r="C8" s="102">
        <v>549999999</v>
      </c>
      <c r="D8" s="103">
        <v>545403000</v>
      </c>
      <c r="E8" s="58">
        <f t="shared" si="0"/>
        <v>4596999</v>
      </c>
    </row>
    <row r="9" spans="1:5" s="28" customFormat="1" ht="27.75" customHeight="1" x14ac:dyDescent="0.25">
      <c r="A9" s="46"/>
      <c r="B9" s="52" t="s">
        <v>22</v>
      </c>
      <c r="C9" s="57">
        <f>SUM(C10:C48)</f>
        <v>12112920105</v>
      </c>
      <c r="D9" s="57">
        <f>SUM(D10:D48)</f>
        <v>11310917362</v>
      </c>
      <c r="E9" s="57">
        <f>SUM(E10:E48)</f>
        <v>802002743</v>
      </c>
    </row>
    <row r="10" spans="1:5" s="28" customFormat="1" ht="27.75" customHeight="1" x14ac:dyDescent="0.25">
      <c r="A10" s="48"/>
      <c r="B10" s="50" t="s">
        <v>101</v>
      </c>
      <c r="C10" s="94">
        <v>44696296</v>
      </c>
      <c r="D10" s="94">
        <v>21501516</v>
      </c>
      <c r="E10" s="58">
        <f>+C10-D10</f>
        <v>23194780</v>
      </c>
    </row>
    <row r="11" spans="1:5" s="28" customFormat="1" ht="27.75" customHeight="1" x14ac:dyDescent="0.25">
      <c r="A11" s="48"/>
      <c r="B11" s="50" t="s">
        <v>102</v>
      </c>
      <c r="C11" s="94">
        <v>44864815</v>
      </c>
      <c r="D11" s="94">
        <v>18512833</v>
      </c>
      <c r="E11" s="58">
        <f t="shared" ref="E11:E47" si="1">+C11-D11</f>
        <v>26351982</v>
      </c>
    </row>
    <row r="12" spans="1:5" s="28" customFormat="1" ht="27.75" customHeight="1" x14ac:dyDescent="0.25">
      <c r="A12" s="48"/>
      <c r="B12" s="50" t="s">
        <v>104</v>
      </c>
      <c r="C12" s="94">
        <v>45833333</v>
      </c>
      <c r="D12" s="94">
        <v>28677872</v>
      </c>
      <c r="E12" s="58">
        <f t="shared" si="1"/>
        <v>17155461</v>
      </c>
    </row>
    <row r="13" spans="1:5" s="28" customFormat="1" ht="27.75" customHeight="1" x14ac:dyDescent="0.25">
      <c r="A13" s="48"/>
      <c r="B13" s="50" t="s">
        <v>105</v>
      </c>
      <c r="C13" s="94">
        <v>45740741</v>
      </c>
      <c r="D13" s="94">
        <v>24571654</v>
      </c>
      <c r="E13" s="58">
        <f t="shared" si="1"/>
        <v>21169087</v>
      </c>
    </row>
    <row r="14" spans="1:5" s="28" customFormat="1" ht="27.75" customHeight="1" x14ac:dyDescent="0.25">
      <c r="A14" s="48"/>
      <c r="B14" s="50" t="s">
        <v>106</v>
      </c>
      <c r="C14" s="94">
        <v>45462963</v>
      </c>
      <c r="D14" s="94">
        <v>26546783</v>
      </c>
      <c r="E14" s="58">
        <f t="shared" si="1"/>
        <v>18916180</v>
      </c>
    </row>
    <row r="15" spans="1:5" s="28" customFormat="1" ht="27.75" customHeight="1" x14ac:dyDescent="0.25">
      <c r="A15" s="48"/>
      <c r="B15" s="50" t="s">
        <v>107</v>
      </c>
      <c r="C15" s="94">
        <v>41574074</v>
      </c>
      <c r="D15" s="94">
        <v>24291848</v>
      </c>
      <c r="E15" s="58">
        <f t="shared" si="1"/>
        <v>17282226</v>
      </c>
    </row>
    <row r="16" spans="1:5" s="28" customFormat="1" ht="27.75" customHeight="1" x14ac:dyDescent="0.25">
      <c r="A16" s="48"/>
      <c r="B16" s="50" t="s">
        <v>108</v>
      </c>
      <c r="C16" s="94">
        <v>280133352</v>
      </c>
      <c r="D16" s="94">
        <v>260013988</v>
      </c>
      <c r="E16" s="58">
        <f t="shared" si="1"/>
        <v>20119364</v>
      </c>
    </row>
    <row r="17" spans="1:5" s="28" customFormat="1" ht="27.75" customHeight="1" x14ac:dyDescent="0.25">
      <c r="A17" s="48"/>
      <c r="B17" s="50" t="s">
        <v>109</v>
      </c>
      <c r="C17" s="94">
        <v>91944444</v>
      </c>
      <c r="D17" s="94">
        <v>67624398</v>
      </c>
      <c r="E17" s="58">
        <f t="shared" si="1"/>
        <v>24320046</v>
      </c>
    </row>
    <row r="18" spans="1:5" s="28" customFormat="1" ht="27.75" customHeight="1" x14ac:dyDescent="0.25">
      <c r="A18" s="48"/>
      <c r="B18" s="50" t="s">
        <v>110</v>
      </c>
      <c r="C18" s="94">
        <v>45462963</v>
      </c>
      <c r="D18" s="94">
        <v>25253001</v>
      </c>
      <c r="E18" s="58">
        <f t="shared" si="1"/>
        <v>20209962</v>
      </c>
    </row>
    <row r="19" spans="1:5" s="28" customFormat="1" ht="27.75" customHeight="1" x14ac:dyDescent="0.25">
      <c r="A19" s="48"/>
      <c r="B19" s="50" t="s">
        <v>111</v>
      </c>
      <c r="C19" s="94">
        <v>45611111</v>
      </c>
      <c r="D19" s="94">
        <v>25662949</v>
      </c>
      <c r="E19" s="58">
        <f t="shared" si="1"/>
        <v>19948162</v>
      </c>
    </row>
    <row r="20" spans="1:5" s="28" customFormat="1" ht="27.75" customHeight="1" x14ac:dyDescent="0.25">
      <c r="A20" s="48"/>
      <c r="B20" s="50" t="s">
        <v>112</v>
      </c>
      <c r="C20" s="94">
        <v>924073148</v>
      </c>
      <c r="D20" s="94">
        <v>889917491</v>
      </c>
      <c r="E20" s="58">
        <f t="shared" si="1"/>
        <v>34155657</v>
      </c>
    </row>
    <row r="21" spans="1:5" s="28" customFormat="1" ht="27.75" customHeight="1" x14ac:dyDescent="0.25">
      <c r="A21" s="48"/>
      <c r="B21" s="50" t="s">
        <v>113</v>
      </c>
      <c r="C21" s="94">
        <v>921296296</v>
      </c>
      <c r="D21" s="94">
        <v>910337062</v>
      </c>
      <c r="E21" s="58">
        <f t="shared" si="1"/>
        <v>10959234</v>
      </c>
    </row>
    <row r="22" spans="1:5" s="28" customFormat="1" ht="27.75" customHeight="1" x14ac:dyDescent="0.25">
      <c r="A22" s="48"/>
      <c r="B22" s="49" t="s">
        <v>114</v>
      </c>
      <c r="C22" s="94">
        <v>27000000</v>
      </c>
      <c r="D22" s="94">
        <v>8178839</v>
      </c>
      <c r="E22" s="58">
        <f t="shared" si="1"/>
        <v>18821161</v>
      </c>
    </row>
    <row r="23" spans="1:5" s="28" customFormat="1" ht="27.75" customHeight="1" x14ac:dyDescent="0.25">
      <c r="A23" s="48"/>
      <c r="B23" s="49" t="s">
        <v>115</v>
      </c>
      <c r="C23" s="94">
        <v>11099000</v>
      </c>
      <c r="D23" s="92">
        <v>4490127</v>
      </c>
      <c r="E23" s="58">
        <f t="shared" si="1"/>
        <v>6608873</v>
      </c>
    </row>
    <row r="24" spans="1:5" s="28" customFormat="1" ht="27.75" customHeight="1" x14ac:dyDescent="0.25">
      <c r="A24" s="48"/>
      <c r="B24" s="50" t="s">
        <v>116</v>
      </c>
      <c r="C24" s="94">
        <v>53650000</v>
      </c>
      <c r="D24" s="94">
        <v>25835916</v>
      </c>
      <c r="E24" s="58">
        <f t="shared" si="1"/>
        <v>27814084</v>
      </c>
    </row>
    <row r="25" spans="1:5" s="28" customFormat="1" ht="27.75" customHeight="1" x14ac:dyDescent="0.25">
      <c r="A25" s="48"/>
      <c r="B25" s="50" t="s">
        <v>117</v>
      </c>
      <c r="C25" s="94">
        <v>288259882</v>
      </c>
      <c r="D25" s="94">
        <v>258849803</v>
      </c>
      <c r="E25" s="58">
        <f t="shared" si="1"/>
        <v>29410079</v>
      </c>
    </row>
    <row r="26" spans="1:5" s="28" customFormat="1" ht="27.75" customHeight="1" x14ac:dyDescent="0.25">
      <c r="A26" s="48"/>
      <c r="B26" s="93" t="s">
        <v>118</v>
      </c>
      <c r="C26" s="94">
        <v>6025000</v>
      </c>
      <c r="D26" s="94">
        <v>3874630</v>
      </c>
      <c r="E26" s="58">
        <f t="shared" si="1"/>
        <v>2150370</v>
      </c>
    </row>
    <row r="27" spans="1:5" s="28" customFormat="1" ht="27.75" customHeight="1" x14ac:dyDescent="0.25">
      <c r="A27" s="48"/>
      <c r="B27" s="93" t="s">
        <v>119</v>
      </c>
      <c r="C27" s="94">
        <v>10370370</v>
      </c>
      <c r="D27" s="94">
        <v>5144822</v>
      </c>
      <c r="E27" s="58">
        <f>+C27-D27</f>
        <v>5225548</v>
      </c>
    </row>
    <row r="28" spans="1:5" s="28" customFormat="1" ht="27.75" customHeight="1" x14ac:dyDescent="0.25">
      <c r="A28" s="48"/>
      <c r="B28" s="50" t="s">
        <v>120</v>
      </c>
      <c r="C28" s="94">
        <v>1536060817</v>
      </c>
      <c r="D28" s="94">
        <v>1456308397</v>
      </c>
      <c r="E28" s="58">
        <f>+C28-D28</f>
        <v>79752420</v>
      </c>
    </row>
    <row r="29" spans="1:5" s="116" customFormat="1" ht="27.75" customHeight="1" x14ac:dyDescent="0.25">
      <c r="A29" s="46"/>
      <c r="B29" s="120" t="s">
        <v>121</v>
      </c>
      <c r="C29" s="121">
        <v>498000000</v>
      </c>
      <c r="D29" s="121">
        <v>497071216</v>
      </c>
      <c r="E29" s="122">
        <f t="shared" si="1"/>
        <v>928784</v>
      </c>
    </row>
    <row r="30" spans="1:5" s="28" customFormat="1" ht="27.75" customHeight="1" x14ac:dyDescent="0.25">
      <c r="A30" s="48"/>
      <c r="B30" s="93" t="s">
        <v>124</v>
      </c>
      <c r="C30" s="94">
        <v>256363636</v>
      </c>
      <c r="D30" s="94">
        <v>250000000</v>
      </c>
      <c r="E30" s="58">
        <f t="shared" si="1"/>
        <v>6363636</v>
      </c>
    </row>
    <row r="31" spans="1:5" s="28" customFormat="1" ht="27.75" customHeight="1" x14ac:dyDescent="0.25">
      <c r="A31" s="48"/>
      <c r="B31" s="93" t="s">
        <v>125</v>
      </c>
      <c r="C31" s="94">
        <v>173574545</v>
      </c>
      <c r="D31" s="94">
        <v>150000000</v>
      </c>
      <c r="E31" s="58">
        <f t="shared" si="1"/>
        <v>23574545</v>
      </c>
    </row>
    <row r="32" spans="1:5" s="28" customFormat="1" ht="27.75" customHeight="1" x14ac:dyDescent="0.25">
      <c r="A32" s="48"/>
      <c r="B32" s="93" t="s">
        <v>126</v>
      </c>
      <c r="C32" s="94">
        <v>426971818</v>
      </c>
      <c r="D32" s="94">
        <v>365000000</v>
      </c>
      <c r="E32" s="58">
        <f t="shared" si="1"/>
        <v>61971818</v>
      </c>
    </row>
    <row r="33" spans="1:5" s="28" customFormat="1" ht="27.75" customHeight="1" x14ac:dyDescent="0.25">
      <c r="A33" s="48"/>
      <c r="B33" s="93" t="s">
        <v>127</v>
      </c>
      <c r="C33" s="94">
        <v>45462963</v>
      </c>
      <c r="D33" s="94">
        <v>35753001</v>
      </c>
      <c r="E33" s="58">
        <f t="shared" si="1"/>
        <v>9709962</v>
      </c>
    </row>
    <row r="34" spans="1:5" s="28" customFormat="1" ht="27.75" customHeight="1" x14ac:dyDescent="0.25">
      <c r="A34" s="48"/>
      <c r="B34" s="93" t="s">
        <v>128</v>
      </c>
      <c r="C34" s="94">
        <v>45740741</v>
      </c>
      <c r="D34" s="94">
        <v>32140000</v>
      </c>
      <c r="E34" s="58">
        <f>+C34-D34</f>
        <v>13600741</v>
      </c>
    </row>
    <row r="35" spans="1:5" s="28" customFormat="1" ht="27.75" customHeight="1" x14ac:dyDescent="0.25">
      <c r="A35" s="48"/>
      <c r="B35" s="93" t="s">
        <v>129</v>
      </c>
      <c r="C35" s="94">
        <v>45330556</v>
      </c>
      <c r="D35" s="94">
        <v>21744109</v>
      </c>
      <c r="E35" s="58">
        <f t="shared" si="1"/>
        <v>23586447</v>
      </c>
    </row>
    <row r="36" spans="1:5" s="28" customFormat="1" ht="27.75" customHeight="1" x14ac:dyDescent="0.25">
      <c r="A36" s="48"/>
      <c r="B36" s="93" t="s">
        <v>130</v>
      </c>
      <c r="C36" s="94">
        <v>45555556</v>
      </c>
      <c r="D36" s="94">
        <v>35570219</v>
      </c>
      <c r="E36" s="58">
        <f t="shared" si="1"/>
        <v>9985337</v>
      </c>
    </row>
    <row r="37" spans="1:5" s="28" customFormat="1" ht="27.75" customHeight="1" x14ac:dyDescent="0.25">
      <c r="A37" s="48"/>
      <c r="B37" s="93" t="s">
        <v>131</v>
      </c>
      <c r="C37" s="94">
        <v>45462963</v>
      </c>
      <c r="D37" s="94">
        <v>28653001</v>
      </c>
      <c r="E37" s="58">
        <f t="shared" si="1"/>
        <v>16809962</v>
      </c>
    </row>
    <row r="38" spans="1:5" s="28" customFormat="1" ht="27.75" customHeight="1" x14ac:dyDescent="0.25">
      <c r="A38" s="48"/>
      <c r="B38" s="50" t="s">
        <v>132</v>
      </c>
      <c r="C38" s="94">
        <v>44444444</v>
      </c>
      <c r="D38" s="94">
        <v>28484603</v>
      </c>
      <c r="E38" s="58">
        <f t="shared" si="1"/>
        <v>15959841</v>
      </c>
    </row>
    <row r="39" spans="1:5" s="28" customFormat="1" ht="27.75" customHeight="1" x14ac:dyDescent="0.25">
      <c r="A39" s="48"/>
      <c r="B39" s="93" t="s">
        <v>133</v>
      </c>
      <c r="C39" s="94">
        <v>41069444</v>
      </c>
      <c r="D39" s="94">
        <v>21257960</v>
      </c>
      <c r="E39" s="58">
        <f t="shared" si="1"/>
        <v>19811484</v>
      </c>
    </row>
    <row r="40" spans="1:5" s="28" customFormat="1" ht="27.75" customHeight="1" x14ac:dyDescent="0.25">
      <c r="A40" s="48"/>
      <c r="B40" s="93" t="s">
        <v>134</v>
      </c>
      <c r="C40" s="94">
        <v>560164815</v>
      </c>
      <c r="D40" s="94">
        <v>541302569</v>
      </c>
      <c r="E40" s="58">
        <f t="shared" si="1"/>
        <v>18862246</v>
      </c>
    </row>
    <row r="41" spans="1:5" s="28" customFormat="1" ht="27.75" customHeight="1" x14ac:dyDescent="0.25">
      <c r="A41" s="48"/>
      <c r="B41" s="50" t="s">
        <v>135</v>
      </c>
      <c r="C41" s="94">
        <v>535782056</v>
      </c>
      <c r="D41" s="94">
        <v>533479806</v>
      </c>
      <c r="E41" s="58">
        <f t="shared" si="1"/>
        <v>2302250</v>
      </c>
    </row>
    <row r="42" spans="1:5" s="28" customFormat="1" ht="27.75" customHeight="1" x14ac:dyDescent="0.25">
      <c r="A42" s="48"/>
      <c r="B42" s="50" t="s">
        <v>136</v>
      </c>
      <c r="C42" s="94">
        <v>644049074</v>
      </c>
      <c r="D42" s="94">
        <v>618833312</v>
      </c>
      <c r="E42" s="58">
        <f t="shared" si="1"/>
        <v>25215762</v>
      </c>
    </row>
    <row r="43" spans="1:5" s="28" customFormat="1" ht="27.75" customHeight="1" x14ac:dyDescent="0.25">
      <c r="A43" s="48"/>
      <c r="B43" s="50" t="s">
        <v>137</v>
      </c>
      <c r="C43" s="94">
        <v>36000000</v>
      </c>
      <c r="D43" s="94">
        <v>14417528</v>
      </c>
      <c r="E43" s="58">
        <f t="shared" si="1"/>
        <v>21582472</v>
      </c>
    </row>
    <row r="44" spans="1:5" s="28" customFormat="1" ht="27.75" customHeight="1" x14ac:dyDescent="0.25">
      <c r="A44" s="48"/>
      <c r="B44" s="50" t="s">
        <v>138</v>
      </c>
      <c r="C44" s="94">
        <v>370370370</v>
      </c>
      <c r="D44" s="94">
        <v>351385591</v>
      </c>
      <c r="E44" s="58">
        <f t="shared" si="1"/>
        <v>18984779</v>
      </c>
    </row>
    <row r="45" spans="1:5" s="28" customFormat="1" ht="27.75" customHeight="1" x14ac:dyDescent="0.25">
      <c r="A45" s="48"/>
      <c r="B45" s="50" t="s">
        <v>139</v>
      </c>
      <c r="C45" s="94">
        <v>83333333</v>
      </c>
      <c r="D45" s="94">
        <v>73096132</v>
      </c>
      <c r="E45" s="58">
        <f t="shared" si="1"/>
        <v>10237201</v>
      </c>
    </row>
    <row r="46" spans="1:5" s="116" customFormat="1" ht="27.75" customHeight="1" x14ac:dyDescent="0.25">
      <c r="A46" s="46"/>
      <c r="B46" s="131" t="s">
        <v>140</v>
      </c>
      <c r="C46" s="121">
        <v>524444444</v>
      </c>
      <c r="D46" s="121">
        <v>493543662</v>
      </c>
      <c r="E46" s="122">
        <f t="shared" si="1"/>
        <v>30900782</v>
      </c>
    </row>
    <row r="47" spans="1:5" s="116" customFormat="1" ht="27.75" customHeight="1" x14ac:dyDescent="0.25">
      <c r="A47" s="46"/>
      <c r="B47" s="131" t="s">
        <v>141</v>
      </c>
      <c r="C47" s="121">
        <v>3165437038</v>
      </c>
      <c r="D47" s="121">
        <v>3121452587</v>
      </c>
      <c r="E47" s="122">
        <f t="shared" si="1"/>
        <v>43984451</v>
      </c>
    </row>
    <row r="48" spans="1:5" s="28" customFormat="1" ht="27.75" customHeight="1" x14ac:dyDescent="0.25">
      <c r="A48" s="48"/>
      <c r="B48" s="50" t="s">
        <v>142</v>
      </c>
      <c r="C48" s="94">
        <v>16203704</v>
      </c>
      <c r="D48" s="94">
        <v>12138137</v>
      </c>
      <c r="E48" s="58">
        <f>+C48-D48</f>
        <v>4065567</v>
      </c>
    </row>
    <row r="49" spans="1:5" s="27" customFormat="1" ht="36" customHeight="1" x14ac:dyDescent="0.25">
      <c r="A49" s="46"/>
      <c r="B49" s="52"/>
      <c r="C49" s="60">
        <f>C9+C3</f>
        <v>16312032644</v>
      </c>
      <c r="D49" s="60">
        <f>D9+D3</f>
        <v>15381511618</v>
      </c>
      <c r="E49" s="60">
        <f>E9+E3</f>
        <v>930521026</v>
      </c>
    </row>
    <row r="50" spans="1:5" s="25" customFormat="1" ht="19.5" customHeight="1" x14ac:dyDescent="0.25">
      <c r="B50" s="139" t="s">
        <v>58</v>
      </c>
      <c r="C50" s="139"/>
      <c r="D50" s="61"/>
      <c r="E50" s="62"/>
    </row>
    <row r="51" spans="1:5" s="25" customFormat="1" ht="19.5" customHeight="1" x14ac:dyDescent="0.25">
      <c r="B51" s="138" t="s">
        <v>13</v>
      </c>
      <c r="C51" s="138"/>
      <c r="D51" s="63"/>
      <c r="E51" s="62"/>
    </row>
    <row r="52" spans="1:5" s="25" customFormat="1" ht="19.5" customHeight="1" x14ac:dyDescent="0.25">
      <c r="B52" s="6"/>
      <c r="C52" s="51"/>
      <c r="D52" s="51"/>
      <c r="E52" s="62"/>
    </row>
    <row r="53" spans="1:5" s="25" customFormat="1" ht="19.5" customHeight="1" x14ac:dyDescent="0.25">
      <c r="B53" s="6"/>
      <c r="C53" s="51"/>
      <c r="D53" s="51"/>
      <c r="E53" s="62"/>
    </row>
    <row r="54" spans="1:5" s="25" customFormat="1" ht="19.5" customHeight="1" x14ac:dyDescent="0.25">
      <c r="B54" s="6"/>
      <c r="C54" s="51"/>
      <c r="D54" s="51"/>
      <c r="E54" s="62"/>
    </row>
    <row r="55" spans="1:5" s="25" customFormat="1" ht="19.5" customHeight="1" x14ac:dyDescent="0.25">
      <c r="B55" s="6"/>
      <c r="C55" s="51"/>
      <c r="D55" s="51"/>
      <c r="E55" s="62"/>
    </row>
    <row r="56" spans="1:5" s="25" customFormat="1" ht="19.5" customHeight="1" x14ac:dyDescent="0.25">
      <c r="B56" s="6"/>
      <c r="C56" s="51"/>
      <c r="D56" s="51"/>
      <c r="E56" s="62"/>
    </row>
    <row r="57" spans="1:5" s="25" customFormat="1" ht="19.5" customHeight="1" x14ac:dyDescent="0.25">
      <c r="B57" s="6"/>
      <c r="C57" s="51"/>
      <c r="D57" s="51"/>
      <c r="E57" s="62"/>
    </row>
    <row r="58" spans="1:5" s="25" customFormat="1" ht="19.5" customHeight="1" x14ac:dyDescent="0.25">
      <c r="B58" s="138"/>
      <c r="C58" s="138"/>
      <c r="D58" s="63"/>
      <c r="E58" s="62"/>
    </row>
    <row r="59" spans="1:5" s="25" customFormat="1" ht="19.5" customHeight="1" x14ac:dyDescent="0.25">
      <c r="C59" s="64"/>
      <c r="D59" s="65"/>
      <c r="E59" s="62"/>
    </row>
    <row r="60" spans="1:5" s="25" customFormat="1" ht="19.5" customHeight="1" x14ac:dyDescent="0.25">
      <c r="C60" s="64"/>
      <c r="D60" s="65"/>
      <c r="E60" s="62"/>
    </row>
    <row r="61" spans="1:5" s="25" customFormat="1" ht="19.5" customHeight="1" x14ac:dyDescent="0.25">
      <c r="C61" s="64"/>
      <c r="D61" s="65"/>
      <c r="E61" s="62"/>
    </row>
    <row r="62" spans="1:5" s="25" customFormat="1" ht="19.5" customHeight="1" x14ac:dyDescent="0.25">
      <c r="C62" s="64"/>
      <c r="D62" s="65"/>
      <c r="E62" s="62"/>
    </row>
    <row r="63" spans="1:5" s="25" customFormat="1" ht="19.5" customHeight="1" x14ac:dyDescent="0.25">
      <c r="C63" s="64"/>
      <c r="D63" s="65"/>
      <c r="E63" s="62"/>
    </row>
    <row r="64" spans="1:5" ht="19.5" customHeight="1" x14ac:dyDescent="0.25"/>
    <row r="65" spans="3:5" ht="19.5" customHeight="1" x14ac:dyDescent="0.25"/>
    <row r="66" spans="3:5" ht="19.5" customHeight="1" x14ac:dyDescent="0.25"/>
    <row r="67" spans="3:5" ht="19.5" customHeight="1" x14ac:dyDescent="0.25"/>
    <row r="68" spans="3:5" ht="19.5" customHeight="1" x14ac:dyDescent="0.25"/>
    <row r="69" spans="3:5" ht="19.5" customHeight="1" x14ac:dyDescent="0.25"/>
    <row r="70" spans="3:5" ht="19.5" customHeight="1" x14ac:dyDescent="0.25"/>
    <row r="71" spans="3:5" ht="19.5" customHeight="1" x14ac:dyDescent="0.25"/>
    <row r="72" spans="3:5" ht="19.5" customHeight="1" x14ac:dyDescent="0.25"/>
    <row r="73" spans="3:5" ht="19.5" customHeight="1" x14ac:dyDescent="0.25"/>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row r="210" spans="3:5" x14ac:dyDescent="0.25">
      <c r="C210" s="24"/>
      <c r="D210" s="24"/>
      <c r="E210" s="24"/>
    </row>
    <row r="211" spans="3:5" x14ac:dyDescent="0.25">
      <c r="C211" s="24"/>
      <c r="D211" s="24"/>
      <c r="E211" s="24"/>
    </row>
    <row r="212" spans="3:5" x14ac:dyDescent="0.25">
      <c r="C212" s="24"/>
      <c r="D212" s="24"/>
      <c r="E212" s="24"/>
    </row>
    <row r="213" spans="3:5" x14ac:dyDescent="0.25">
      <c r="C213" s="24"/>
      <c r="D213" s="24"/>
      <c r="E213" s="24"/>
    </row>
    <row r="214" spans="3:5" x14ac:dyDescent="0.25">
      <c r="C214" s="24"/>
      <c r="D214" s="24"/>
      <c r="E214" s="24"/>
    </row>
    <row r="215" spans="3:5" x14ac:dyDescent="0.25">
      <c r="C215" s="24"/>
      <c r="D215" s="24"/>
      <c r="E215" s="24"/>
    </row>
    <row r="216" spans="3:5" x14ac:dyDescent="0.25">
      <c r="C216" s="24"/>
      <c r="D216" s="24"/>
      <c r="E216" s="24"/>
    </row>
    <row r="217" spans="3:5" x14ac:dyDescent="0.25">
      <c r="C217" s="24"/>
      <c r="D217" s="24"/>
      <c r="E217" s="24"/>
    </row>
    <row r="218" spans="3:5" x14ac:dyDescent="0.25">
      <c r="C218" s="24"/>
      <c r="D218" s="24"/>
      <c r="E218" s="24"/>
    </row>
    <row r="219" spans="3:5" x14ac:dyDescent="0.25">
      <c r="C219" s="24"/>
      <c r="D219" s="24"/>
      <c r="E219" s="24"/>
    </row>
  </sheetData>
  <mergeCells count="4">
    <mergeCell ref="A1:E1"/>
    <mergeCell ref="B50:C50"/>
    <mergeCell ref="B51:C51"/>
    <mergeCell ref="B58:C5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0"/>
  <sheetViews>
    <sheetView topLeftCell="A10" zoomScale="70" zoomScaleNormal="70" workbookViewId="0">
      <selection activeCell="M11" sqref="M11"/>
    </sheetView>
  </sheetViews>
  <sheetFormatPr defaultRowHeight="16.5" x14ac:dyDescent="0.25"/>
  <cols>
    <col min="1" max="1" width="42.5703125" style="4" customWidth="1"/>
    <col min="2" max="2" width="9.85546875" style="5" customWidth="1"/>
    <col min="3" max="3" width="18.5703125" style="6" customWidth="1"/>
    <col min="4" max="4" width="19.28515625" style="6" customWidth="1"/>
    <col min="5" max="7" width="16" style="6" customWidth="1"/>
    <col min="8" max="8" width="20.7109375" style="4" customWidth="1"/>
    <col min="9" max="9" width="14.5703125" style="4" customWidth="1"/>
    <col min="10" max="10" width="16" style="4" customWidth="1"/>
    <col min="11" max="11" width="6.85546875" style="5" customWidth="1"/>
    <col min="12" max="12" width="15.5703125" style="6" customWidth="1"/>
    <col min="13" max="13" width="18.140625" style="4" customWidth="1"/>
    <col min="14" max="14" width="16" style="4" customWidth="1"/>
    <col min="15" max="15" width="14.5703125" style="4" bestFit="1" customWidth="1"/>
    <col min="16" max="16" width="15.85546875" style="4" bestFit="1" customWidth="1"/>
    <col min="17" max="258" width="9.140625" style="4"/>
    <col min="259" max="259" width="28.85546875" style="4" customWidth="1"/>
    <col min="260" max="260" width="11" style="4" customWidth="1"/>
    <col min="261" max="261" width="18.7109375" style="4" customWidth="1"/>
    <col min="262" max="262" width="20.85546875" style="4" customWidth="1"/>
    <col min="263" max="263" width="0" style="4" hidden="1" customWidth="1"/>
    <col min="264" max="264" width="17" style="4" customWidth="1"/>
    <col min="265" max="265" width="15.7109375" style="4" customWidth="1"/>
    <col min="266" max="266" width="6.85546875" style="4" customWidth="1"/>
    <col min="267" max="268" width="15.28515625" style="4" customWidth="1"/>
    <col min="269" max="269" width="18.42578125" style="4" customWidth="1"/>
    <col min="270" max="270" width="0" style="4" hidden="1" customWidth="1"/>
    <col min="271" max="514" width="9.140625" style="4"/>
    <col min="515" max="515" width="28.85546875" style="4" customWidth="1"/>
    <col min="516" max="516" width="11" style="4" customWidth="1"/>
    <col min="517" max="517" width="18.7109375" style="4" customWidth="1"/>
    <col min="518" max="518" width="20.85546875" style="4" customWidth="1"/>
    <col min="519" max="519" width="0" style="4" hidden="1" customWidth="1"/>
    <col min="520" max="520" width="17" style="4" customWidth="1"/>
    <col min="521" max="521" width="15.7109375" style="4" customWidth="1"/>
    <col min="522" max="522" width="6.85546875" style="4" customWidth="1"/>
    <col min="523" max="524" width="15.28515625" style="4" customWidth="1"/>
    <col min="525" max="525" width="18.42578125" style="4" customWidth="1"/>
    <col min="526" max="526" width="0" style="4" hidden="1" customWidth="1"/>
    <col min="527" max="770" width="9.140625" style="4"/>
    <col min="771" max="771" width="28.85546875" style="4" customWidth="1"/>
    <col min="772" max="772" width="11" style="4" customWidth="1"/>
    <col min="773" max="773" width="18.7109375" style="4" customWidth="1"/>
    <col min="774" max="774" width="20.85546875" style="4" customWidth="1"/>
    <col min="775" max="775" width="0" style="4" hidden="1" customWidth="1"/>
    <col min="776" max="776" width="17" style="4" customWidth="1"/>
    <col min="777" max="777" width="15.7109375" style="4" customWidth="1"/>
    <col min="778" max="778" width="6.85546875" style="4" customWidth="1"/>
    <col min="779" max="780" width="15.28515625" style="4" customWidth="1"/>
    <col min="781" max="781" width="18.42578125" style="4" customWidth="1"/>
    <col min="782" max="782" width="0" style="4" hidden="1" customWidth="1"/>
    <col min="783" max="1026" width="9.140625" style="4"/>
    <col min="1027" max="1027" width="28.85546875" style="4" customWidth="1"/>
    <col min="1028" max="1028" width="11" style="4" customWidth="1"/>
    <col min="1029" max="1029" width="18.7109375" style="4" customWidth="1"/>
    <col min="1030" max="1030" width="20.85546875" style="4" customWidth="1"/>
    <col min="1031" max="1031" width="0" style="4" hidden="1" customWidth="1"/>
    <col min="1032" max="1032" width="17" style="4" customWidth="1"/>
    <col min="1033" max="1033" width="15.7109375" style="4" customWidth="1"/>
    <col min="1034" max="1034" width="6.85546875" style="4" customWidth="1"/>
    <col min="1035" max="1036" width="15.28515625" style="4" customWidth="1"/>
    <col min="1037" max="1037" width="18.42578125" style="4" customWidth="1"/>
    <col min="1038" max="1038" width="0" style="4" hidden="1" customWidth="1"/>
    <col min="1039" max="1282" width="9.140625" style="4"/>
    <col min="1283" max="1283" width="28.85546875" style="4" customWidth="1"/>
    <col min="1284" max="1284" width="11" style="4" customWidth="1"/>
    <col min="1285" max="1285" width="18.7109375" style="4" customWidth="1"/>
    <col min="1286" max="1286" width="20.85546875" style="4" customWidth="1"/>
    <col min="1287" max="1287" width="0" style="4" hidden="1" customWidth="1"/>
    <col min="1288" max="1288" width="17" style="4" customWidth="1"/>
    <col min="1289" max="1289" width="15.7109375" style="4" customWidth="1"/>
    <col min="1290" max="1290" width="6.85546875" style="4" customWidth="1"/>
    <col min="1291" max="1292" width="15.28515625" style="4" customWidth="1"/>
    <col min="1293" max="1293" width="18.42578125" style="4" customWidth="1"/>
    <col min="1294" max="1294" width="0" style="4" hidden="1" customWidth="1"/>
    <col min="1295" max="1538" width="9.140625" style="4"/>
    <col min="1539" max="1539" width="28.85546875" style="4" customWidth="1"/>
    <col min="1540" max="1540" width="11" style="4" customWidth="1"/>
    <col min="1541" max="1541" width="18.7109375" style="4" customWidth="1"/>
    <col min="1542" max="1542" width="20.85546875" style="4" customWidth="1"/>
    <col min="1543" max="1543" width="0" style="4" hidden="1" customWidth="1"/>
    <col min="1544" max="1544" width="17" style="4" customWidth="1"/>
    <col min="1545" max="1545" width="15.7109375" style="4" customWidth="1"/>
    <col min="1546" max="1546" width="6.85546875" style="4" customWidth="1"/>
    <col min="1547" max="1548" width="15.28515625" style="4" customWidth="1"/>
    <col min="1549" max="1549" width="18.42578125" style="4" customWidth="1"/>
    <col min="1550" max="1550" width="0" style="4" hidden="1" customWidth="1"/>
    <col min="1551" max="1794" width="9.140625" style="4"/>
    <col min="1795" max="1795" width="28.85546875" style="4" customWidth="1"/>
    <col min="1796" max="1796" width="11" style="4" customWidth="1"/>
    <col min="1797" max="1797" width="18.7109375" style="4" customWidth="1"/>
    <col min="1798" max="1798" width="20.85546875" style="4" customWidth="1"/>
    <col min="1799" max="1799" width="0" style="4" hidden="1" customWidth="1"/>
    <col min="1800" max="1800" width="17" style="4" customWidth="1"/>
    <col min="1801" max="1801" width="15.7109375" style="4" customWidth="1"/>
    <col min="1802" max="1802" width="6.85546875" style="4" customWidth="1"/>
    <col min="1803" max="1804" width="15.28515625" style="4" customWidth="1"/>
    <col min="1805" max="1805" width="18.42578125" style="4" customWidth="1"/>
    <col min="1806" max="1806" width="0" style="4" hidden="1" customWidth="1"/>
    <col min="1807" max="2050" width="9.140625" style="4"/>
    <col min="2051" max="2051" width="28.85546875" style="4" customWidth="1"/>
    <col min="2052" max="2052" width="11" style="4" customWidth="1"/>
    <col min="2053" max="2053" width="18.7109375" style="4" customWidth="1"/>
    <col min="2054" max="2054" width="20.85546875" style="4" customWidth="1"/>
    <col min="2055" max="2055" width="0" style="4" hidden="1" customWidth="1"/>
    <col min="2056" max="2056" width="17" style="4" customWidth="1"/>
    <col min="2057" max="2057" width="15.7109375" style="4" customWidth="1"/>
    <col min="2058" max="2058" width="6.85546875" style="4" customWidth="1"/>
    <col min="2059" max="2060" width="15.28515625" style="4" customWidth="1"/>
    <col min="2061" max="2061" width="18.42578125" style="4" customWidth="1"/>
    <col min="2062" max="2062" width="0" style="4" hidden="1" customWidth="1"/>
    <col min="2063" max="2306" width="9.140625" style="4"/>
    <col min="2307" max="2307" width="28.85546875" style="4" customWidth="1"/>
    <col min="2308" max="2308" width="11" style="4" customWidth="1"/>
    <col min="2309" max="2309" width="18.7109375" style="4" customWidth="1"/>
    <col min="2310" max="2310" width="20.85546875" style="4" customWidth="1"/>
    <col min="2311" max="2311" width="0" style="4" hidden="1" customWidth="1"/>
    <col min="2312" max="2312" width="17" style="4" customWidth="1"/>
    <col min="2313" max="2313" width="15.7109375" style="4" customWidth="1"/>
    <col min="2314" max="2314" width="6.85546875" style="4" customWidth="1"/>
    <col min="2315" max="2316" width="15.28515625" style="4" customWidth="1"/>
    <col min="2317" max="2317" width="18.42578125" style="4" customWidth="1"/>
    <col min="2318" max="2318" width="0" style="4" hidden="1" customWidth="1"/>
    <col min="2319" max="2562" width="9.140625" style="4"/>
    <col min="2563" max="2563" width="28.85546875" style="4" customWidth="1"/>
    <col min="2564" max="2564" width="11" style="4" customWidth="1"/>
    <col min="2565" max="2565" width="18.7109375" style="4" customWidth="1"/>
    <col min="2566" max="2566" width="20.85546875" style="4" customWidth="1"/>
    <col min="2567" max="2567" width="0" style="4" hidden="1" customWidth="1"/>
    <col min="2568" max="2568" width="17" style="4" customWidth="1"/>
    <col min="2569" max="2569" width="15.7109375" style="4" customWidth="1"/>
    <col min="2570" max="2570" width="6.85546875" style="4" customWidth="1"/>
    <col min="2571" max="2572" width="15.28515625" style="4" customWidth="1"/>
    <col min="2573" max="2573" width="18.42578125" style="4" customWidth="1"/>
    <col min="2574" max="2574" width="0" style="4" hidden="1" customWidth="1"/>
    <col min="2575" max="2818" width="9.140625" style="4"/>
    <col min="2819" max="2819" width="28.85546875" style="4" customWidth="1"/>
    <col min="2820" max="2820" width="11" style="4" customWidth="1"/>
    <col min="2821" max="2821" width="18.7109375" style="4" customWidth="1"/>
    <col min="2822" max="2822" width="20.85546875" style="4" customWidth="1"/>
    <col min="2823" max="2823" width="0" style="4" hidden="1" customWidth="1"/>
    <col min="2824" max="2824" width="17" style="4" customWidth="1"/>
    <col min="2825" max="2825" width="15.7109375" style="4" customWidth="1"/>
    <col min="2826" max="2826" width="6.85546875" style="4" customWidth="1"/>
    <col min="2827" max="2828" width="15.28515625" style="4" customWidth="1"/>
    <col min="2829" max="2829" width="18.42578125" style="4" customWidth="1"/>
    <col min="2830" max="2830" width="0" style="4" hidden="1" customWidth="1"/>
    <col min="2831" max="3074" width="9.140625" style="4"/>
    <col min="3075" max="3075" width="28.85546875" style="4" customWidth="1"/>
    <col min="3076" max="3076" width="11" style="4" customWidth="1"/>
    <col min="3077" max="3077" width="18.7109375" style="4" customWidth="1"/>
    <col min="3078" max="3078" width="20.85546875" style="4" customWidth="1"/>
    <col min="3079" max="3079" width="0" style="4" hidden="1" customWidth="1"/>
    <col min="3080" max="3080" width="17" style="4" customWidth="1"/>
    <col min="3081" max="3081" width="15.7109375" style="4" customWidth="1"/>
    <col min="3082" max="3082" width="6.85546875" style="4" customWidth="1"/>
    <col min="3083" max="3084" width="15.28515625" style="4" customWidth="1"/>
    <col min="3085" max="3085" width="18.42578125" style="4" customWidth="1"/>
    <col min="3086" max="3086" width="0" style="4" hidden="1" customWidth="1"/>
    <col min="3087" max="3330" width="9.140625" style="4"/>
    <col min="3331" max="3331" width="28.85546875" style="4" customWidth="1"/>
    <col min="3332" max="3332" width="11" style="4" customWidth="1"/>
    <col min="3333" max="3333" width="18.7109375" style="4" customWidth="1"/>
    <col min="3334" max="3334" width="20.85546875" style="4" customWidth="1"/>
    <col min="3335" max="3335" width="0" style="4" hidden="1" customWidth="1"/>
    <col min="3336" max="3336" width="17" style="4" customWidth="1"/>
    <col min="3337" max="3337" width="15.7109375" style="4" customWidth="1"/>
    <col min="3338" max="3338" width="6.85546875" style="4" customWidth="1"/>
    <col min="3339" max="3340" width="15.28515625" style="4" customWidth="1"/>
    <col min="3341" max="3341" width="18.42578125" style="4" customWidth="1"/>
    <col min="3342" max="3342" width="0" style="4" hidden="1" customWidth="1"/>
    <col min="3343" max="3586" width="9.140625" style="4"/>
    <col min="3587" max="3587" width="28.85546875" style="4" customWidth="1"/>
    <col min="3588" max="3588" width="11" style="4" customWidth="1"/>
    <col min="3589" max="3589" width="18.7109375" style="4" customWidth="1"/>
    <col min="3590" max="3590" width="20.85546875" style="4" customWidth="1"/>
    <col min="3591" max="3591" width="0" style="4" hidden="1" customWidth="1"/>
    <col min="3592" max="3592" width="17" style="4" customWidth="1"/>
    <col min="3593" max="3593" width="15.7109375" style="4" customWidth="1"/>
    <col min="3594" max="3594" width="6.85546875" style="4" customWidth="1"/>
    <col min="3595" max="3596" width="15.28515625" style="4" customWidth="1"/>
    <col min="3597" max="3597" width="18.42578125" style="4" customWidth="1"/>
    <col min="3598" max="3598" width="0" style="4" hidden="1" customWidth="1"/>
    <col min="3599" max="3842" width="9.140625" style="4"/>
    <col min="3843" max="3843" width="28.85546875" style="4" customWidth="1"/>
    <col min="3844" max="3844" width="11" style="4" customWidth="1"/>
    <col min="3845" max="3845" width="18.7109375" style="4" customWidth="1"/>
    <col min="3846" max="3846" width="20.85546875" style="4" customWidth="1"/>
    <col min="3847" max="3847" width="0" style="4" hidden="1" customWidth="1"/>
    <col min="3848" max="3848" width="17" style="4" customWidth="1"/>
    <col min="3849" max="3849" width="15.7109375" style="4" customWidth="1"/>
    <col min="3850" max="3850" width="6.85546875" style="4" customWidth="1"/>
    <col min="3851" max="3852" width="15.28515625" style="4" customWidth="1"/>
    <col min="3853" max="3853" width="18.42578125" style="4" customWidth="1"/>
    <col min="3854" max="3854" width="0" style="4" hidden="1" customWidth="1"/>
    <col min="3855" max="4098" width="9.140625" style="4"/>
    <col min="4099" max="4099" width="28.85546875" style="4" customWidth="1"/>
    <col min="4100" max="4100" width="11" style="4" customWidth="1"/>
    <col min="4101" max="4101" width="18.7109375" style="4" customWidth="1"/>
    <col min="4102" max="4102" width="20.85546875" style="4" customWidth="1"/>
    <col min="4103" max="4103" width="0" style="4" hidden="1" customWidth="1"/>
    <col min="4104" max="4104" width="17" style="4" customWidth="1"/>
    <col min="4105" max="4105" width="15.7109375" style="4" customWidth="1"/>
    <col min="4106" max="4106" width="6.85546875" style="4" customWidth="1"/>
    <col min="4107" max="4108" width="15.28515625" style="4" customWidth="1"/>
    <col min="4109" max="4109" width="18.42578125" style="4" customWidth="1"/>
    <col min="4110" max="4110" width="0" style="4" hidden="1" customWidth="1"/>
    <col min="4111" max="4354" width="9.140625" style="4"/>
    <col min="4355" max="4355" width="28.85546875" style="4" customWidth="1"/>
    <col min="4356" max="4356" width="11" style="4" customWidth="1"/>
    <col min="4357" max="4357" width="18.7109375" style="4" customWidth="1"/>
    <col min="4358" max="4358" width="20.85546875" style="4" customWidth="1"/>
    <col min="4359" max="4359" width="0" style="4" hidden="1" customWidth="1"/>
    <col min="4360" max="4360" width="17" style="4" customWidth="1"/>
    <col min="4361" max="4361" width="15.7109375" style="4" customWidth="1"/>
    <col min="4362" max="4362" width="6.85546875" style="4" customWidth="1"/>
    <col min="4363" max="4364" width="15.28515625" style="4" customWidth="1"/>
    <col min="4365" max="4365" width="18.42578125" style="4" customWidth="1"/>
    <col min="4366" max="4366" width="0" style="4" hidden="1" customWidth="1"/>
    <col min="4367" max="4610" width="9.140625" style="4"/>
    <col min="4611" max="4611" width="28.85546875" style="4" customWidth="1"/>
    <col min="4612" max="4612" width="11" style="4" customWidth="1"/>
    <col min="4613" max="4613" width="18.7109375" style="4" customWidth="1"/>
    <col min="4614" max="4614" width="20.85546875" style="4" customWidth="1"/>
    <col min="4615" max="4615" width="0" style="4" hidden="1" customWidth="1"/>
    <col min="4616" max="4616" width="17" style="4" customWidth="1"/>
    <col min="4617" max="4617" width="15.7109375" style="4" customWidth="1"/>
    <col min="4618" max="4618" width="6.85546875" style="4" customWidth="1"/>
    <col min="4619" max="4620" width="15.28515625" style="4" customWidth="1"/>
    <col min="4621" max="4621" width="18.42578125" style="4" customWidth="1"/>
    <col min="4622" max="4622" width="0" style="4" hidden="1" customWidth="1"/>
    <col min="4623" max="4866" width="9.140625" style="4"/>
    <col min="4867" max="4867" width="28.85546875" style="4" customWidth="1"/>
    <col min="4868" max="4868" width="11" style="4" customWidth="1"/>
    <col min="4869" max="4869" width="18.7109375" style="4" customWidth="1"/>
    <col min="4870" max="4870" width="20.85546875" style="4" customWidth="1"/>
    <col min="4871" max="4871" width="0" style="4" hidden="1" customWidth="1"/>
    <col min="4872" max="4872" width="17" style="4" customWidth="1"/>
    <col min="4873" max="4873" width="15.7109375" style="4" customWidth="1"/>
    <col min="4874" max="4874" width="6.85546875" style="4" customWidth="1"/>
    <col min="4875" max="4876" width="15.28515625" style="4" customWidth="1"/>
    <col min="4877" max="4877" width="18.42578125" style="4" customWidth="1"/>
    <col min="4878" max="4878" width="0" style="4" hidden="1" customWidth="1"/>
    <col min="4879" max="5122" width="9.140625" style="4"/>
    <col min="5123" max="5123" width="28.85546875" style="4" customWidth="1"/>
    <col min="5124" max="5124" width="11" style="4" customWidth="1"/>
    <col min="5125" max="5125" width="18.7109375" style="4" customWidth="1"/>
    <col min="5126" max="5126" width="20.85546875" style="4" customWidth="1"/>
    <col min="5127" max="5127" width="0" style="4" hidden="1" customWidth="1"/>
    <col min="5128" max="5128" width="17" style="4" customWidth="1"/>
    <col min="5129" max="5129" width="15.7109375" style="4" customWidth="1"/>
    <col min="5130" max="5130" width="6.85546875" style="4" customWidth="1"/>
    <col min="5131" max="5132" width="15.28515625" style="4" customWidth="1"/>
    <col min="5133" max="5133" width="18.42578125" style="4" customWidth="1"/>
    <col min="5134" max="5134" width="0" style="4" hidden="1" customWidth="1"/>
    <col min="5135" max="5378" width="9.140625" style="4"/>
    <col min="5379" max="5379" width="28.85546875" style="4" customWidth="1"/>
    <col min="5380" max="5380" width="11" style="4" customWidth="1"/>
    <col min="5381" max="5381" width="18.7109375" style="4" customWidth="1"/>
    <col min="5382" max="5382" width="20.85546875" style="4" customWidth="1"/>
    <col min="5383" max="5383" width="0" style="4" hidden="1" customWidth="1"/>
    <col min="5384" max="5384" width="17" style="4" customWidth="1"/>
    <col min="5385" max="5385" width="15.7109375" style="4" customWidth="1"/>
    <col min="5386" max="5386" width="6.85546875" style="4" customWidth="1"/>
    <col min="5387" max="5388" width="15.28515625" style="4" customWidth="1"/>
    <col min="5389" max="5389" width="18.42578125" style="4" customWidth="1"/>
    <col min="5390" max="5390" width="0" style="4" hidden="1" customWidth="1"/>
    <col min="5391" max="5634" width="9.140625" style="4"/>
    <col min="5635" max="5635" width="28.85546875" style="4" customWidth="1"/>
    <col min="5636" max="5636" width="11" style="4" customWidth="1"/>
    <col min="5637" max="5637" width="18.7109375" style="4" customWidth="1"/>
    <col min="5638" max="5638" width="20.85546875" style="4" customWidth="1"/>
    <col min="5639" max="5639" width="0" style="4" hidden="1" customWidth="1"/>
    <col min="5640" max="5640" width="17" style="4" customWidth="1"/>
    <col min="5641" max="5641" width="15.7109375" style="4" customWidth="1"/>
    <col min="5642" max="5642" width="6.85546875" style="4" customWidth="1"/>
    <col min="5643" max="5644" width="15.28515625" style="4" customWidth="1"/>
    <col min="5645" max="5645" width="18.42578125" style="4" customWidth="1"/>
    <col min="5646" max="5646" width="0" style="4" hidden="1" customWidth="1"/>
    <col min="5647" max="5890" width="9.140625" style="4"/>
    <col min="5891" max="5891" width="28.85546875" style="4" customWidth="1"/>
    <col min="5892" max="5892" width="11" style="4" customWidth="1"/>
    <col min="5893" max="5893" width="18.7109375" style="4" customWidth="1"/>
    <col min="5894" max="5894" width="20.85546875" style="4" customWidth="1"/>
    <col min="5895" max="5895" width="0" style="4" hidden="1" customWidth="1"/>
    <col min="5896" max="5896" width="17" style="4" customWidth="1"/>
    <col min="5897" max="5897" width="15.7109375" style="4" customWidth="1"/>
    <col min="5898" max="5898" width="6.85546875" style="4" customWidth="1"/>
    <col min="5899" max="5900" width="15.28515625" style="4" customWidth="1"/>
    <col min="5901" max="5901" width="18.42578125" style="4" customWidth="1"/>
    <col min="5902" max="5902" width="0" style="4" hidden="1" customWidth="1"/>
    <col min="5903" max="6146" width="9.140625" style="4"/>
    <col min="6147" max="6147" width="28.85546875" style="4" customWidth="1"/>
    <col min="6148" max="6148" width="11" style="4" customWidth="1"/>
    <col min="6149" max="6149" width="18.7109375" style="4" customWidth="1"/>
    <col min="6150" max="6150" width="20.85546875" style="4" customWidth="1"/>
    <col min="6151" max="6151" width="0" style="4" hidden="1" customWidth="1"/>
    <col min="6152" max="6152" width="17" style="4" customWidth="1"/>
    <col min="6153" max="6153" width="15.7109375" style="4" customWidth="1"/>
    <col min="6154" max="6154" width="6.85546875" style="4" customWidth="1"/>
    <col min="6155" max="6156" width="15.28515625" style="4" customWidth="1"/>
    <col min="6157" max="6157" width="18.42578125" style="4" customWidth="1"/>
    <col min="6158" max="6158" width="0" style="4" hidden="1" customWidth="1"/>
    <col min="6159" max="6402" width="9.140625" style="4"/>
    <col min="6403" max="6403" width="28.85546875" style="4" customWidth="1"/>
    <col min="6404" max="6404" width="11" style="4" customWidth="1"/>
    <col min="6405" max="6405" width="18.7109375" style="4" customWidth="1"/>
    <col min="6406" max="6406" width="20.85546875" style="4" customWidth="1"/>
    <col min="6407" max="6407" width="0" style="4" hidden="1" customWidth="1"/>
    <col min="6408" max="6408" width="17" style="4" customWidth="1"/>
    <col min="6409" max="6409" width="15.7109375" style="4" customWidth="1"/>
    <col min="6410" max="6410" width="6.85546875" style="4" customWidth="1"/>
    <col min="6411" max="6412" width="15.28515625" style="4" customWidth="1"/>
    <col min="6413" max="6413" width="18.42578125" style="4" customWidth="1"/>
    <col min="6414" max="6414" width="0" style="4" hidden="1" customWidth="1"/>
    <col min="6415" max="6658" width="9.140625" style="4"/>
    <col min="6659" max="6659" width="28.85546875" style="4" customWidth="1"/>
    <col min="6660" max="6660" width="11" style="4" customWidth="1"/>
    <col min="6661" max="6661" width="18.7109375" style="4" customWidth="1"/>
    <col min="6662" max="6662" width="20.85546875" style="4" customWidth="1"/>
    <col min="6663" max="6663" width="0" style="4" hidden="1" customWidth="1"/>
    <col min="6664" max="6664" width="17" style="4" customWidth="1"/>
    <col min="6665" max="6665" width="15.7109375" style="4" customWidth="1"/>
    <col min="6666" max="6666" width="6.85546875" style="4" customWidth="1"/>
    <col min="6667" max="6668" width="15.28515625" style="4" customWidth="1"/>
    <col min="6669" max="6669" width="18.42578125" style="4" customWidth="1"/>
    <col min="6670" max="6670" width="0" style="4" hidden="1" customWidth="1"/>
    <col min="6671" max="6914" width="9.140625" style="4"/>
    <col min="6915" max="6915" width="28.85546875" style="4" customWidth="1"/>
    <col min="6916" max="6916" width="11" style="4" customWidth="1"/>
    <col min="6917" max="6917" width="18.7109375" style="4" customWidth="1"/>
    <col min="6918" max="6918" width="20.85546875" style="4" customWidth="1"/>
    <col min="6919" max="6919" width="0" style="4" hidden="1" customWidth="1"/>
    <col min="6920" max="6920" width="17" style="4" customWidth="1"/>
    <col min="6921" max="6921" width="15.7109375" style="4" customWidth="1"/>
    <col min="6922" max="6922" width="6.85546875" style="4" customWidth="1"/>
    <col min="6923" max="6924" width="15.28515625" style="4" customWidth="1"/>
    <col min="6925" max="6925" width="18.42578125" style="4" customWidth="1"/>
    <col min="6926" max="6926" width="0" style="4" hidden="1" customWidth="1"/>
    <col min="6927" max="7170" width="9.140625" style="4"/>
    <col min="7171" max="7171" width="28.85546875" style="4" customWidth="1"/>
    <col min="7172" max="7172" width="11" style="4" customWidth="1"/>
    <col min="7173" max="7173" width="18.7109375" style="4" customWidth="1"/>
    <col min="7174" max="7174" width="20.85546875" style="4" customWidth="1"/>
    <col min="7175" max="7175" width="0" style="4" hidden="1" customWidth="1"/>
    <col min="7176" max="7176" width="17" style="4" customWidth="1"/>
    <col min="7177" max="7177" width="15.7109375" style="4" customWidth="1"/>
    <col min="7178" max="7178" width="6.85546875" style="4" customWidth="1"/>
    <col min="7179" max="7180" width="15.28515625" style="4" customWidth="1"/>
    <col min="7181" max="7181" width="18.42578125" style="4" customWidth="1"/>
    <col min="7182" max="7182" width="0" style="4" hidden="1" customWidth="1"/>
    <col min="7183" max="7426" width="9.140625" style="4"/>
    <col min="7427" max="7427" width="28.85546875" style="4" customWidth="1"/>
    <col min="7428" max="7428" width="11" style="4" customWidth="1"/>
    <col min="7429" max="7429" width="18.7109375" style="4" customWidth="1"/>
    <col min="7430" max="7430" width="20.85546875" style="4" customWidth="1"/>
    <col min="7431" max="7431" width="0" style="4" hidden="1" customWidth="1"/>
    <col min="7432" max="7432" width="17" style="4" customWidth="1"/>
    <col min="7433" max="7433" width="15.7109375" style="4" customWidth="1"/>
    <col min="7434" max="7434" width="6.85546875" style="4" customWidth="1"/>
    <col min="7435" max="7436" width="15.28515625" style="4" customWidth="1"/>
    <col min="7437" max="7437" width="18.42578125" style="4" customWidth="1"/>
    <col min="7438" max="7438" width="0" style="4" hidden="1" customWidth="1"/>
    <col min="7439" max="7682" width="9.140625" style="4"/>
    <col min="7683" max="7683" width="28.85546875" style="4" customWidth="1"/>
    <col min="7684" max="7684" width="11" style="4" customWidth="1"/>
    <col min="7685" max="7685" width="18.7109375" style="4" customWidth="1"/>
    <col min="7686" max="7686" width="20.85546875" style="4" customWidth="1"/>
    <col min="7687" max="7687" width="0" style="4" hidden="1" customWidth="1"/>
    <col min="7688" max="7688" width="17" style="4" customWidth="1"/>
    <col min="7689" max="7689" width="15.7109375" style="4" customWidth="1"/>
    <col min="7690" max="7690" width="6.85546875" style="4" customWidth="1"/>
    <col min="7691" max="7692" width="15.28515625" style="4" customWidth="1"/>
    <col min="7693" max="7693" width="18.42578125" style="4" customWidth="1"/>
    <col min="7694" max="7694" width="0" style="4" hidden="1" customWidth="1"/>
    <col min="7695" max="7938" width="9.140625" style="4"/>
    <col min="7939" max="7939" width="28.85546875" style="4" customWidth="1"/>
    <col min="7940" max="7940" width="11" style="4" customWidth="1"/>
    <col min="7941" max="7941" width="18.7109375" style="4" customWidth="1"/>
    <col min="7942" max="7942" width="20.85546875" style="4" customWidth="1"/>
    <col min="7943" max="7943" width="0" style="4" hidden="1" customWidth="1"/>
    <col min="7944" max="7944" width="17" style="4" customWidth="1"/>
    <col min="7945" max="7945" width="15.7109375" style="4" customWidth="1"/>
    <col min="7946" max="7946" width="6.85546875" style="4" customWidth="1"/>
    <col min="7947" max="7948" width="15.28515625" style="4" customWidth="1"/>
    <col min="7949" max="7949" width="18.42578125" style="4" customWidth="1"/>
    <col min="7950" max="7950" width="0" style="4" hidden="1" customWidth="1"/>
    <col min="7951" max="8194" width="9.140625" style="4"/>
    <col min="8195" max="8195" width="28.85546875" style="4" customWidth="1"/>
    <col min="8196" max="8196" width="11" style="4" customWidth="1"/>
    <col min="8197" max="8197" width="18.7109375" style="4" customWidth="1"/>
    <col min="8198" max="8198" width="20.85546875" style="4" customWidth="1"/>
    <col min="8199" max="8199" width="0" style="4" hidden="1" customWidth="1"/>
    <col min="8200" max="8200" width="17" style="4" customWidth="1"/>
    <col min="8201" max="8201" width="15.7109375" style="4" customWidth="1"/>
    <col min="8202" max="8202" width="6.85546875" style="4" customWidth="1"/>
    <col min="8203" max="8204" width="15.28515625" style="4" customWidth="1"/>
    <col min="8205" max="8205" width="18.42578125" style="4" customWidth="1"/>
    <col min="8206" max="8206" width="0" style="4" hidden="1" customWidth="1"/>
    <col min="8207" max="8450" width="9.140625" style="4"/>
    <col min="8451" max="8451" width="28.85546875" style="4" customWidth="1"/>
    <col min="8452" max="8452" width="11" style="4" customWidth="1"/>
    <col min="8453" max="8453" width="18.7109375" style="4" customWidth="1"/>
    <col min="8454" max="8454" width="20.85546875" style="4" customWidth="1"/>
    <col min="8455" max="8455" width="0" style="4" hidden="1" customWidth="1"/>
    <col min="8456" max="8456" width="17" style="4" customWidth="1"/>
    <col min="8457" max="8457" width="15.7109375" style="4" customWidth="1"/>
    <col min="8458" max="8458" width="6.85546875" style="4" customWidth="1"/>
    <col min="8459" max="8460" width="15.28515625" style="4" customWidth="1"/>
    <col min="8461" max="8461" width="18.42578125" style="4" customWidth="1"/>
    <col min="8462" max="8462" width="0" style="4" hidden="1" customWidth="1"/>
    <col min="8463" max="8706" width="9.140625" style="4"/>
    <col min="8707" max="8707" width="28.85546875" style="4" customWidth="1"/>
    <col min="8708" max="8708" width="11" style="4" customWidth="1"/>
    <col min="8709" max="8709" width="18.7109375" style="4" customWidth="1"/>
    <col min="8710" max="8710" width="20.85546875" style="4" customWidth="1"/>
    <col min="8711" max="8711" width="0" style="4" hidden="1" customWidth="1"/>
    <col min="8712" max="8712" width="17" style="4" customWidth="1"/>
    <col min="8713" max="8713" width="15.7109375" style="4" customWidth="1"/>
    <col min="8714" max="8714" width="6.85546875" style="4" customWidth="1"/>
    <col min="8715" max="8716" width="15.28515625" style="4" customWidth="1"/>
    <col min="8717" max="8717" width="18.42578125" style="4" customWidth="1"/>
    <col min="8718" max="8718" width="0" style="4" hidden="1" customWidth="1"/>
    <col min="8719" max="8962" width="9.140625" style="4"/>
    <col min="8963" max="8963" width="28.85546875" style="4" customWidth="1"/>
    <col min="8964" max="8964" width="11" style="4" customWidth="1"/>
    <col min="8965" max="8965" width="18.7109375" style="4" customWidth="1"/>
    <col min="8966" max="8966" width="20.85546875" style="4" customWidth="1"/>
    <col min="8967" max="8967" width="0" style="4" hidden="1" customWidth="1"/>
    <col min="8968" max="8968" width="17" style="4" customWidth="1"/>
    <col min="8969" max="8969" width="15.7109375" style="4" customWidth="1"/>
    <col min="8970" max="8970" width="6.85546875" style="4" customWidth="1"/>
    <col min="8971" max="8972" width="15.28515625" style="4" customWidth="1"/>
    <col min="8973" max="8973" width="18.42578125" style="4" customWidth="1"/>
    <col min="8974" max="8974" width="0" style="4" hidden="1" customWidth="1"/>
    <col min="8975" max="9218" width="9.140625" style="4"/>
    <col min="9219" max="9219" width="28.85546875" style="4" customWidth="1"/>
    <col min="9220" max="9220" width="11" style="4" customWidth="1"/>
    <col min="9221" max="9221" width="18.7109375" style="4" customWidth="1"/>
    <col min="9222" max="9222" width="20.85546875" style="4" customWidth="1"/>
    <col min="9223" max="9223" width="0" style="4" hidden="1" customWidth="1"/>
    <col min="9224" max="9224" width="17" style="4" customWidth="1"/>
    <col min="9225" max="9225" width="15.7109375" style="4" customWidth="1"/>
    <col min="9226" max="9226" width="6.85546875" style="4" customWidth="1"/>
    <col min="9227" max="9228" width="15.28515625" style="4" customWidth="1"/>
    <col min="9229" max="9229" width="18.42578125" style="4" customWidth="1"/>
    <col min="9230" max="9230" width="0" style="4" hidden="1" customWidth="1"/>
    <col min="9231" max="9474" width="9.140625" style="4"/>
    <col min="9475" max="9475" width="28.85546875" style="4" customWidth="1"/>
    <col min="9476" max="9476" width="11" style="4" customWidth="1"/>
    <col min="9477" max="9477" width="18.7109375" style="4" customWidth="1"/>
    <col min="9478" max="9478" width="20.85546875" style="4" customWidth="1"/>
    <col min="9479" max="9479" width="0" style="4" hidden="1" customWidth="1"/>
    <col min="9480" max="9480" width="17" style="4" customWidth="1"/>
    <col min="9481" max="9481" width="15.7109375" style="4" customWidth="1"/>
    <col min="9482" max="9482" width="6.85546875" style="4" customWidth="1"/>
    <col min="9483" max="9484" width="15.28515625" style="4" customWidth="1"/>
    <col min="9485" max="9485" width="18.42578125" style="4" customWidth="1"/>
    <col min="9486" max="9486" width="0" style="4" hidden="1" customWidth="1"/>
    <col min="9487" max="9730" width="9.140625" style="4"/>
    <col min="9731" max="9731" width="28.85546875" style="4" customWidth="1"/>
    <col min="9732" max="9732" width="11" style="4" customWidth="1"/>
    <col min="9733" max="9733" width="18.7109375" style="4" customWidth="1"/>
    <col min="9734" max="9734" width="20.85546875" style="4" customWidth="1"/>
    <col min="9735" max="9735" width="0" style="4" hidden="1" customWidth="1"/>
    <col min="9736" max="9736" width="17" style="4" customWidth="1"/>
    <col min="9737" max="9737" width="15.7109375" style="4" customWidth="1"/>
    <col min="9738" max="9738" width="6.85546875" style="4" customWidth="1"/>
    <col min="9739" max="9740" width="15.28515625" style="4" customWidth="1"/>
    <col min="9741" max="9741" width="18.42578125" style="4" customWidth="1"/>
    <col min="9742" max="9742" width="0" style="4" hidden="1" customWidth="1"/>
    <col min="9743" max="9986" width="9.140625" style="4"/>
    <col min="9987" max="9987" width="28.85546875" style="4" customWidth="1"/>
    <col min="9988" max="9988" width="11" style="4" customWidth="1"/>
    <col min="9989" max="9989" width="18.7109375" style="4" customWidth="1"/>
    <col min="9990" max="9990" width="20.85546875" style="4" customWidth="1"/>
    <col min="9991" max="9991" width="0" style="4" hidden="1" customWidth="1"/>
    <col min="9992" max="9992" width="17" style="4" customWidth="1"/>
    <col min="9993" max="9993" width="15.7109375" style="4" customWidth="1"/>
    <col min="9994" max="9994" width="6.85546875" style="4" customWidth="1"/>
    <col min="9995" max="9996" width="15.28515625" style="4" customWidth="1"/>
    <col min="9997" max="9997" width="18.42578125" style="4" customWidth="1"/>
    <col min="9998" max="9998" width="0" style="4" hidden="1" customWidth="1"/>
    <col min="9999" max="10242" width="9.140625" style="4"/>
    <col min="10243" max="10243" width="28.85546875" style="4" customWidth="1"/>
    <col min="10244" max="10244" width="11" style="4" customWidth="1"/>
    <col min="10245" max="10245" width="18.7109375" style="4" customWidth="1"/>
    <col min="10246" max="10246" width="20.85546875" style="4" customWidth="1"/>
    <col min="10247" max="10247" width="0" style="4" hidden="1" customWidth="1"/>
    <col min="10248" max="10248" width="17" style="4" customWidth="1"/>
    <col min="10249" max="10249" width="15.7109375" style="4" customWidth="1"/>
    <col min="10250" max="10250" width="6.85546875" style="4" customWidth="1"/>
    <col min="10251" max="10252" width="15.28515625" style="4" customWidth="1"/>
    <col min="10253" max="10253" width="18.42578125" style="4" customWidth="1"/>
    <col min="10254" max="10254" width="0" style="4" hidden="1" customWidth="1"/>
    <col min="10255" max="10498" width="9.140625" style="4"/>
    <col min="10499" max="10499" width="28.85546875" style="4" customWidth="1"/>
    <col min="10500" max="10500" width="11" style="4" customWidth="1"/>
    <col min="10501" max="10501" width="18.7109375" style="4" customWidth="1"/>
    <col min="10502" max="10502" width="20.85546875" style="4" customWidth="1"/>
    <col min="10503" max="10503" width="0" style="4" hidden="1" customWidth="1"/>
    <col min="10504" max="10504" width="17" style="4" customWidth="1"/>
    <col min="10505" max="10505" width="15.7109375" style="4" customWidth="1"/>
    <col min="10506" max="10506" width="6.85546875" style="4" customWidth="1"/>
    <col min="10507" max="10508" width="15.28515625" style="4" customWidth="1"/>
    <col min="10509" max="10509" width="18.42578125" style="4" customWidth="1"/>
    <col min="10510" max="10510" width="0" style="4" hidden="1" customWidth="1"/>
    <col min="10511" max="10754" width="9.140625" style="4"/>
    <col min="10755" max="10755" width="28.85546875" style="4" customWidth="1"/>
    <col min="10756" max="10756" width="11" style="4" customWidth="1"/>
    <col min="10757" max="10757" width="18.7109375" style="4" customWidth="1"/>
    <col min="10758" max="10758" width="20.85546875" style="4" customWidth="1"/>
    <col min="10759" max="10759" width="0" style="4" hidden="1" customWidth="1"/>
    <col min="10760" max="10760" width="17" style="4" customWidth="1"/>
    <col min="10761" max="10761" width="15.7109375" style="4" customWidth="1"/>
    <col min="10762" max="10762" width="6.85546875" style="4" customWidth="1"/>
    <col min="10763" max="10764" width="15.28515625" style="4" customWidth="1"/>
    <col min="10765" max="10765" width="18.42578125" style="4" customWidth="1"/>
    <col min="10766" max="10766" width="0" style="4" hidden="1" customWidth="1"/>
    <col min="10767" max="11010" width="9.140625" style="4"/>
    <col min="11011" max="11011" width="28.85546875" style="4" customWidth="1"/>
    <col min="11012" max="11012" width="11" style="4" customWidth="1"/>
    <col min="11013" max="11013" width="18.7109375" style="4" customWidth="1"/>
    <col min="11014" max="11014" width="20.85546875" style="4" customWidth="1"/>
    <col min="11015" max="11015" width="0" style="4" hidden="1" customWidth="1"/>
    <col min="11016" max="11016" width="17" style="4" customWidth="1"/>
    <col min="11017" max="11017" width="15.7109375" style="4" customWidth="1"/>
    <col min="11018" max="11018" width="6.85546875" style="4" customWidth="1"/>
    <col min="11019" max="11020" width="15.28515625" style="4" customWidth="1"/>
    <col min="11021" max="11021" width="18.42578125" style="4" customWidth="1"/>
    <col min="11022" max="11022" width="0" style="4" hidden="1" customWidth="1"/>
    <col min="11023" max="11266" width="9.140625" style="4"/>
    <col min="11267" max="11267" width="28.85546875" style="4" customWidth="1"/>
    <col min="11268" max="11268" width="11" style="4" customWidth="1"/>
    <col min="11269" max="11269" width="18.7109375" style="4" customWidth="1"/>
    <col min="11270" max="11270" width="20.85546875" style="4" customWidth="1"/>
    <col min="11271" max="11271" width="0" style="4" hidden="1" customWidth="1"/>
    <col min="11272" max="11272" width="17" style="4" customWidth="1"/>
    <col min="11273" max="11273" width="15.7109375" style="4" customWidth="1"/>
    <col min="11274" max="11274" width="6.85546875" style="4" customWidth="1"/>
    <col min="11275" max="11276" width="15.28515625" style="4" customWidth="1"/>
    <col min="11277" max="11277" width="18.42578125" style="4" customWidth="1"/>
    <col min="11278" max="11278" width="0" style="4" hidden="1" customWidth="1"/>
    <col min="11279" max="11522" width="9.140625" style="4"/>
    <col min="11523" max="11523" width="28.85546875" style="4" customWidth="1"/>
    <col min="11524" max="11524" width="11" style="4" customWidth="1"/>
    <col min="11525" max="11525" width="18.7109375" style="4" customWidth="1"/>
    <col min="11526" max="11526" width="20.85546875" style="4" customWidth="1"/>
    <col min="11527" max="11527" width="0" style="4" hidden="1" customWidth="1"/>
    <col min="11528" max="11528" width="17" style="4" customWidth="1"/>
    <col min="11529" max="11529" width="15.7109375" style="4" customWidth="1"/>
    <col min="11530" max="11530" width="6.85546875" style="4" customWidth="1"/>
    <col min="11531" max="11532" width="15.28515625" style="4" customWidth="1"/>
    <col min="11533" max="11533" width="18.42578125" style="4" customWidth="1"/>
    <col min="11534" max="11534" width="0" style="4" hidden="1" customWidth="1"/>
    <col min="11535" max="11778" width="9.140625" style="4"/>
    <col min="11779" max="11779" width="28.85546875" style="4" customWidth="1"/>
    <col min="11780" max="11780" width="11" style="4" customWidth="1"/>
    <col min="11781" max="11781" width="18.7109375" style="4" customWidth="1"/>
    <col min="11782" max="11782" width="20.85546875" style="4" customWidth="1"/>
    <col min="11783" max="11783" width="0" style="4" hidden="1" customWidth="1"/>
    <col min="11784" max="11784" width="17" style="4" customWidth="1"/>
    <col min="11785" max="11785" width="15.7109375" style="4" customWidth="1"/>
    <col min="11786" max="11786" width="6.85546875" style="4" customWidth="1"/>
    <col min="11787" max="11788" width="15.28515625" style="4" customWidth="1"/>
    <col min="11789" max="11789" width="18.42578125" style="4" customWidth="1"/>
    <col min="11790" max="11790" width="0" style="4" hidden="1" customWidth="1"/>
    <col min="11791" max="12034" width="9.140625" style="4"/>
    <col min="12035" max="12035" width="28.85546875" style="4" customWidth="1"/>
    <col min="12036" max="12036" width="11" style="4" customWidth="1"/>
    <col min="12037" max="12037" width="18.7109375" style="4" customWidth="1"/>
    <col min="12038" max="12038" width="20.85546875" style="4" customWidth="1"/>
    <col min="12039" max="12039" width="0" style="4" hidden="1" customWidth="1"/>
    <col min="12040" max="12040" width="17" style="4" customWidth="1"/>
    <col min="12041" max="12041" width="15.7109375" style="4" customWidth="1"/>
    <col min="12042" max="12042" width="6.85546875" style="4" customWidth="1"/>
    <col min="12043" max="12044" width="15.28515625" style="4" customWidth="1"/>
    <col min="12045" max="12045" width="18.42578125" style="4" customWidth="1"/>
    <col min="12046" max="12046" width="0" style="4" hidden="1" customWidth="1"/>
    <col min="12047" max="12290" width="9.140625" style="4"/>
    <col min="12291" max="12291" width="28.85546875" style="4" customWidth="1"/>
    <col min="12292" max="12292" width="11" style="4" customWidth="1"/>
    <col min="12293" max="12293" width="18.7109375" style="4" customWidth="1"/>
    <col min="12294" max="12294" width="20.85546875" style="4" customWidth="1"/>
    <col min="12295" max="12295" width="0" style="4" hidden="1" customWidth="1"/>
    <col min="12296" max="12296" width="17" style="4" customWidth="1"/>
    <col min="12297" max="12297" width="15.7109375" style="4" customWidth="1"/>
    <col min="12298" max="12298" width="6.85546875" style="4" customWidth="1"/>
    <col min="12299" max="12300" width="15.28515625" style="4" customWidth="1"/>
    <col min="12301" max="12301" width="18.42578125" style="4" customWidth="1"/>
    <col min="12302" max="12302" width="0" style="4" hidden="1" customWidth="1"/>
    <col min="12303" max="12546" width="9.140625" style="4"/>
    <col min="12547" max="12547" width="28.85546875" style="4" customWidth="1"/>
    <col min="12548" max="12548" width="11" style="4" customWidth="1"/>
    <col min="12549" max="12549" width="18.7109375" style="4" customWidth="1"/>
    <col min="12550" max="12550" width="20.85546875" style="4" customWidth="1"/>
    <col min="12551" max="12551" width="0" style="4" hidden="1" customWidth="1"/>
    <col min="12552" max="12552" width="17" style="4" customWidth="1"/>
    <col min="12553" max="12553" width="15.7109375" style="4" customWidth="1"/>
    <col min="12554" max="12554" width="6.85546875" style="4" customWidth="1"/>
    <col min="12555" max="12556" width="15.28515625" style="4" customWidth="1"/>
    <col min="12557" max="12557" width="18.42578125" style="4" customWidth="1"/>
    <col min="12558" max="12558" width="0" style="4" hidden="1" customWidth="1"/>
    <col min="12559" max="12802" width="9.140625" style="4"/>
    <col min="12803" max="12803" width="28.85546875" style="4" customWidth="1"/>
    <col min="12804" max="12804" width="11" style="4" customWidth="1"/>
    <col min="12805" max="12805" width="18.7109375" style="4" customWidth="1"/>
    <col min="12806" max="12806" width="20.85546875" style="4" customWidth="1"/>
    <col min="12807" max="12807" width="0" style="4" hidden="1" customWidth="1"/>
    <col min="12808" max="12808" width="17" style="4" customWidth="1"/>
    <col min="12809" max="12809" width="15.7109375" style="4" customWidth="1"/>
    <col min="12810" max="12810" width="6.85546875" style="4" customWidth="1"/>
    <col min="12811" max="12812" width="15.28515625" style="4" customWidth="1"/>
    <col min="12813" max="12813" width="18.42578125" style="4" customWidth="1"/>
    <col min="12814" max="12814" width="0" style="4" hidden="1" customWidth="1"/>
    <col min="12815" max="13058" width="9.140625" style="4"/>
    <col min="13059" max="13059" width="28.85546875" style="4" customWidth="1"/>
    <col min="13060" max="13060" width="11" style="4" customWidth="1"/>
    <col min="13061" max="13061" width="18.7109375" style="4" customWidth="1"/>
    <col min="13062" max="13062" width="20.85546875" style="4" customWidth="1"/>
    <col min="13063" max="13063" width="0" style="4" hidden="1" customWidth="1"/>
    <col min="13064" max="13064" width="17" style="4" customWidth="1"/>
    <col min="13065" max="13065" width="15.7109375" style="4" customWidth="1"/>
    <col min="13066" max="13066" width="6.85546875" style="4" customWidth="1"/>
    <col min="13067" max="13068" width="15.28515625" style="4" customWidth="1"/>
    <col min="13069" max="13069" width="18.42578125" style="4" customWidth="1"/>
    <col min="13070" max="13070" width="0" style="4" hidden="1" customWidth="1"/>
    <col min="13071" max="13314" width="9.140625" style="4"/>
    <col min="13315" max="13315" width="28.85546875" style="4" customWidth="1"/>
    <col min="13316" max="13316" width="11" style="4" customWidth="1"/>
    <col min="13317" max="13317" width="18.7109375" style="4" customWidth="1"/>
    <col min="13318" max="13318" width="20.85546875" style="4" customWidth="1"/>
    <col min="13319" max="13319" width="0" style="4" hidden="1" customWidth="1"/>
    <col min="13320" max="13320" width="17" style="4" customWidth="1"/>
    <col min="13321" max="13321" width="15.7109375" style="4" customWidth="1"/>
    <col min="13322" max="13322" width="6.85546875" style="4" customWidth="1"/>
    <col min="13323" max="13324" width="15.28515625" style="4" customWidth="1"/>
    <col min="13325" max="13325" width="18.42578125" style="4" customWidth="1"/>
    <col min="13326" max="13326" width="0" style="4" hidden="1" customWidth="1"/>
    <col min="13327" max="13570" width="9.140625" style="4"/>
    <col min="13571" max="13571" width="28.85546875" style="4" customWidth="1"/>
    <col min="13572" max="13572" width="11" style="4" customWidth="1"/>
    <col min="13573" max="13573" width="18.7109375" style="4" customWidth="1"/>
    <col min="13574" max="13574" width="20.85546875" style="4" customWidth="1"/>
    <col min="13575" max="13575" width="0" style="4" hidden="1" customWidth="1"/>
    <col min="13576" max="13576" width="17" style="4" customWidth="1"/>
    <col min="13577" max="13577" width="15.7109375" style="4" customWidth="1"/>
    <col min="13578" max="13578" width="6.85546875" style="4" customWidth="1"/>
    <col min="13579" max="13580" width="15.28515625" style="4" customWidth="1"/>
    <col min="13581" max="13581" width="18.42578125" style="4" customWidth="1"/>
    <col min="13582" max="13582" width="0" style="4" hidden="1" customWidth="1"/>
    <col min="13583" max="13826" width="9.140625" style="4"/>
    <col min="13827" max="13827" width="28.85546875" style="4" customWidth="1"/>
    <col min="13828" max="13828" width="11" style="4" customWidth="1"/>
    <col min="13829" max="13829" width="18.7109375" style="4" customWidth="1"/>
    <col min="13830" max="13830" width="20.85546875" style="4" customWidth="1"/>
    <col min="13831" max="13831" width="0" style="4" hidden="1" customWidth="1"/>
    <col min="13832" max="13832" width="17" style="4" customWidth="1"/>
    <col min="13833" max="13833" width="15.7109375" style="4" customWidth="1"/>
    <col min="13834" max="13834" width="6.85546875" style="4" customWidth="1"/>
    <col min="13835" max="13836" width="15.28515625" style="4" customWidth="1"/>
    <col min="13837" max="13837" width="18.42578125" style="4" customWidth="1"/>
    <col min="13838" max="13838" width="0" style="4" hidden="1" customWidth="1"/>
    <col min="13839" max="14082" width="9.140625" style="4"/>
    <col min="14083" max="14083" width="28.85546875" style="4" customWidth="1"/>
    <col min="14084" max="14084" width="11" style="4" customWidth="1"/>
    <col min="14085" max="14085" width="18.7109375" style="4" customWidth="1"/>
    <col min="14086" max="14086" width="20.85546875" style="4" customWidth="1"/>
    <col min="14087" max="14087" width="0" style="4" hidden="1" customWidth="1"/>
    <col min="14088" max="14088" width="17" style="4" customWidth="1"/>
    <col min="14089" max="14089" width="15.7109375" style="4" customWidth="1"/>
    <col min="14090" max="14090" width="6.85546875" style="4" customWidth="1"/>
    <col min="14091" max="14092" width="15.28515625" style="4" customWidth="1"/>
    <col min="14093" max="14093" width="18.42578125" style="4" customWidth="1"/>
    <col min="14094" max="14094" width="0" style="4" hidden="1" customWidth="1"/>
    <col min="14095" max="14338" width="9.140625" style="4"/>
    <col min="14339" max="14339" width="28.85546875" style="4" customWidth="1"/>
    <col min="14340" max="14340" width="11" style="4" customWidth="1"/>
    <col min="14341" max="14341" width="18.7109375" style="4" customWidth="1"/>
    <col min="14342" max="14342" width="20.85546875" style="4" customWidth="1"/>
    <col min="14343" max="14343" width="0" style="4" hidden="1" customWidth="1"/>
    <col min="14344" max="14344" width="17" style="4" customWidth="1"/>
    <col min="14345" max="14345" width="15.7109375" style="4" customWidth="1"/>
    <col min="14346" max="14346" width="6.85546875" style="4" customWidth="1"/>
    <col min="14347" max="14348" width="15.28515625" style="4" customWidth="1"/>
    <col min="14349" max="14349" width="18.42578125" style="4" customWidth="1"/>
    <col min="14350" max="14350" width="0" style="4" hidden="1" customWidth="1"/>
    <col min="14351" max="14594" width="9.140625" style="4"/>
    <col min="14595" max="14595" width="28.85546875" style="4" customWidth="1"/>
    <col min="14596" max="14596" width="11" style="4" customWidth="1"/>
    <col min="14597" max="14597" width="18.7109375" style="4" customWidth="1"/>
    <col min="14598" max="14598" width="20.85546875" style="4" customWidth="1"/>
    <col min="14599" max="14599" width="0" style="4" hidden="1" customWidth="1"/>
    <col min="14600" max="14600" width="17" style="4" customWidth="1"/>
    <col min="14601" max="14601" width="15.7109375" style="4" customWidth="1"/>
    <col min="14602" max="14602" width="6.85546875" style="4" customWidth="1"/>
    <col min="14603" max="14604" width="15.28515625" style="4" customWidth="1"/>
    <col min="14605" max="14605" width="18.42578125" style="4" customWidth="1"/>
    <col min="14606" max="14606" width="0" style="4" hidden="1" customWidth="1"/>
    <col min="14607" max="14850" width="9.140625" style="4"/>
    <col min="14851" max="14851" width="28.85546875" style="4" customWidth="1"/>
    <col min="14852" max="14852" width="11" style="4" customWidth="1"/>
    <col min="14853" max="14853" width="18.7109375" style="4" customWidth="1"/>
    <col min="14854" max="14854" width="20.85546875" style="4" customWidth="1"/>
    <col min="14855" max="14855" width="0" style="4" hidden="1" customWidth="1"/>
    <col min="14856" max="14856" width="17" style="4" customWidth="1"/>
    <col min="14857" max="14857" width="15.7109375" style="4" customWidth="1"/>
    <col min="14858" max="14858" width="6.85546875" style="4" customWidth="1"/>
    <col min="14859" max="14860" width="15.28515625" style="4" customWidth="1"/>
    <col min="14861" max="14861" width="18.42578125" style="4" customWidth="1"/>
    <col min="14862" max="14862" width="0" style="4" hidden="1" customWidth="1"/>
    <col min="14863" max="15106" width="9.140625" style="4"/>
    <col min="15107" max="15107" width="28.85546875" style="4" customWidth="1"/>
    <col min="15108" max="15108" width="11" style="4" customWidth="1"/>
    <col min="15109" max="15109" width="18.7109375" style="4" customWidth="1"/>
    <col min="15110" max="15110" width="20.85546875" style="4" customWidth="1"/>
    <col min="15111" max="15111" width="0" style="4" hidden="1" customWidth="1"/>
    <col min="15112" max="15112" width="17" style="4" customWidth="1"/>
    <col min="15113" max="15113" width="15.7109375" style="4" customWidth="1"/>
    <col min="15114" max="15114" width="6.85546875" style="4" customWidth="1"/>
    <col min="15115" max="15116" width="15.28515625" style="4" customWidth="1"/>
    <col min="15117" max="15117" width="18.42578125" style="4" customWidth="1"/>
    <col min="15118" max="15118" width="0" style="4" hidden="1" customWidth="1"/>
    <col min="15119" max="15362" width="9.140625" style="4"/>
    <col min="15363" max="15363" width="28.85546875" style="4" customWidth="1"/>
    <col min="15364" max="15364" width="11" style="4" customWidth="1"/>
    <col min="15365" max="15365" width="18.7109375" style="4" customWidth="1"/>
    <col min="15366" max="15366" width="20.85546875" style="4" customWidth="1"/>
    <col min="15367" max="15367" width="0" style="4" hidden="1" customWidth="1"/>
    <col min="15368" max="15368" width="17" style="4" customWidth="1"/>
    <col min="15369" max="15369" width="15.7109375" style="4" customWidth="1"/>
    <col min="15370" max="15370" width="6.85546875" style="4" customWidth="1"/>
    <col min="15371" max="15372" width="15.28515625" style="4" customWidth="1"/>
    <col min="15373" max="15373" width="18.42578125" style="4" customWidth="1"/>
    <col min="15374" max="15374" width="0" style="4" hidden="1" customWidth="1"/>
    <col min="15375" max="15618" width="9.140625" style="4"/>
    <col min="15619" max="15619" width="28.85546875" style="4" customWidth="1"/>
    <col min="15620" max="15620" width="11" style="4" customWidth="1"/>
    <col min="15621" max="15621" width="18.7109375" style="4" customWidth="1"/>
    <col min="15622" max="15622" width="20.85546875" style="4" customWidth="1"/>
    <col min="15623" max="15623" width="0" style="4" hidden="1" customWidth="1"/>
    <col min="15624" max="15624" width="17" style="4" customWidth="1"/>
    <col min="15625" max="15625" width="15.7109375" style="4" customWidth="1"/>
    <col min="15626" max="15626" width="6.85546875" style="4" customWidth="1"/>
    <col min="15627" max="15628" width="15.28515625" style="4" customWidth="1"/>
    <col min="15629" max="15629" width="18.42578125" style="4" customWidth="1"/>
    <col min="15630" max="15630" width="0" style="4" hidden="1" customWidth="1"/>
    <col min="15631" max="15874" width="9.140625" style="4"/>
    <col min="15875" max="15875" width="28.85546875" style="4" customWidth="1"/>
    <col min="15876" max="15876" width="11" style="4" customWidth="1"/>
    <col min="15877" max="15877" width="18.7109375" style="4" customWidth="1"/>
    <col min="15878" max="15878" width="20.85546875" style="4" customWidth="1"/>
    <col min="15879" max="15879" width="0" style="4" hidden="1" customWidth="1"/>
    <col min="15880" max="15880" width="17" style="4" customWidth="1"/>
    <col min="15881" max="15881" width="15.7109375" style="4" customWidth="1"/>
    <col min="15882" max="15882" width="6.85546875" style="4" customWidth="1"/>
    <col min="15883" max="15884" width="15.28515625" style="4" customWidth="1"/>
    <col min="15885" max="15885" width="18.42578125" style="4" customWidth="1"/>
    <col min="15886" max="15886" width="0" style="4" hidden="1" customWidth="1"/>
    <col min="15887" max="16130" width="9.140625" style="4"/>
    <col min="16131" max="16131" width="28.85546875" style="4" customWidth="1"/>
    <col min="16132" max="16132" width="11" style="4" customWidth="1"/>
    <col min="16133" max="16133" width="18.7109375" style="4" customWidth="1"/>
    <col min="16134" max="16134" width="20.85546875" style="4" customWidth="1"/>
    <col min="16135" max="16135" width="0" style="4" hidden="1" customWidth="1"/>
    <col min="16136" max="16136" width="17" style="4" customWidth="1"/>
    <col min="16137" max="16137" width="15.7109375" style="4" customWidth="1"/>
    <col min="16138" max="16138" width="6.85546875" style="4" customWidth="1"/>
    <col min="16139" max="16140" width="15.28515625" style="4" customWidth="1"/>
    <col min="16141" max="16141" width="18.42578125" style="4" customWidth="1"/>
    <col min="16142" max="16142" width="0" style="4" hidden="1" customWidth="1"/>
    <col min="16143" max="16384" width="9.140625" style="4"/>
  </cols>
  <sheetData>
    <row r="1" spans="1:16" s="1" customFormat="1" ht="33" x14ac:dyDescent="0.25">
      <c r="A1" s="42" t="s">
        <v>56</v>
      </c>
      <c r="B1" s="2"/>
      <c r="C1" s="3"/>
      <c r="D1" s="3"/>
      <c r="E1" s="3"/>
      <c r="F1" s="3"/>
      <c r="G1" s="3"/>
      <c r="K1" s="2"/>
      <c r="L1" s="3"/>
    </row>
    <row r="2" spans="1:16" s="1" customFormat="1" ht="39" customHeight="1" x14ac:dyDescent="0.25">
      <c r="A2" s="1" t="s">
        <v>57</v>
      </c>
      <c r="B2" s="2"/>
      <c r="C2" s="3"/>
      <c r="D2" s="3"/>
      <c r="E2" s="3"/>
      <c r="F2" s="3"/>
      <c r="G2" s="3"/>
      <c r="K2" s="2"/>
      <c r="L2" s="3"/>
    </row>
    <row r="3" spans="1:16" s="7" customFormat="1" ht="27.75" customHeight="1" x14ac:dyDescent="0.3">
      <c r="A3" s="140" t="s">
        <v>143</v>
      </c>
      <c r="B3" s="140"/>
      <c r="C3" s="140"/>
      <c r="D3" s="140"/>
      <c r="E3" s="140"/>
      <c r="F3" s="140"/>
      <c r="G3" s="140"/>
      <c r="H3" s="140"/>
      <c r="I3" s="140"/>
      <c r="J3" s="140"/>
      <c r="K3" s="140"/>
      <c r="L3" s="140"/>
      <c r="M3" s="140"/>
      <c r="N3" s="140"/>
    </row>
    <row r="4" spans="1:16" ht="46.5" customHeight="1" x14ac:dyDescent="0.25"/>
    <row r="5" spans="1:16" s="99" customFormat="1" ht="40.5" customHeight="1"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t="27.75" customHeight="1" x14ac:dyDescent="0.25">
      <c r="A6" s="11" t="s">
        <v>6</v>
      </c>
      <c r="B6" s="12">
        <f>C6/C17</f>
        <v>0</v>
      </c>
      <c r="C6" s="13">
        <f>+C7</f>
        <v>0</v>
      </c>
      <c r="D6" s="13"/>
      <c r="E6" s="13"/>
      <c r="F6" s="13"/>
      <c r="G6" s="13"/>
      <c r="H6" s="14">
        <f>+B6*H17</f>
        <v>0</v>
      </c>
      <c r="I6" s="14"/>
      <c r="J6" s="14"/>
      <c r="K6" s="15">
        <v>0.2</v>
      </c>
      <c r="L6" s="13">
        <f>+K6*H6</f>
        <v>0</v>
      </c>
      <c r="M6" s="16">
        <v>0</v>
      </c>
      <c r="N6" s="14">
        <f>+L6-M6</f>
        <v>0</v>
      </c>
    </row>
    <row r="7" spans="1:16" ht="27.75" customHeight="1" x14ac:dyDescent="0.25">
      <c r="A7" s="17"/>
      <c r="B7" s="18"/>
      <c r="C7" s="19"/>
      <c r="D7" s="19"/>
      <c r="E7" s="19"/>
      <c r="F7" s="19"/>
      <c r="G7" s="19"/>
      <c r="H7" s="17"/>
      <c r="I7" s="17"/>
      <c r="J7" s="17"/>
      <c r="K7" s="20"/>
      <c r="L7" s="19"/>
      <c r="M7" s="17"/>
      <c r="N7" s="17"/>
    </row>
    <row r="8" spans="1:16" s="1" customFormat="1" ht="27.75" customHeight="1" x14ac:dyDescent="0.25">
      <c r="A8" s="34" t="s">
        <v>53</v>
      </c>
      <c r="B8" s="31">
        <f>C8/C17</f>
        <v>0.25742657635447963</v>
      </c>
      <c r="C8" s="13">
        <f>SUM(C9:C12)</f>
        <v>4199163952</v>
      </c>
      <c r="D8" s="13">
        <f>SUM(D9:D12)</f>
        <v>4070594256</v>
      </c>
      <c r="E8" s="13">
        <f>E17*B8</f>
        <v>148708872.26776955</v>
      </c>
      <c r="F8" s="13">
        <f>F17*B8</f>
        <v>32670362.05382238</v>
      </c>
      <c r="G8" s="13">
        <f>G17*B8</f>
        <v>1236294.7369144573</v>
      </c>
      <c r="H8" s="14">
        <f>C8-D8-E8-F8+G8-G8+F8</f>
        <v>-20139176.267769549</v>
      </c>
      <c r="I8" s="14">
        <v>0</v>
      </c>
      <c r="J8" s="14">
        <f>H8-I8</f>
        <v>-20139176.267769549</v>
      </c>
      <c r="K8" s="15">
        <v>0.1</v>
      </c>
      <c r="L8" s="13">
        <f>J8*K8</f>
        <v>-2013917.6267769551</v>
      </c>
      <c r="M8" s="14">
        <f>L8*50%</f>
        <v>-1006958.8133884775</v>
      </c>
      <c r="N8" s="14">
        <f>L8-M8</f>
        <v>-1006958.8133884775</v>
      </c>
    </row>
    <row r="9" spans="1:16" ht="30" customHeight="1" x14ac:dyDescent="0.25">
      <c r="A9" s="17">
        <v>5111</v>
      </c>
      <c r="B9" s="18"/>
      <c r="C9" s="19"/>
      <c r="D9" s="19"/>
      <c r="E9" s="19"/>
      <c r="F9" s="19"/>
      <c r="G9" s="19"/>
      <c r="H9" s="17"/>
      <c r="I9" s="17"/>
      <c r="J9" s="17"/>
      <c r="K9" s="20"/>
      <c r="L9" s="19"/>
      <c r="M9" s="17"/>
      <c r="N9" s="14">
        <f t="shared" ref="N9:N12" si="0">L9-M9</f>
        <v>0</v>
      </c>
    </row>
    <row r="10" spans="1:16" ht="27" customHeight="1" x14ac:dyDescent="0.25">
      <c r="A10" s="17">
        <v>5112</v>
      </c>
      <c r="B10" s="18"/>
      <c r="C10" s="19">
        <f>+'BANG KE DT CT 2022'!C3</f>
        <v>4199112539</v>
      </c>
      <c r="D10" s="19">
        <f>+'BANG KE DT CT 2022'!D3</f>
        <v>4070594256</v>
      </c>
      <c r="E10" s="19"/>
      <c r="F10" s="19"/>
      <c r="G10" s="19"/>
      <c r="H10" s="17"/>
      <c r="I10" s="17"/>
      <c r="J10" s="17"/>
      <c r="K10" s="20"/>
      <c r="L10" s="19"/>
      <c r="M10" s="17"/>
      <c r="N10" s="14">
        <f t="shared" si="0"/>
        <v>0</v>
      </c>
    </row>
    <row r="11" spans="1:16" ht="27.75" customHeight="1" x14ac:dyDescent="0.25">
      <c r="A11" s="17">
        <v>5151</v>
      </c>
      <c r="B11" s="18"/>
      <c r="C11" s="19">
        <v>51413</v>
      </c>
      <c r="D11" s="19"/>
      <c r="E11" s="19"/>
      <c r="F11" s="19"/>
      <c r="G11" s="19"/>
      <c r="H11" s="17"/>
      <c r="I11" s="17"/>
      <c r="J11" s="17"/>
      <c r="K11" s="20"/>
      <c r="L11" s="19"/>
      <c r="M11" s="17"/>
      <c r="N11" s="14">
        <f t="shared" si="0"/>
        <v>0</v>
      </c>
    </row>
    <row r="12" spans="1:16" ht="27.75" customHeight="1" x14ac:dyDescent="0.25">
      <c r="A12" s="17">
        <v>711</v>
      </c>
      <c r="B12" s="18"/>
      <c r="C12" s="19">
        <v>0</v>
      </c>
      <c r="D12" s="19"/>
      <c r="E12" s="19"/>
      <c r="F12" s="19"/>
      <c r="G12" s="19"/>
      <c r="H12" s="17"/>
      <c r="I12" s="17"/>
      <c r="J12" s="17"/>
      <c r="K12" s="20"/>
      <c r="L12" s="19"/>
      <c r="M12" s="17"/>
      <c r="N12" s="14">
        <f t="shared" si="0"/>
        <v>0</v>
      </c>
    </row>
    <row r="13" spans="1:16" s="1" customFormat="1" ht="27.75" customHeight="1" x14ac:dyDescent="0.25">
      <c r="A13" s="21" t="s">
        <v>21</v>
      </c>
      <c r="B13" s="31">
        <f>C13/C17</f>
        <v>0.74257342364552037</v>
      </c>
      <c r="C13" s="13">
        <f>+C14+C15+C16</f>
        <v>12112920105</v>
      </c>
      <c r="D13" s="13">
        <f>SUM(D14:D16)</f>
        <v>11310917362</v>
      </c>
      <c r="E13" s="13">
        <f>E17*B13</f>
        <v>428966029.73223048</v>
      </c>
      <c r="F13" s="13">
        <f>F17*B13</f>
        <v>94241017.946177617</v>
      </c>
      <c r="G13" s="13">
        <f>G17*B13</f>
        <v>3566219.2630855427</v>
      </c>
      <c r="H13" s="14">
        <f>C13-D13-E13-F13+G13-G13+F13</f>
        <v>373036713.26776952</v>
      </c>
      <c r="I13" s="14">
        <v>0</v>
      </c>
      <c r="J13" s="14">
        <f>H13-I13</f>
        <v>373036713.26776952</v>
      </c>
      <c r="K13" s="15">
        <v>0.17</v>
      </c>
      <c r="L13" s="13">
        <f>J13*K13</f>
        <v>63416241.255520821</v>
      </c>
      <c r="M13" s="14"/>
      <c r="N13" s="14">
        <f>L13-M13</f>
        <v>63416241.255520821</v>
      </c>
    </row>
    <row r="14" spans="1:16" ht="27.75" customHeight="1" x14ac:dyDescent="0.25">
      <c r="A14" s="17">
        <v>5112</v>
      </c>
      <c r="B14" s="18"/>
      <c r="C14" s="19">
        <f>+'BANG KE DT CT 2022'!C9</f>
        <v>12112920105</v>
      </c>
      <c r="D14" s="19">
        <f>+'BANG KE DT CT 2022'!D9</f>
        <v>11310917362</v>
      </c>
      <c r="E14" s="19"/>
      <c r="F14" s="19"/>
      <c r="G14" s="19"/>
      <c r="H14" s="17"/>
      <c r="I14" s="17"/>
      <c r="J14" s="17"/>
      <c r="K14" s="20"/>
      <c r="L14" s="19"/>
      <c r="M14" s="17"/>
      <c r="N14" s="17"/>
      <c r="O14" s="83"/>
      <c r="P14" s="83"/>
    </row>
    <row r="15" spans="1:16" ht="27.75" customHeight="1" x14ac:dyDescent="0.25">
      <c r="A15" s="17">
        <v>5151</v>
      </c>
      <c r="B15" s="18"/>
      <c r="C15" s="19"/>
      <c r="D15" s="19"/>
      <c r="E15" s="19"/>
      <c r="F15" s="19"/>
      <c r="G15" s="19"/>
      <c r="H15" s="17"/>
      <c r="I15" s="17"/>
      <c r="J15" s="17"/>
      <c r="K15" s="20"/>
      <c r="L15" s="19"/>
      <c r="M15" s="17"/>
      <c r="N15" s="17"/>
      <c r="O15" s="83"/>
      <c r="P15" s="83"/>
    </row>
    <row r="16" spans="1:16" ht="27.75" customHeight="1" x14ac:dyDescent="0.25">
      <c r="A16" s="4">
        <v>711</v>
      </c>
      <c r="B16" s="4"/>
      <c r="C16" s="19"/>
      <c r="D16" s="19"/>
      <c r="E16" s="19"/>
      <c r="F16" s="19"/>
      <c r="G16" s="19"/>
      <c r="H16" s="17"/>
      <c r="I16" s="17"/>
      <c r="J16" s="17"/>
      <c r="K16" s="20"/>
      <c r="L16" s="19"/>
      <c r="M16" s="17"/>
      <c r="N16" s="17"/>
      <c r="O16" s="83"/>
      <c r="P16" s="83"/>
    </row>
    <row r="17" spans="1:16" s="1" customFormat="1" ht="27.75" customHeight="1" x14ac:dyDescent="0.25">
      <c r="A17" s="16" t="s">
        <v>7</v>
      </c>
      <c r="B17" s="12">
        <f>B8+B13</f>
        <v>1</v>
      </c>
      <c r="C17" s="13">
        <f>C8+C13</f>
        <v>16312084057</v>
      </c>
      <c r="D17" s="13">
        <f>D8+D13</f>
        <v>15381511618</v>
      </c>
      <c r="E17" s="13">
        <v>577674902</v>
      </c>
      <c r="F17" s="13">
        <v>126911380</v>
      </c>
      <c r="G17" s="13">
        <v>4802514</v>
      </c>
      <c r="H17" s="13">
        <f>H8+H13</f>
        <v>352897536.99999994</v>
      </c>
      <c r="I17" s="13"/>
      <c r="J17" s="13">
        <f>J8+J13</f>
        <v>352897536.99999994</v>
      </c>
      <c r="K17" s="13"/>
      <c r="L17" s="13">
        <f>L8+L13</f>
        <v>61402323.628743865</v>
      </c>
      <c r="M17" s="13">
        <f>M8+M13</f>
        <v>-1006958.8133884775</v>
      </c>
      <c r="N17" s="13">
        <f>N13+N8</f>
        <v>62409282.442132346</v>
      </c>
      <c r="O17" s="84"/>
      <c r="P17" s="89"/>
    </row>
    <row r="18" spans="1:16" ht="27.75" customHeight="1" x14ac:dyDescent="0.25">
      <c r="H18" s="22"/>
      <c r="I18" s="22"/>
      <c r="J18" s="22"/>
      <c r="O18" s="83"/>
      <c r="P18" s="90"/>
    </row>
    <row r="19" spans="1:16" ht="27.75" customHeight="1" x14ac:dyDescent="0.25">
      <c r="H19" s="6">
        <f>+H17*20%</f>
        <v>70579507.399999991</v>
      </c>
      <c r="I19" s="6"/>
      <c r="J19" s="6"/>
      <c r="L19" s="35">
        <f>+H19-L17</f>
        <v>9177183.7712561265</v>
      </c>
      <c r="M19" s="35"/>
      <c r="O19" s="83"/>
      <c r="P19" s="90"/>
    </row>
    <row r="20" spans="1:16" ht="27.75" customHeight="1" x14ac:dyDescent="0.25">
      <c r="G20" s="6">
        <f>F17+G17</f>
        <v>131713894</v>
      </c>
      <c r="H20" s="22">
        <f>H19-L17</f>
        <v>9177183.7712561265</v>
      </c>
      <c r="I20" s="22"/>
      <c r="J20" s="22"/>
      <c r="L20" s="35"/>
      <c r="M20" s="35"/>
      <c r="O20" s="83"/>
      <c r="P20" s="90"/>
    </row>
    <row r="21" spans="1:16" ht="27.75" customHeight="1" x14ac:dyDescent="0.25">
      <c r="L21" s="35"/>
      <c r="M21" s="35"/>
      <c r="O21" s="83"/>
      <c r="P21" s="90"/>
    </row>
    <row r="22" spans="1:16" ht="27.75" customHeight="1" x14ac:dyDescent="0.25">
      <c r="H22" s="6"/>
      <c r="I22" s="6"/>
      <c r="J22" s="6"/>
      <c r="O22" s="83"/>
      <c r="P22" s="90"/>
    </row>
    <row r="23" spans="1:16" ht="27.75" customHeight="1" x14ac:dyDescent="0.25">
      <c r="H23" s="22"/>
      <c r="I23" s="22"/>
      <c r="J23" s="22"/>
      <c r="K23" s="26"/>
      <c r="L23" s="141" t="s">
        <v>94</v>
      </c>
      <c r="M23" s="141"/>
      <c r="N23" s="141"/>
      <c r="O23" s="98"/>
      <c r="P23" s="79">
        <f>N13*30%</f>
        <v>19024872.376656245</v>
      </c>
    </row>
    <row r="24" spans="1:16" ht="27.75" customHeight="1" x14ac:dyDescent="0.25">
      <c r="A24" s="142" t="s">
        <v>8</v>
      </c>
      <c r="B24" s="142"/>
      <c r="D24" s="36"/>
      <c r="E24" s="36"/>
      <c r="F24" s="95">
        <f>J17*20%</f>
        <v>70579507.399999991</v>
      </c>
      <c r="G24" s="95"/>
      <c r="H24" s="96"/>
      <c r="I24" s="87"/>
      <c r="J24" s="37"/>
      <c r="L24" s="138" t="s">
        <v>9</v>
      </c>
      <c r="M24" s="138"/>
      <c r="N24" s="138"/>
      <c r="O24" s="98"/>
      <c r="P24" s="79"/>
    </row>
    <row r="25" spans="1:16" ht="27.75" customHeight="1" x14ac:dyDescent="0.25">
      <c r="D25" s="36"/>
      <c r="E25" s="36"/>
      <c r="F25" s="95">
        <f>L8</f>
        <v>-2013917.6267769551</v>
      </c>
      <c r="G25" s="95"/>
      <c r="H25" s="97"/>
      <c r="I25" s="88"/>
      <c r="J25" s="38"/>
      <c r="O25" s="83"/>
      <c r="P25" s="79"/>
    </row>
    <row r="26" spans="1:16" ht="27.75" customHeight="1" x14ac:dyDescent="0.25">
      <c r="D26" s="36"/>
      <c r="E26" s="36"/>
      <c r="F26" s="95">
        <f>L13</f>
        <v>63416241.255520821</v>
      </c>
      <c r="G26" s="95"/>
      <c r="H26" s="95"/>
      <c r="I26" s="86"/>
      <c r="J26" s="36"/>
      <c r="O26" s="83"/>
      <c r="P26" s="79">
        <f>N13-P23</f>
        <v>44391368.878864571</v>
      </c>
    </row>
    <row r="27" spans="1:16" ht="27.75" customHeight="1" x14ac:dyDescent="0.25">
      <c r="D27" s="5"/>
      <c r="F27" s="77">
        <f>F25+F26</f>
        <v>61402323.628743865</v>
      </c>
      <c r="G27" s="77"/>
      <c r="H27" s="77"/>
      <c r="I27" s="85"/>
      <c r="J27" s="6"/>
      <c r="O27" s="83"/>
      <c r="P27" s="90"/>
    </row>
    <row r="28" spans="1:16" ht="27.75" customHeight="1" x14ac:dyDescent="0.25">
      <c r="D28" s="100"/>
      <c r="F28" s="77">
        <f>F24-F27</f>
        <v>9177183.7712561265</v>
      </c>
      <c r="G28" s="77"/>
      <c r="H28" s="78"/>
      <c r="I28" s="78"/>
      <c r="J28" s="35"/>
      <c r="M28" s="99" t="s">
        <v>55</v>
      </c>
      <c r="O28" s="83"/>
      <c r="P28" s="90"/>
    </row>
    <row r="29" spans="1:16" ht="27.75" customHeight="1" x14ac:dyDescent="0.25">
      <c r="D29" s="40"/>
      <c r="G29" s="77"/>
      <c r="H29" s="77"/>
      <c r="I29" s="77"/>
      <c r="J29" s="6"/>
    </row>
    <row r="30" spans="1:16" s="1" customFormat="1" ht="27.75" customHeight="1" x14ac:dyDescent="0.25">
      <c r="B30" s="5"/>
      <c r="C30" s="6"/>
      <c r="D30" s="39"/>
      <c r="E30" s="3"/>
      <c r="F30" s="3"/>
      <c r="G30" s="3"/>
      <c r="H30" s="3"/>
      <c r="I30" s="3"/>
      <c r="J30" s="3"/>
      <c r="K30" s="2"/>
      <c r="L30" s="138"/>
      <c r="M30" s="138"/>
      <c r="N30" s="138"/>
    </row>
    <row r="31" spans="1:16" ht="27.75" customHeight="1" x14ac:dyDescent="0.25">
      <c r="D31" s="77">
        <v>10173716144</v>
      </c>
      <c r="E31" s="77"/>
      <c r="F31" s="77">
        <v>381500000</v>
      </c>
      <c r="H31" s="22"/>
      <c r="I31" s="22"/>
      <c r="J31" s="22"/>
    </row>
    <row r="32" spans="1:16" ht="27.75" customHeight="1" x14ac:dyDescent="0.25">
      <c r="D32" s="77">
        <f>D31-C17</f>
        <v>-6138367913</v>
      </c>
      <c r="E32" s="77"/>
      <c r="F32" s="77">
        <f>F31-70000000</f>
        <v>311500000</v>
      </c>
    </row>
    <row r="33" s="4" customFormat="1" ht="27.75" customHeight="1" x14ac:dyDescent="0.25"/>
    <row r="34" s="4" customFormat="1" ht="27.75" customHeight="1" x14ac:dyDescent="0.25"/>
    <row r="35" s="4" customFormat="1" ht="27.75" customHeight="1" x14ac:dyDescent="0.25"/>
    <row r="36" s="4" customFormat="1" ht="27.75" customHeight="1" x14ac:dyDescent="0.25"/>
    <row r="37" s="4" customFormat="1" ht="27.75" customHeight="1" x14ac:dyDescent="0.25"/>
    <row r="38" s="4" customFormat="1" ht="27.75" customHeight="1" x14ac:dyDescent="0.25"/>
    <row r="39" s="4" customFormat="1" ht="27.75" customHeight="1" x14ac:dyDescent="0.25"/>
    <row r="40" s="4" customFormat="1" ht="36" customHeight="1" x14ac:dyDescent="0.25"/>
    <row r="41" s="4" customFormat="1" ht="19.5" customHeight="1" x14ac:dyDescent="0.25"/>
    <row r="42" s="4" customFormat="1" ht="19.5" customHeight="1" x14ac:dyDescent="0.25"/>
    <row r="43" s="4" customFormat="1" ht="19.5" customHeight="1" x14ac:dyDescent="0.25"/>
    <row r="44" s="4" customFormat="1" ht="19.5" customHeight="1" x14ac:dyDescent="0.25"/>
    <row r="45" s="4" customFormat="1" ht="19.5" customHeight="1" x14ac:dyDescent="0.25"/>
    <row r="46" s="4" customFormat="1" ht="19.5" customHeight="1" x14ac:dyDescent="0.25"/>
    <row r="47" s="4" customFormat="1" ht="19.5" customHeight="1" x14ac:dyDescent="0.25"/>
    <row r="48" s="4" customFormat="1" ht="19.5" customHeight="1" x14ac:dyDescent="0.25"/>
    <row r="49" s="4" customFormat="1" ht="19.5" customHeight="1" x14ac:dyDescent="0.25"/>
    <row r="50" s="4" customFormat="1" ht="19.5" customHeight="1" x14ac:dyDescent="0.25"/>
    <row r="51" s="4" customFormat="1" ht="19.5" customHeight="1" x14ac:dyDescent="0.25"/>
    <row r="52" s="4" customFormat="1" ht="19.5" customHeight="1" x14ac:dyDescent="0.25"/>
    <row r="53" s="4" customFormat="1" ht="19.5" customHeight="1" x14ac:dyDescent="0.25"/>
    <row r="54" s="4" customFormat="1" ht="19.5" customHeight="1" x14ac:dyDescent="0.25"/>
    <row r="55" s="4" customFormat="1" ht="19.5" customHeight="1" x14ac:dyDescent="0.25"/>
    <row r="56" s="4" customFormat="1" ht="19.5" customHeight="1" x14ac:dyDescent="0.25"/>
    <row r="57" s="4" customFormat="1" ht="19.5" customHeight="1" x14ac:dyDescent="0.25"/>
    <row r="58" s="4" customFormat="1" ht="19.5" customHeight="1" x14ac:dyDescent="0.25"/>
    <row r="59" s="4" customFormat="1" ht="19.5" customHeight="1" x14ac:dyDescent="0.25"/>
    <row r="60" s="4" customFormat="1" ht="19.5" customHeight="1" x14ac:dyDescent="0.25"/>
    <row r="61" s="4" customFormat="1" ht="19.5" customHeight="1" x14ac:dyDescent="0.25"/>
    <row r="62" s="4" customFormat="1" ht="19.5" customHeight="1" x14ac:dyDescent="0.25"/>
    <row r="63" s="4" customFormat="1" ht="19.5" customHeight="1" x14ac:dyDescent="0.25"/>
    <row r="64" s="4" customFormat="1" ht="19.5" customHeigh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sheetData>
  <mergeCells count="5">
    <mergeCell ref="A3:N3"/>
    <mergeCell ref="L23:N23"/>
    <mergeCell ref="A24:B24"/>
    <mergeCell ref="L24:N24"/>
    <mergeCell ref="L30:N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9"/>
  <sheetViews>
    <sheetView topLeftCell="A37" workbookViewId="0">
      <selection activeCell="B57" sqref="B57"/>
    </sheetView>
  </sheetViews>
  <sheetFormatPr defaultColWidth="8" defaultRowHeight="15" x14ac:dyDescent="0.25"/>
  <cols>
    <col min="1" max="1" width="15.5703125" style="24" customWidth="1"/>
    <col min="2" max="2" width="91.5703125" style="24" customWidth="1"/>
    <col min="3" max="3" width="20.42578125" style="66" customWidth="1"/>
    <col min="4" max="4" width="17.7109375" style="67" customWidth="1"/>
    <col min="5" max="5" width="24.28515625" style="68" customWidth="1"/>
    <col min="6" max="6" width="10.140625" style="24" bestFit="1" customWidth="1"/>
    <col min="7" max="16384" width="8" style="24"/>
  </cols>
  <sheetData>
    <row r="1" spans="1:5" s="23" customFormat="1" ht="20.25" x14ac:dyDescent="0.3">
      <c r="A1" s="137" t="s">
        <v>144</v>
      </c>
      <c r="B1" s="137"/>
      <c r="C1" s="137"/>
      <c r="D1" s="137"/>
      <c r="E1" s="137"/>
    </row>
    <row r="2" spans="1:5" s="27" customFormat="1" ht="39" customHeight="1" x14ac:dyDescent="0.25">
      <c r="A2" s="45" t="s">
        <v>10</v>
      </c>
      <c r="B2" s="30" t="s">
        <v>11</v>
      </c>
      <c r="C2" s="54" t="s">
        <v>12</v>
      </c>
      <c r="D2" s="55" t="s">
        <v>14</v>
      </c>
      <c r="E2" s="56" t="s">
        <v>16</v>
      </c>
    </row>
    <row r="3" spans="1:5" s="28" customFormat="1" ht="27.75" customHeight="1" x14ac:dyDescent="0.25">
      <c r="A3" s="46"/>
      <c r="B3" s="52" t="s">
        <v>26</v>
      </c>
      <c r="C3" s="101">
        <f>SUM(C4:C7)</f>
        <v>1883780685</v>
      </c>
      <c r="D3" s="101">
        <f>SUM(D4:D7)</f>
        <v>1429322325</v>
      </c>
      <c r="E3" s="101">
        <f>SUM(E4:E7)</f>
        <v>454458360</v>
      </c>
    </row>
    <row r="4" spans="1:5" s="28" customFormat="1" ht="63" customHeight="1" x14ac:dyDescent="0.25">
      <c r="A4" s="114">
        <v>1</v>
      </c>
      <c r="B4" s="69" t="s">
        <v>145</v>
      </c>
      <c r="C4" s="58">
        <v>721932789</v>
      </c>
      <c r="D4" s="58">
        <v>607538412</v>
      </c>
      <c r="E4" s="58">
        <f>+C4-D4</f>
        <v>114394377</v>
      </c>
    </row>
    <row r="5" spans="1:5" s="28" customFormat="1" ht="84" customHeight="1" x14ac:dyDescent="0.25">
      <c r="A5" s="115">
        <v>2</v>
      </c>
      <c r="B5" s="118" t="s">
        <v>146</v>
      </c>
      <c r="C5" s="58">
        <v>41636364</v>
      </c>
      <c r="D5" s="58">
        <v>37886564</v>
      </c>
      <c r="E5" s="58">
        <f t="shared" ref="E5:E7" si="0">+C5-D5</f>
        <v>3749800</v>
      </c>
    </row>
    <row r="6" spans="1:5" s="28" customFormat="1" ht="84" customHeight="1" x14ac:dyDescent="0.25">
      <c r="A6" s="115"/>
      <c r="B6" s="58" t="s">
        <v>147</v>
      </c>
      <c r="C6" s="58">
        <v>447484259</v>
      </c>
      <c r="D6" s="58">
        <v>255104938</v>
      </c>
      <c r="E6" s="58">
        <f t="shared" si="0"/>
        <v>192379321</v>
      </c>
    </row>
    <row r="7" spans="1:5" s="28" customFormat="1" ht="27.75" customHeight="1" x14ac:dyDescent="0.25">
      <c r="A7" s="115">
        <v>3</v>
      </c>
      <c r="B7" s="69" t="s">
        <v>171</v>
      </c>
      <c r="C7" s="117">
        <v>672727273</v>
      </c>
      <c r="D7" s="117">
        <v>528792411</v>
      </c>
      <c r="E7" s="58">
        <f t="shared" si="0"/>
        <v>143934862</v>
      </c>
    </row>
    <row r="8" spans="1:5" s="28" customFormat="1" ht="27.75" customHeight="1" x14ac:dyDescent="0.25">
      <c r="A8" s="46"/>
      <c r="B8" s="52" t="s">
        <v>22</v>
      </c>
      <c r="C8" s="57">
        <f>SUM(C9:C38)</f>
        <v>13726818203</v>
      </c>
      <c r="D8" s="57">
        <f>SUM(D9:D38)</f>
        <v>13015023429</v>
      </c>
      <c r="E8" s="57">
        <f t="shared" ref="E8" si="1">SUM(E9:E38)</f>
        <v>711794774</v>
      </c>
    </row>
    <row r="9" spans="1:5" s="28" customFormat="1" ht="27.75" customHeight="1" x14ac:dyDescent="0.25">
      <c r="A9" s="48"/>
      <c r="B9" s="93" t="s">
        <v>148</v>
      </c>
      <c r="C9" s="94">
        <v>43909091</v>
      </c>
      <c r="D9" s="94">
        <v>35083587</v>
      </c>
      <c r="E9" s="58">
        <f>C9-D9</f>
        <v>8825504</v>
      </c>
    </row>
    <row r="10" spans="1:5" s="28" customFormat="1" ht="27.75" customHeight="1" x14ac:dyDescent="0.25">
      <c r="A10" s="48"/>
      <c r="B10" s="93" t="s">
        <v>149</v>
      </c>
      <c r="C10" s="94">
        <v>3991569922</v>
      </c>
      <c r="D10" s="94">
        <v>3927952978</v>
      </c>
      <c r="E10" s="58">
        <f t="shared" ref="E10:E36" si="2">C10-D10</f>
        <v>63616944</v>
      </c>
    </row>
    <row r="11" spans="1:5" s="28" customFormat="1" ht="27.75" customHeight="1" x14ac:dyDescent="0.25">
      <c r="A11" s="48"/>
      <c r="B11" s="93" t="s">
        <v>150</v>
      </c>
      <c r="C11" s="94">
        <v>44314815</v>
      </c>
      <c r="D11" s="94">
        <v>29165347</v>
      </c>
      <c r="E11" s="58">
        <f t="shared" si="2"/>
        <v>15149468</v>
      </c>
    </row>
    <row r="12" spans="1:5" s="28" customFormat="1" ht="27.75" customHeight="1" x14ac:dyDescent="0.25">
      <c r="A12" s="48"/>
      <c r="B12" s="93" t="s">
        <v>151</v>
      </c>
      <c r="C12" s="94">
        <v>665133409</v>
      </c>
      <c r="D12" s="94">
        <v>660378617</v>
      </c>
      <c r="E12" s="58">
        <f t="shared" si="2"/>
        <v>4754792</v>
      </c>
    </row>
    <row r="13" spans="1:5" s="28" customFormat="1" ht="27.75" customHeight="1" x14ac:dyDescent="0.25">
      <c r="A13" s="48"/>
      <c r="B13" s="93" t="s">
        <v>152</v>
      </c>
      <c r="C13" s="94">
        <v>45740741</v>
      </c>
      <c r="D13" s="94">
        <v>45756260</v>
      </c>
      <c r="E13" s="58">
        <f t="shared" si="2"/>
        <v>-15519</v>
      </c>
    </row>
    <row r="14" spans="1:5" s="28" customFormat="1" ht="27.75" customHeight="1" x14ac:dyDescent="0.25">
      <c r="A14" s="48"/>
      <c r="B14" s="93" t="s">
        <v>153</v>
      </c>
      <c r="C14" s="94">
        <v>45925926</v>
      </c>
      <c r="D14" s="94">
        <v>44953362</v>
      </c>
      <c r="E14" s="58">
        <f t="shared" si="2"/>
        <v>972564</v>
      </c>
    </row>
    <row r="15" spans="1:5" s="133" customFormat="1" ht="27.75" customHeight="1" x14ac:dyDescent="0.25">
      <c r="A15" s="48"/>
      <c r="B15" s="132" t="s">
        <v>154</v>
      </c>
      <c r="C15" s="117">
        <v>54545455</v>
      </c>
      <c r="D15" s="117">
        <v>20960594</v>
      </c>
      <c r="E15" s="58">
        <f t="shared" si="2"/>
        <v>33584861</v>
      </c>
    </row>
    <row r="16" spans="1:5" s="116" customFormat="1" ht="27.75" customHeight="1" x14ac:dyDescent="0.25">
      <c r="A16" s="46"/>
      <c r="B16" s="93" t="s">
        <v>155</v>
      </c>
      <c r="C16" s="94">
        <v>1565386364</v>
      </c>
      <c r="D16" s="94">
        <v>1434163094</v>
      </c>
      <c r="E16" s="58">
        <f t="shared" si="2"/>
        <v>131223270</v>
      </c>
    </row>
    <row r="17" spans="1:6" s="28" customFormat="1" ht="27.75" customHeight="1" x14ac:dyDescent="0.25">
      <c r="A17" s="48"/>
      <c r="B17" s="93" t="s">
        <v>156</v>
      </c>
      <c r="C17" s="94">
        <v>1925594960</v>
      </c>
      <c r="D17" s="94">
        <v>1919349957</v>
      </c>
      <c r="E17" s="58">
        <f t="shared" si="2"/>
        <v>6245003</v>
      </c>
    </row>
    <row r="18" spans="1:6" s="116" customFormat="1" ht="27.75" customHeight="1" x14ac:dyDescent="0.25">
      <c r="A18" s="46"/>
      <c r="B18" s="120" t="s">
        <v>157</v>
      </c>
      <c r="C18" s="121">
        <v>862682418</v>
      </c>
      <c r="D18" s="121">
        <v>842708453</v>
      </c>
      <c r="E18" s="122">
        <f t="shared" si="2"/>
        <v>19973965</v>
      </c>
      <c r="F18" s="116">
        <v>25000000</v>
      </c>
    </row>
    <row r="19" spans="1:6" s="28" customFormat="1" ht="27.75" customHeight="1" x14ac:dyDescent="0.25">
      <c r="A19" s="48"/>
      <c r="B19" s="93" t="s">
        <v>158</v>
      </c>
      <c r="C19" s="94">
        <v>188090909</v>
      </c>
      <c r="D19" s="94">
        <v>177559839</v>
      </c>
      <c r="E19" s="58">
        <f t="shared" si="2"/>
        <v>10531070</v>
      </c>
    </row>
    <row r="20" spans="1:6" s="28" customFormat="1" ht="27.75" customHeight="1" x14ac:dyDescent="0.25">
      <c r="A20" s="48"/>
      <c r="B20" s="93" t="s">
        <v>159</v>
      </c>
      <c r="C20" s="94">
        <v>82909091</v>
      </c>
      <c r="D20" s="94">
        <v>74652579</v>
      </c>
      <c r="E20" s="58">
        <f t="shared" si="2"/>
        <v>8256512</v>
      </c>
    </row>
    <row r="21" spans="1:6" s="28" customFormat="1" ht="27.75" customHeight="1" x14ac:dyDescent="0.25">
      <c r="A21" s="48"/>
      <c r="B21" s="93" t="s">
        <v>160</v>
      </c>
      <c r="C21" s="94">
        <v>106589091</v>
      </c>
      <c r="D21" s="94">
        <v>88779935</v>
      </c>
      <c r="E21" s="58">
        <f t="shared" si="2"/>
        <v>17809156</v>
      </c>
    </row>
    <row r="22" spans="1:6" s="28" customFormat="1" ht="27.75" customHeight="1" x14ac:dyDescent="0.25">
      <c r="A22" s="48"/>
      <c r="B22" s="93" t="s">
        <v>161</v>
      </c>
      <c r="C22" s="94">
        <v>45480556</v>
      </c>
      <c r="D22" s="94">
        <v>42065217</v>
      </c>
      <c r="E22" s="58">
        <f t="shared" si="2"/>
        <v>3415339</v>
      </c>
    </row>
    <row r="23" spans="1:6" s="28" customFormat="1" ht="27.75" customHeight="1" x14ac:dyDescent="0.25">
      <c r="A23" s="48"/>
      <c r="B23" s="93" t="s">
        <v>162</v>
      </c>
      <c r="C23" s="94">
        <v>43433333</v>
      </c>
      <c r="D23" s="94">
        <v>31144544</v>
      </c>
      <c r="E23" s="58">
        <f t="shared" si="2"/>
        <v>12288789</v>
      </c>
    </row>
    <row r="24" spans="1:6" s="28" customFormat="1" ht="27.75" customHeight="1" x14ac:dyDescent="0.25">
      <c r="A24" s="48"/>
      <c r="B24" s="93" t="s">
        <v>163</v>
      </c>
      <c r="C24" s="94">
        <v>44351852</v>
      </c>
      <c r="D24" s="94">
        <v>44231598</v>
      </c>
      <c r="E24" s="58">
        <f t="shared" si="2"/>
        <v>120254</v>
      </c>
    </row>
    <row r="25" spans="1:6" s="28" customFormat="1" ht="27.75" customHeight="1" x14ac:dyDescent="0.25">
      <c r="A25" s="48"/>
      <c r="B25" s="93" t="s">
        <v>164</v>
      </c>
      <c r="C25" s="94">
        <v>41574074</v>
      </c>
      <c r="D25" s="94">
        <v>41626520</v>
      </c>
      <c r="E25" s="58">
        <f t="shared" si="2"/>
        <v>-52446</v>
      </c>
    </row>
    <row r="26" spans="1:6" s="28" customFormat="1" ht="27.75" customHeight="1" x14ac:dyDescent="0.25">
      <c r="A26" s="48"/>
      <c r="B26" s="93" t="s">
        <v>165</v>
      </c>
      <c r="C26" s="94">
        <v>92592593</v>
      </c>
      <c r="D26" s="94">
        <v>81705022</v>
      </c>
      <c r="E26" s="58">
        <f t="shared" si="2"/>
        <v>10887571</v>
      </c>
    </row>
    <row r="27" spans="1:6" s="28" customFormat="1" ht="27.75" customHeight="1" x14ac:dyDescent="0.25">
      <c r="A27" s="48"/>
      <c r="B27" s="93" t="s">
        <v>166</v>
      </c>
      <c r="C27" s="94">
        <v>278463219</v>
      </c>
      <c r="D27" s="94">
        <v>220050887</v>
      </c>
      <c r="E27" s="58">
        <f t="shared" si="2"/>
        <v>58412332</v>
      </c>
      <c r="F27" s="28">
        <v>20000000</v>
      </c>
    </row>
    <row r="28" spans="1:6" s="28" customFormat="1" ht="27.75" customHeight="1" x14ac:dyDescent="0.25">
      <c r="A28" s="48"/>
      <c r="B28" s="93" t="s">
        <v>167</v>
      </c>
      <c r="C28" s="94">
        <v>46279630</v>
      </c>
      <c r="D28" s="94">
        <v>45190420</v>
      </c>
      <c r="E28" s="58">
        <f t="shared" si="2"/>
        <v>1089210</v>
      </c>
    </row>
    <row r="29" spans="1:6" s="28" customFormat="1" ht="27.75" customHeight="1" x14ac:dyDescent="0.25">
      <c r="A29" s="48"/>
      <c r="B29" s="93" t="s">
        <v>168</v>
      </c>
      <c r="C29" s="94">
        <v>75000000</v>
      </c>
      <c r="D29" s="94">
        <v>69715361</v>
      </c>
      <c r="E29" s="58">
        <f t="shared" si="2"/>
        <v>5284639</v>
      </c>
    </row>
    <row r="30" spans="1:6" s="28" customFormat="1" ht="27.75" customHeight="1" x14ac:dyDescent="0.25">
      <c r="A30" s="48"/>
      <c r="B30" s="93" t="s">
        <v>169</v>
      </c>
      <c r="C30" s="94">
        <v>26962963</v>
      </c>
      <c r="D30" s="94">
        <v>19193158</v>
      </c>
      <c r="E30" s="58">
        <f t="shared" si="2"/>
        <v>7769805</v>
      </c>
    </row>
    <row r="31" spans="1:6" s="28" customFormat="1" ht="27.75" customHeight="1" x14ac:dyDescent="0.25">
      <c r="A31" s="48"/>
      <c r="B31" s="93" t="s">
        <v>170</v>
      </c>
      <c r="C31" s="94">
        <v>44537037</v>
      </c>
      <c r="D31" s="94">
        <v>44092426</v>
      </c>
      <c r="E31" s="58">
        <f t="shared" si="2"/>
        <v>444611</v>
      </c>
    </row>
    <row r="32" spans="1:6" s="28" customFormat="1" ht="27.75" customHeight="1" x14ac:dyDescent="0.25">
      <c r="A32" s="48"/>
      <c r="B32" s="93" t="s">
        <v>172</v>
      </c>
      <c r="C32" s="94">
        <v>44644444</v>
      </c>
      <c r="D32" s="94">
        <v>35532365</v>
      </c>
      <c r="E32" s="58">
        <f t="shared" si="2"/>
        <v>9112079</v>
      </c>
    </row>
    <row r="33" spans="1:5" s="28" customFormat="1" ht="27.75" customHeight="1" x14ac:dyDescent="0.25">
      <c r="A33" s="48"/>
      <c r="B33" s="93" t="s">
        <v>173</v>
      </c>
      <c r="C33" s="94">
        <v>44363636</v>
      </c>
      <c r="D33" s="94">
        <v>27760596</v>
      </c>
      <c r="E33" s="58">
        <f t="shared" si="2"/>
        <v>16603040</v>
      </c>
    </row>
    <row r="34" spans="1:5" s="28" customFormat="1" ht="27.75" customHeight="1" x14ac:dyDescent="0.25">
      <c r="A34" s="48"/>
      <c r="B34" s="93" t="s">
        <v>174</v>
      </c>
      <c r="C34" s="94">
        <v>718533980</v>
      </c>
      <c r="D34" s="94">
        <v>690537036</v>
      </c>
      <c r="E34" s="58">
        <f t="shared" si="2"/>
        <v>27996944</v>
      </c>
    </row>
    <row r="35" spans="1:5" s="28" customFormat="1" ht="27.75" customHeight="1" x14ac:dyDescent="0.25">
      <c r="A35" s="48"/>
      <c r="B35" s="93" t="s">
        <v>175</v>
      </c>
      <c r="C35" s="94">
        <v>261328074</v>
      </c>
      <c r="D35" s="94">
        <v>191658073</v>
      </c>
      <c r="E35" s="58">
        <f t="shared" si="2"/>
        <v>69670001</v>
      </c>
    </row>
    <row r="36" spans="1:5" s="28" customFormat="1" ht="27.75" customHeight="1" x14ac:dyDescent="0.25">
      <c r="A36" s="48"/>
      <c r="B36" s="93" t="s">
        <v>176</v>
      </c>
      <c r="C36" s="94">
        <v>4500000</v>
      </c>
      <c r="D36" s="94">
        <v>3813036</v>
      </c>
      <c r="E36" s="58">
        <f t="shared" si="2"/>
        <v>686964</v>
      </c>
    </row>
    <row r="37" spans="1:5" s="28" customFormat="1" ht="27.75" customHeight="1" x14ac:dyDescent="0.25">
      <c r="A37" s="48"/>
      <c r="B37" s="93" t="s">
        <v>177</v>
      </c>
      <c r="C37" s="94">
        <v>6944444</v>
      </c>
      <c r="D37" s="94">
        <v>5200000</v>
      </c>
      <c r="E37" s="58">
        <f>C37-D37</f>
        <v>1744444</v>
      </c>
    </row>
    <row r="38" spans="1:5" s="28" customFormat="1" ht="27.75" customHeight="1" x14ac:dyDescent="0.25">
      <c r="A38" s="48"/>
      <c r="B38" s="28" t="s">
        <v>179</v>
      </c>
      <c r="C38" s="94">
        <v>2285436176</v>
      </c>
      <c r="D38" s="94">
        <v>2120042568</v>
      </c>
      <c r="E38" s="94">
        <f>C38-D38</f>
        <v>165393608</v>
      </c>
    </row>
    <row r="39" spans="1:5" s="27" customFormat="1" ht="36" customHeight="1" x14ac:dyDescent="0.25">
      <c r="A39" s="46"/>
      <c r="B39" s="52"/>
      <c r="C39" s="60">
        <f>C8+C3</f>
        <v>15610598888</v>
      </c>
      <c r="D39" s="60">
        <f>D8+D3</f>
        <v>14444345754</v>
      </c>
      <c r="E39" s="60">
        <f>E8+E3</f>
        <v>1166253134</v>
      </c>
    </row>
    <row r="40" spans="1:5" s="25" customFormat="1" ht="19.5" customHeight="1" x14ac:dyDescent="0.25">
      <c r="B40" s="139" t="s">
        <v>58</v>
      </c>
      <c r="C40" s="139"/>
      <c r="D40" s="61"/>
      <c r="E40" s="62"/>
    </row>
    <row r="41" spans="1:5" s="25" customFormat="1" ht="19.5" customHeight="1" x14ac:dyDescent="0.25">
      <c r="B41" s="138" t="s">
        <v>13</v>
      </c>
      <c r="C41" s="138"/>
      <c r="D41" s="63"/>
      <c r="E41" s="62"/>
    </row>
    <row r="42" spans="1:5" s="25" customFormat="1" ht="19.5" customHeight="1" x14ac:dyDescent="0.25">
      <c r="B42" s="6"/>
      <c r="C42" s="51"/>
      <c r="D42" s="51">
        <v>14444345754</v>
      </c>
      <c r="E42" s="62"/>
    </row>
    <row r="43" spans="1:5" s="25" customFormat="1" ht="19.5" customHeight="1" x14ac:dyDescent="0.25">
      <c r="B43" s="6"/>
      <c r="C43" s="51">
        <v>2285436176</v>
      </c>
      <c r="D43" s="51">
        <f>+D42-D39</f>
        <v>0</v>
      </c>
      <c r="E43" s="62"/>
    </row>
    <row r="44" spans="1:5" s="25" customFormat="1" ht="19.5" customHeight="1" x14ac:dyDescent="0.25">
      <c r="B44" s="6"/>
      <c r="C44" s="51"/>
      <c r="D44" s="51">
        <f>0.346*25180</f>
        <v>8712.2799999999988</v>
      </c>
      <c r="E44" s="62"/>
    </row>
    <row r="45" spans="1:5" s="25" customFormat="1" ht="19.5" customHeight="1" x14ac:dyDescent="0.25">
      <c r="B45" s="6"/>
      <c r="C45" s="51"/>
      <c r="D45" s="51"/>
      <c r="E45" s="62"/>
    </row>
    <row r="46" spans="1:5" s="25" customFormat="1" ht="19.5" customHeight="1" x14ac:dyDescent="0.25">
      <c r="B46" s="6"/>
      <c r="C46" s="51"/>
      <c r="D46" s="51"/>
      <c r="E46" s="62"/>
    </row>
    <row r="47" spans="1:5" s="25" customFormat="1" ht="19.5" customHeight="1" x14ac:dyDescent="0.25">
      <c r="B47" s="6"/>
      <c r="C47" s="51"/>
      <c r="D47" s="51"/>
      <c r="E47" s="62"/>
    </row>
    <row r="48" spans="1:5" s="25" customFormat="1" ht="19.5" customHeight="1" x14ac:dyDescent="0.25">
      <c r="B48" s="138"/>
      <c r="C48" s="138"/>
      <c r="D48" s="63"/>
      <c r="E48" s="62"/>
    </row>
    <row r="49" spans="3:5" s="25" customFormat="1" ht="19.5" customHeight="1" x14ac:dyDescent="0.25">
      <c r="C49" s="64"/>
      <c r="D49" s="65"/>
      <c r="E49" s="62"/>
    </row>
    <row r="50" spans="3:5" s="25" customFormat="1" ht="19.5" customHeight="1" x14ac:dyDescent="0.25">
      <c r="C50" s="64">
        <v>381828640</v>
      </c>
      <c r="D50" s="65"/>
      <c r="E50" s="62"/>
    </row>
    <row r="51" spans="3:5" s="25" customFormat="1" ht="19.5" customHeight="1" x14ac:dyDescent="0.25">
      <c r="C51" s="64">
        <v>381828580</v>
      </c>
      <c r="D51" s="65"/>
      <c r="E51" s="62"/>
    </row>
    <row r="52" spans="3:5" s="25" customFormat="1" ht="19.5" customHeight="1" x14ac:dyDescent="0.25">
      <c r="C52" s="64">
        <f>+C51-C50</f>
        <v>-60</v>
      </c>
      <c r="D52" s="65"/>
      <c r="E52" s="62"/>
    </row>
    <row r="53" spans="3:5" s="25" customFormat="1" ht="19.5" customHeight="1" x14ac:dyDescent="0.25">
      <c r="C53" s="64"/>
      <c r="D53" s="65"/>
      <c r="E53" s="62"/>
    </row>
    <row r="54" spans="3:5" ht="19.5" customHeight="1" x14ac:dyDescent="0.25"/>
    <row r="55" spans="3:5" ht="19.5" customHeight="1" x14ac:dyDescent="0.25"/>
    <row r="56" spans="3:5" ht="19.5" customHeight="1" x14ac:dyDescent="0.25"/>
    <row r="57" spans="3:5" ht="19.5" customHeight="1" x14ac:dyDescent="0.25"/>
    <row r="58" spans="3:5" ht="19.5" customHeight="1" x14ac:dyDescent="0.25"/>
    <row r="59" spans="3:5" ht="19.5" customHeight="1" x14ac:dyDescent="0.25"/>
    <row r="60" spans="3:5" ht="19.5" customHeight="1" x14ac:dyDescent="0.25"/>
    <row r="61" spans="3:5" ht="19.5" customHeight="1" x14ac:dyDescent="0.25"/>
    <row r="62" spans="3:5" ht="19.5" customHeight="1" x14ac:dyDescent="0.25"/>
    <row r="63" spans="3:5" ht="19.5" customHeight="1" x14ac:dyDescent="0.25"/>
    <row r="64" spans="3:5" x14ac:dyDescent="0.25">
      <c r="C64" s="24"/>
      <c r="D64" s="24"/>
      <c r="E64" s="24"/>
    </row>
    <row r="65" spans="3:5" x14ac:dyDescent="0.25">
      <c r="C65" s="24"/>
      <c r="D65" s="24"/>
      <c r="E65" s="24"/>
    </row>
    <row r="66" spans="3:5" x14ac:dyDescent="0.25">
      <c r="C66" s="24"/>
      <c r="D66" s="24"/>
      <c r="E66" s="24"/>
    </row>
    <row r="67" spans="3:5" x14ac:dyDescent="0.25">
      <c r="C67" s="24"/>
      <c r="D67" s="24"/>
      <c r="E67" s="24"/>
    </row>
    <row r="68" spans="3:5" x14ac:dyDescent="0.25">
      <c r="C68" s="24"/>
      <c r="D68" s="24"/>
      <c r="E68" s="24"/>
    </row>
    <row r="69" spans="3:5" x14ac:dyDescent="0.25">
      <c r="C69" s="24"/>
      <c r="D69" s="24"/>
      <c r="E69" s="24"/>
    </row>
    <row r="70" spans="3:5" x14ac:dyDescent="0.25">
      <c r="C70" s="24"/>
      <c r="D70" s="24"/>
      <c r="E70" s="24"/>
    </row>
    <row r="71" spans="3:5" x14ac:dyDescent="0.25">
      <c r="C71" s="24"/>
      <c r="D71" s="24"/>
      <c r="E71" s="24"/>
    </row>
    <row r="72" spans="3:5" x14ac:dyDescent="0.25">
      <c r="C72" s="24"/>
      <c r="D72" s="24"/>
      <c r="E72" s="24"/>
    </row>
    <row r="73" spans="3:5" x14ac:dyDescent="0.25">
      <c r="C73" s="24"/>
      <c r="D73" s="24"/>
      <c r="E73" s="24"/>
    </row>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sheetData>
  <mergeCells count="4">
    <mergeCell ref="A1:E1"/>
    <mergeCell ref="B40:C40"/>
    <mergeCell ref="B41:C41"/>
    <mergeCell ref="B48:C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opLeftCell="E4" workbookViewId="0">
      <selection activeCell="G21" sqref="G21"/>
    </sheetView>
  </sheetViews>
  <sheetFormatPr defaultRowHeight="16.5" x14ac:dyDescent="0.25"/>
  <cols>
    <col min="1" max="1" width="42.5703125" style="4" customWidth="1"/>
    <col min="2" max="2" width="9.85546875" style="5" customWidth="1"/>
    <col min="3" max="3" width="18.5703125" style="6" customWidth="1"/>
    <col min="4" max="4" width="19.28515625" style="6" customWidth="1"/>
    <col min="5" max="7" width="16" style="6" customWidth="1"/>
    <col min="8" max="8" width="20.7109375" style="4" customWidth="1"/>
    <col min="9" max="9" width="14.5703125" style="4" customWidth="1"/>
    <col min="10" max="10" width="23.5703125" style="4" customWidth="1"/>
    <col min="11" max="11" width="6.85546875" style="5" customWidth="1"/>
    <col min="12" max="12" width="19.7109375" style="6" customWidth="1"/>
    <col min="13" max="13" width="18.140625" style="4" customWidth="1"/>
    <col min="14" max="14" width="16" style="4" customWidth="1"/>
    <col min="15" max="15" width="14.5703125" style="4" bestFit="1" customWidth="1"/>
    <col min="16" max="16" width="15.85546875" style="4" bestFit="1" customWidth="1"/>
    <col min="17" max="258" width="9.140625" style="4"/>
    <col min="259" max="259" width="28.85546875" style="4" customWidth="1"/>
    <col min="260" max="260" width="11" style="4" customWidth="1"/>
    <col min="261" max="261" width="18.7109375" style="4" customWidth="1"/>
    <col min="262" max="262" width="20.85546875" style="4" customWidth="1"/>
    <col min="263" max="263" width="0" style="4" hidden="1" customWidth="1"/>
    <col min="264" max="264" width="17" style="4" customWidth="1"/>
    <col min="265" max="265" width="15.7109375" style="4" customWidth="1"/>
    <col min="266" max="266" width="6.85546875" style="4" customWidth="1"/>
    <col min="267" max="268" width="15.28515625" style="4" customWidth="1"/>
    <col min="269" max="269" width="18.42578125" style="4" customWidth="1"/>
    <col min="270" max="270" width="0" style="4" hidden="1" customWidth="1"/>
    <col min="271" max="514" width="9.140625" style="4"/>
    <col min="515" max="515" width="28.85546875" style="4" customWidth="1"/>
    <col min="516" max="516" width="11" style="4" customWidth="1"/>
    <col min="517" max="517" width="18.7109375" style="4" customWidth="1"/>
    <col min="518" max="518" width="20.85546875" style="4" customWidth="1"/>
    <col min="519" max="519" width="0" style="4" hidden="1" customWidth="1"/>
    <col min="520" max="520" width="17" style="4" customWidth="1"/>
    <col min="521" max="521" width="15.7109375" style="4" customWidth="1"/>
    <col min="522" max="522" width="6.85546875" style="4" customWidth="1"/>
    <col min="523" max="524" width="15.28515625" style="4" customWidth="1"/>
    <col min="525" max="525" width="18.42578125" style="4" customWidth="1"/>
    <col min="526" max="526" width="0" style="4" hidden="1" customWidth="1"/>
    <col min="527" max="770" width="9.140625" style="4"/>
    <col min="771" max="771" width="28.85546875" style="4" customWidth="1"/>
    <col min="772" max="772" width="11" style="4" customWidth="1"/>
    <col min="773" max="773" width="18.7109375" style="4" customWidth="1"/>
    <col min="774" max="774" width="20.85546875" style="4" customWidth="1"/>
    <col min="775" max="775" width="0" style="4" hidden="1" customWidth="1"/>
    <col min="776" max="776" width="17" style="4" customWidth="1"/>
    <col min="777" max="777" width="15.7109375" style="4" customWidth="1"/>
    <col min="778" max="778" width="6.85546875" style="4" customWidth="1"/>
    <col min="779" max="780" width="15.28515625" style="4" customWidth="1"/>
    <col min="781" max="781" width="18.42578125" style="4" customWidth="1"/>
    <col min="782" max="782" width="0" style="4" hidden="1" customWidth="1"/>
    <col min="783" max="1026" width="9.140625" style="4"/>
    <col min="1027" max="1027" width="28.85546875" style="4" customWidth="1"/>
    <col min="1028" max="1028" width="11" style="4" customWidth="1"/>
    <col min="1029" max="1029" width="18.7109375" style="4" customWidth="1"/>
    <col min="1030" max="1030" width="20.85546875" style="4" customWidth="1"/>
    <col min="1031" max="1031" width="0" style="4" hidden="1" customWidth="1"/>
    <col min="1032" max="1032" width="17" style="4" customWidth="1"/>
    <col min="1033" max="1033" width="15.7109375" style="4" customWidth="1"/>
    <col min="1034" max="1034" width="6.85546875" style="4" customWidth="1"/>
    <col min="1035" max="1036" width="15.28515625" style="4" customWidth="1"/>
    <col min="1037" max="1037" width="18.42578125" style="4" customWidth="1"/>
    <col min="1038" max="1038" width="0" style="4" hidden="1" customWidth="1"/>
    <col min="1039" max="1282" width="9.140625" style="4"/>
    <col min="1283" max="1283" width="28.85546875" style="4" customWidth="1"/>
    <col min="1284" max="1284" width="11" style="4" customWidth="1"/>
    <col min="1285" max="1285" width="18.7109375" style="4" customWidth="1"/>
    <col min="1286" max="1286" width="20.85546875" style="4" customWidth="1"/>
    <col min="1287" max="1287" width="0" style="4" hidden="1" customWidth="1"/>
    <col min="1288" max="1288" width="17" style="4" customWidth="1"/>
    <col min="1289" max="1289" width="15.7109375" style="4" customWidth="1"/>
    <col min="1290" max="1290" width="6.85546875" style="4" customWidth="1"/>
    <col min="1291" max="1292" width="15.28515625" style="4" customWidth="1"/>
    <col min="1293" max="1293" width="18.42578125" style="4" customWidth="1"/>
    <col min="1294" max="1294" width="0" style="4" hidden="1" customWidth="1"/>
    <col min="1295" max="1538" width="9.140625" style="4"/>
    <col min="1539" max="1539" width="28.85546875" style="4" customWidth="1"/>
    <col min="1540" max="1540" width="11" style="4" customWidth="1"/>
    <col min="1541" max="1541" width="18.7109375" style="4" customWidth="1"/>
    <col min="1542" max="1542" width="20.85546875" style="4" customWidth="1"/>
    <col min="1543" max="1543" width="0" style="4" hidden="1" customWidth="1"/>
    <col min="1544" max="1544" width="17" style="4" customWidth="1"/>
    <col min="1545" max="1545" width="15.7109375" style="4" customWidth="1"/>
    <col min="1546" max="1546" width="6.85546875" style="4" customWidth="1"/>
    <col min="1547" max="1548" width="15.28515625" style="4" customWidth="1"/>
    <col min="1549" max="1549" width="18.42578125" style="4" customWidth="1"/>
    <col min="1550" max="1550" width="0" style="4" hidden="1" customWidth="1"/>
    <col min="1551" max="1794" width="9.140625" style="4"/>
    <col min="1795" max="1795" width="28.85546875" style="4" customWidth="1"/>
    <col min="1796" max="1796" width="11" style="4" customWidth="1"/>
    <col min="1797" max="1797" width="18.7109375" style="4" customWidth="1"/>
    <col min="1798" max="1798" width="20.85546875" style="4" customWidth="1"/>
    <col min="1799" max="1799" width="0" style="4" hidden="1" customWidth="1"/>
    <col min="1800" max="1800" width="17" style="4" customWidth="1"/>
    <col min="1801" max="1801" width="15.7109375" style="4" customWidth="1"/>
    <col min="1802" max="1802" width="6.85546875" style="4" customWidth="1"/>
    <col min="1803" max="1804" width="15.28515625" style="4" customWidth="1"/>
    <col min="1805" max="1805" width="18.42578125" style="4" customWidth="1"/>
    <col min="1806" max="1806" width="0" style="4" hidden="1" customWidth="1"/>
    <col min="1807" max="2050" width="9.140625" style="4"/>
    <col min="2051" max="2051" width="28.85546875" style="4" customWidth="1"/>
    <col min="2052" max="2052" width="11" style="4" customWidth="1"/>
    <col min="2053" max="2053" width="18.7109375" style="4" customWidth="1"/>
    <col min="2054" max="2054" width="20.85546875" style="4" customWidth="1"/>
    <col min="2055" max="2055" width="0" style="4" hidden="1" customWidth="1"/>
    <col min="2056" max="2056" width="17" style="4" customWidth="1"/>
    <col min="2057" max="2057" width="15.7109375" style="4" customWidth="1"/>
    <col min="2058" max="2058" width="6.85546875" style="4" customWidth="1"/>
    <col min="2059" max="2060" width="15.28515625" style="4" customWidth="1"/>
    <col min="2061" max="2061" width="18.42578125" style="4" customWidth="1"/>
    <col min="2062" max="2062" width="0" style="4" hidden="1" customWidth="1"/>
    <col min="2063" max="2306" width="9.140625" style="4"/>
    <col min="2307" max="2307" width="28.85546875" style="4" customWidth="1"/>
    <col min="2308" max="2308" width="11" style="4" customWidth="1"/>
    <col min="2309" max="2309" width="18.7109375" style="4" customWidth="1"/>
    <col min="2310" max="2310" width="20.85546875" style="4" customWidth="1"/>
    <col min="2311" max="2311" width="0" style="4" hidden="1" customWidth="1"/>
    <col min="2312" max="2312" width="17" style="4" customWidth="1"/>
    <col min="2313" max="2313" width="15.7109375" style="4" customWidth="1"/>
    <col min="2314" max="2314" width="6.85546875" style="4" customWidth="1"/>
    <col min="2315" max="2316" width="15.28515625" style="4" customWidth="1"/>
    <col min="2317" max="2317" width="18.42578125" style="4" customWidth="1"/>
    <col min="2318" max="2318" width="0" style="4" hidden="1" customWidth="1"/>
    <col min="2319" max="2562" width="9.140625" style="4"/>
    <col min="2563" max="2563" width="28.85546875" style="4" customWidth="1"/>
    <col min="2564" max="2564" width="11" style="4" customWidth="1"/>
    <col min="2565" max="2565" width="18.7109375" style="4" customWidth="1"/>
    <col min="2566" max="2566" width="20.85546875" style="4" customWidth="1"/>
    <col min="2567" max="2567" width="0" style="4" hidden="1" customWidth="1"/>
    <col min="2568" max="2568" width="17" style="4" customWidth="1"/>
    <col min="2569" max="2569" width="15.7109375" style="4" customWidth="1"/>
    <col min="2570" max="2570" width="6.85546875" style="4" customWidth="1"/>
    <col min="2571" max="2572" width="15.28515625" style="4" customWidth="1"/>
    <col min="2573" max="2573" width="18.42578125" style="4" customWidth="1"/>
    <col min="2574" max="2574" width="0" style="4" hidden="1" customWidth="1"/>
    <col min="2575" max="2818" width="9.140625" style="4"/>
    <col min="2819" max="2819" width="28.85546875" style="4" customWidth="1"/>
    <col min="2820" max="2820" width="11" style="4" customWidth="1"/>
    <col min="2821" max="2821" width="18.7109375" style="4" customWidth="1"/>
    <col min="2822" max="2822" width="20.85546875" style="4" customWidth="1"/>
    <col min="2823" max="2823" width="0" style="4" hidden="1" customWidth="1"/>
    <col min="2824" max="2824" width="17" style="4" customWidth="1"/>
    <col min="2825" max="2825" width="15.7109375" style="4" customWidth="1"/>
    <col min="2826" max="2826" width="6.85546875" style="4" customWidth="1"/>
    <col min="2827" max="2828" width="15.28515625" style="4" customWidth="1"/>
    <col min="2829" max="2829" width="18.42578125" style="4" customWidth="1"/>
    <col min="2830" max="2830" width="0" style="4" hidden="1" customWidth="1"/>
    <col min="2831" max="3074" width="9.140625" style="4"/>
    <col min="3075" max="3075" width="28.85546875" style="4" customWidth="1"/>
    <col min="3076" max="3076" width="11" style="4" customWidth="1"/>
    <col min="3077" max="3077" width="18.7109375" style="4" customWidth="1"/>
    <col min="3078" max="3078" width="20.85546875" style="4" customWidth="1"/>
    <col min="3079" max="3079" width="0" style="4" hidden="1" customWidth="1"/>
    <col min="3080" max="3080" width="17" style="4" customWidth="1"/>
    <col min="3081" max="3081" width="15.7109375" style="4" customWidth="1"/>
    <col min="3082" max="3082" width="6.85546875" style="4" customWidth="1"/>
    <col min="3083" max="3084" width="15.28515625" style="4" customWidth="1"/>
    <col min="3085" max="3085" width="18.42578125" style="4" customWidth="1"/>
    <col min="3086" max="3086" width="0" style="4" hidden="1" customWidth="1"/>
    <col min="3087" max="3330" width="9.140625" style="4"/>
    <col min="3331" max="3331" width="28.85546875" style="4" customWidth="1"/>
    <col min="3332" max="3332" width="11" style="4" customWidth="1"/>
    <col min="3333" max="3333" width="18.7109375" style="4" customWidth="1"/>
    <col min="3334" max="3334" width="20.85546875" style="4" customWidth="1"/>
    <col min="3335" max="3335" width="0" style="4" hidden="1" customWidth="1"/>
    <col min="3336" max="3336" width="17" style="4" customWidth="1"/>
    <col min="3337" max="3337" width="15.7109375" style="4" customWidth="1"/>
    <col min="3338" max="3338" width="6.85546875" style="4" customWidth="1"/>
    <col min="3339" max="3340" width="15.28515625" style="4" customWidth="1"/>
    <col min="3341" max="3341" width="18.42578125" style="4" customWidth="1"/>
    <col min="3342" max="3342" width="0" style="4" hidden="1" customWidth="1"/>
    <col min="3343" max="3586" width="9.140625" style="4"/>
    <col min="3587" max="3587" width="28.85546875" style="4" customWidth="1"/>
    <col min="3588" max="3588" width="11" style="4" customWidth="1"/>
    <col min="3589" max="3589" width="18.7109375" style="4" customWidth="1"/>
    <col min="3590" max="3590" width="20.85546875" style="4" customWidth="1"/>
    <col min="3591" max="3591" width="0" style="4" hidden="1" customWidth="1"/>
    <col min="3592" max="3592" width="17" style="4" customWidth="1"/>
    <col min="3593" max="3593" width="15.7109375" style="4" customWidth="1"/>
    <col min="3594" max="3594" width="6.85546875" style="4" customWidth="1"/>
    <col min="3595" max="3596" width="15.28515625" style="4" customWidth="1"/>
    <col min="3597" max="3597" width="18.42578125" style="4" customWidth="1"/>
    <col min="3598" max="3598" width="0" style="4" hidden="1" customWidth="1"/>
    <col min="3599" max="3842" width="9.140625" style="4"/>
    <col min="3843" max="3843" width="28.85546875" style="4" customWidth="1"/>
    <col min="3844" max="3844" width="11" style="4" customWidth="1"/>
    <col min="3845" max="3845" width="18.7109375" style="4" customWidth="1"/>
    <col min="3846" max="3846" width="20.85546875" style="4" customWidth="1"/>
    <col min="3847" max="3847" width="0" style="4" hidden="1" customWidth="1"/>
    <col min="3848" max="3848" width="17" style="4" customWidth="1"/>
    <col min="3849" max="3849" width="15.7109375" style="4" customWidth="1"/>
    <col min="3850" max="3850" width="6.85546875" style="4" customWidth="1"/>
    <col min="3851" max="3852" width="15.28515625" style="4" customWidth="1"/>
    <col min="3853" max="3853" width="18.42578125" style="4" customWidth="1"/>
    <col min="3854" max="3854" width="0" style="4" hidden="1" customWidth="1"/>
    <col min="3855" max="4098" width="9.140625" style="4"/>
    <col min="4099" max="4099" width="28.85546875" style="4" customWidth="1"/>
    <col min="4100" max="4100" width="11" style="4" customWidth="1"/>
    <col min="4101" max="4101" width="18.7109375" style="4" customWidth="1"/>
    <col min="4102" max="4102" width="20.85546875" style="4" customWidth="1"/>
    <col min="4103" max="4103" width="0" style="4" hidden="1" customWidth="1"/>
    <col min="4104" max="4104" width="17" style="4" customWidth="1"/>
    <col min="4105" max="4105" width="15.7109375" style="4" customWidth="1"/>
    <col min="4106" max="4106" width="6.85546875" style="4" customWidth="1"/>
    <col min="4107" max="4108" width="15.28515625" style="4" customWidth="1"/>
    <col min="4109" max="4109" width="18.42578125" style="4" customWidth="1"/>
    <col min="4110" max="4110" width="0" style="4" hidden="1" customWidth="1"/>
    <col min="4111" max="4354" width="9.140625" style="4"/>
    <col min="4355" max="4355" width="28.85546875" style="4" customWidth="1"/>
    <col min="4356" max="4356" width="11" style="4" customWidth="1"/>
    <col min="4357" max="4357" width="18.7109375" style="4" customWidth="1"/>
    <col min="4358" max="4358" width="20.85546875" style="4" customWidth="1"/>
    <col min="4359" max="4359" width="0" style="4" hidden="1" customWidth="1"/>
    <col min="4360" max="4360" width="17" style="4" customWidth="1"/>
    <col min="4361" max="4361" width="15.7109375" style="4" customWidth="1"/>
    <col min="4362" max="4362" width="6.85546875" style="4" customWidth="1"/>
    <col min="4363" max="4364" width="15.28515625" style="4" customWidth="1"/>
    <col min="4365" max="4365" width="18.42578125" style="4" customWidth="1"/>
    <col min="4366" max="4366" width="0" style="4" hidden="1" customWidth="1"/>
    <col min="4367" max="4610" width="9.140625" style="4"/>
    <col min="4611" max="4611" width="28.85546875" style="4" customWidth="1"/>
    <col min="4612" max="4612" width="11" style="4" customWidth="1"/>
    <col min="4613" max="4613" width="18.7109375" style="4" customWidth="1"/>
    <col min="4614" max="4614" width="20.85546875" style="4" customWidth="1"/>
    <col min="4615" max="4615" width="0" style="4" hidden="1" customWidth="1"/>
    <col min="4616" max="4616" width="17" style="4" customWidth="1"/>
    <col min="4617" max="4617" width="15.7109375" style="4" customWidth="1"/>
    <col min="4618" max="4618" width="6.85546875" style="4" customWidth="1"/>
    <col min="4619" max="4620" width="15.28515625" style="4" customWidth="1"/>
    <col min="4621" max="4621" width="18.42578125" style="4" customWidth="1"/>
    <col min="4622" max="4622" width="0" style="4" hidden="1" customWidth="1"/>
    <col min="4623" max="4866" width="9.140625" style="4"/>
    <col min="4867" max="4867" width="28.85546875" style="4" customWidth="1"/>
    <col min="4868" max="4868" width="11" style="4" customWidth="1"/>
    <col min="4869" max="4869" width="18.7109375" style="4" customWidth="1"/>
    <col min="4870" max="4870" width="20.85546875" style="4" customWidth="1"/>
    <col min="4871" max="4871" width="0" style="4" hidden="1" customWidth="1"/>
    <col min="4872" max="4872" width="17" style="4" customWidth="1"/>
    <col min="4873" max="4873" width="15.7109375" style="4" customWidth="1"/>
    <col min="4874" max="4874" width="6.85546875" style="4" customWidth="1"/>
    <col min="4875" max="4876" width="15.28515625" style="4" customWidth="1"/>
    <col min="4877" max="4877" width="18.42578125" style="4" customWidth="1"/>
    <col min="4878" max="4878" width="0" style="4" hidden="1" customWidth="1"/>
    <col min="4879" max="5122" width="9.140625" style="4"/>
    <col min="5123" max="5123" width="28.85546875" style="4" customWidth="1"/>
    <col min="5124" max="5124" width="11" style="4" customWidth="1"/>
    <col min="5125" max="5125" width="18.7109375" style="4" customWidth="1"/>
    <col min="5126" max="5126" width="20.85546875" style="4" customWidth="1"/>
    <col min="5127" max="5127" width="0" style="4" hidden="1" customWidth="1"/>
    <col min="5128" max="5128" width="17" style="4" customWidth="1"/>
    <col min="5129" max="5129" width="15.7109375" style="4" customWidth="1"/>
    <col min="5130" max="5130" width="6.85546875" style="4" customWidth="1"/>
    <col min="5131" max="5132" width="15.28515625" style="4" customWidth="1"/>
    <col min="5133" max="5133" width="18.42578125" style="4" customWidth="1"/>
    <col min="5134" max="5134" width="0" style="4" hidden="1" customWidth="1"/>
    <col min="5135" max="5378" width="9.140625" style="4"/>
    <col min="5379" max="5379" width="28.85546875" style="4" customWidth="1"/>
    <col min="5380" max="5380" width="11" style="4" customWidth="1"/>
    <col min="5381" max="5381" width="18.7109375" style="4" customWidth="1"/>
    <col min="5382" max="5382" width="20.85546875" style="4" customWidth="1"/>
    <col min="5383" max="5383" width="0" style="4" hidden="1" customWidth="1"/>
    <col min="5384" max="5384" width="17" style="4" customWidth="1"/>
    <col min="5385" max="5385" width="15.7109375" style="4" customWidth="1"/>
    <col min="5386" max="5386" width="6.85546875" style="4" customWidth="1"/>
    <col min="5387" max="5388" width="15.28515625" style="4" customWidth="1"/>
    <col min="5389" max="5389" width="18.42578125" style="4" customWidth="1"/>
    <col min="5390" max="5390" width="0" style="4" hidden="1" customWidth="1"/>
    <col min="5391" max="5634" width="9.140625" style="4"/>
    <col min="5635" max="5635" width="28.85546875" style="4" customWidth="1"/>
    <col min="5636" max="5636" width="11" style="4" customWidth="1"/>
    <col min="5637" max="5637" width="18.7109375" style="4" customWidth="1"/>
    <col min="5638" max="5638" width="20.85546875" style="4" customWidth="1"/>
    <col min="5639" max="5639" width="0" style="4" hidden="1" customWidth="1"/>
    <col min="5640" max="5640" width="17" style="4" customWidth="1"/>
    <col min="5641" max="5641" width="15.7109375" style="4" customWidth="1"/>
    <col min="5642" max="5642" width="6.85546875" style="4" customWidth="1"/>
    <col min="5643" max="5644" width="15.28515625" style="4" customWidth="1"/>
    <col min="5645" max="5645" width="18.42578125" style="4" customWidth="1"/>
    <col min="5646" max="5646" width="0" style="4" hidden="1" customWidth="1"/>
    <col min="5647" max="5890" width="9.140625" style="4"/>
    <col min="5891" max="5891" width="28.85546875" style="4" customWidth="1"/>
    <col min="5892" max="5892" width="11" style="4" customWidth="1"/>
    <col min="5893" max="5893" width="18.7109375" style="4" customWidth="1"/>
    <col min="5894" max="5894" width="20.85546875" style="4" customWidth="1"/>
    <col min="5895" max="5895" width="0" style="4" hidden="1" customWidth="1"/>
    <col min="5896" max="5896" width="17" style="4" customWidth="1"/>
    <col min="5897" max="5897" width="15.7109375" style="4" customWidth="1"/>
    <col min="5898" max="5898" width="6.85546875" style="4" customWidth="1"/>
    <col min="5899" max="5900" width="15.28515625" style="4" customWidth="1"/>
    <col min="5901" max="5901" width="18.42578125" style="4" customWidth="1"/>
    <col min="5902" max="5902" width="0" style="4" hidden="1" customWidth="1"/>
    <col min="5903" max="6146" width="9.140625" style="4"/>
    <col min="6147" max="6147" width="28.85546875" style="4" customWidth="1"/>
    <col min="6148" max="6148" width="11" style="4" customWidth="1"/>
    <col min="6149" max="6149" width="18.7109375" style="4" customWidth="1"/>
    <col min="6150" max="6150" width="20.85546875" style="4" customWidth="1"/>
    <col min="6151" max="6151" width="0" style="4" hidden="1" customWidth="1"/>
    <col min="6152" max="6152" width="17" style="4" customWidth="1"/>
    <col min="6153" max="6153" width="15.7109375" style="4" customWidth="1"/>
    <col min="6154" max="6154" width="6.85546875" style="4" customWidth="1"/>
    <col min="6155" max="6156" width="15.28515625" style="4" customWidth="1"/>
    <col min="6157" max="6157" width="18.42578125" style="4" customWidth="1"/>
    <col min="6158" max="6158" width="0" style="4" hidden="1" customWidth="1"/>
    <col min="6159" max="6402" width="9.140625" style="4"/>
    <col min="6403" max="6403" width="28.85546875" style="4" customWidth="1"/>
    <col min="6404" max="6404" width="11" style="4" customWidth="1"/>
    <col min="6405" max="6405" width="18.7109375" style="4" customWidth="1"/>
    <col min="6406" max="6406" width="20.85546875" style="4" customWidth="1"/>
    <col min="6407" max="6407" width="0" style="4" hidden="1" customWidth="1"/>
    <col min="6408" max="6408" width="17" style="4" customWidth="1"/>
    <col min="6409" max="6409" width="15.7109375" style="4" customWidth="1"/>
    <col min="6410" max="6410" width="6.85546875" style="4" customWidth="1"/>
    <col min="6411" max="6412" width="15.28515625" style="4" customWidth="1"/>
    <col min="6413" max="6413" width="18.42578125" style="4" customWidth="1"/>
    <col min="6414" max="6414" width="0" style="4" hidden="1" customWidth="1"/>
    <col min="6415" max="6658" width="9.140625" style="4"/>
    <col min="6659" max="6659" width="28.85546875" style="4" customWidth="1"/>
    <col min="6660" max="6660" width="11" style="4" customWidth="1"/>
    <col min="6661" max="6661" width="18.7109375" style="4" customWidth="1"/>
    <col min="6662" max="6662" width="20.85546875" style="4" customWidth="1"/>
    <col min="6663" max="6663" width="0" style="4" hidden="1" customWidth="1"/>
    <col min="6664" max="6664" width="17" style="4" customWidth="1"/>
    <col min="6665" max="6665" width="15.7109375" style="4" customWidth="1"/>
    <col min="6666" max="6666" width="6.85546875" style="4" customWidth="1"/>
    <col min="6667" max="6668" width="15.28515625" style="4" customWidth="1"/>
    <col min="6669" max="6669" width="18.42578125" style="4" customWidth="1"/>
    <col min="6670" max="6670" width="0" style="4" hidden="1" customWidth="1"/>
    <col min="6671" max="6914" width="9.140625" style="4"/>
    <col min="6915" max="6915" width="28.85546875" style="4" customWidth="1"/>
    <col min="6916" max="6916" width="11" style="4" customWidth="1"/>
    <col min="6917" max="6917" width="18.7109375" style="4" customWidth="1"/>
    <col min="6918" max="6918" width="20.85546875" style="4" customWidth="1"/>
    <col min="6919" max="6919" width="0" style="4" hidden="1" customWidth="1"/>
    <col min="6920" max="6920" width="17" style="4" customWidth="1"/>
    <col min="6921" max="6921" width="15.7109375" style="4" customWidth="1"/>
    <col min="6922" max="6922" width="6.85546875" style="4" customWidth="1"/>
    <col min="6923" max="6924" width="15.28515625" style="4" customWidth="1"/>
    <col min="6925" max="6925" width="18.42578125" style="4" customWidth="1"/>
    <col min="6926" max="6926" width="0" style="4" hidden="1" customWidth="1"/>
    <col min="6927" max="7170" width="9.140625" style="4"/>
    <col min="7171" max="7171" width="28.85546875" style="4" customWidth="1"/>
    <col min="7172" max="7172" width="11" style="4" customWidth="1"/>
    <col min="7173" max="7173" width="18.7109375" style="4" customWidth="1"/>
    <col min="7174" max="7174" width="20.85546875" style="4" customWidth="1"/>
    <col min="7175" max="7175" width="0" style="4" hidden="1" customWidth="1"/>
    <col min="7176" max="7176" width="17" style="4" customWidth="1"/>
    <col min="7177" max="7177" width="15.7109375" style="4" customWidth="1"/>
    <col min="7178" max="7178" width="6.85546875" style="4" customWidth="1"/>
    <col min="7179" max="7180" width="15.28515625" style="4" customWidth="1"/>
    <col min="7181" max="7181" width="18.42578125" style="4" customWidth="1"/>
    <col min="7182" max="7182" width="0" style="4" hidden="1" customWidth="1"/>
    <col min="7183" max="7426" width="9.140625" style="4"/>
    <col min="7427" max="7427" width="28.85546875" style="4" customWidth="1"/>
    <col min="7428" max="7428" width="11" style="4" customWidth="1"/>
    <col min="7429" max="7429" width="18.7109375" style="4" customWidth="1"/>
    <col min="7430" max="7430" width="20.85546875" style="4" customWidth="1"/>
    <col min="7431" max="7431" width="0" style="4" hidden="1" customWidth="1"/>
    <col min="7432" max="7432" width="17" style="4" customWidth="1"/>
    <col min="7433" max="7433" width="15.7109375" style="4" customWidth="1"/>
    <col min="7434" max="7434" width="6.85546875" style="4" customWidth="1"/>
    <col min="7435" max="7436" width="15.28515625" style="4" customWidth="1"/>
    <col min="7437" max="7437" width="18.42578125" style="4" customWidth="1"/>
    <col min="7438" max="7438" width="0" style="4" hidden="1" customWidth="1"/>
    <col min="7439" max="7682" width="9.140625" style="4"/>
    <col min="7683" max="7683" width="28.85546875" style="4" customWidth="1"/>
    <col min="7684" max="7684" width="11" style="4" customWidth="1"/>
    <col min="7685" max="7685" width="18.7109375" style="4" customWidth="1"/>
    <col min="7686" max="7686" width="20.85546875" style="4" customWidth="1"/>
    <col min="7687" max="7687" width="0" style="4" hidden="1" customWidth="1"/>
    <col min="7688" max="7688" width="17" style="4" customWidth="1"/>
    <col min="7689" max="7689" width="15.7109375" style="4" customWidth="1"/>
    <col min="7690" max="7690" width="6.85546875" style="4" customWidth="1"/>
    <col min="7691" max="7692" width="15.28515625" style="4" customWidth="1"/>
    <col min="7693" max="7693" width="18.42578125" style="4" customWidth="1"/>
    <col min="7694" max="7694" width="0" style="4" hidden="1" customWidth="1"/>
    <col min="7695" max="7938" width="9.140625" style="4"/>
    <col min="7939" max="7939" width="28.85546875" style="4" customWidth="1"/>
    <col min="7940" max="7940" width="11" style="4" customWidth="1"/>
    <col min="7941" max="7941" width="18.7109375" style="4" customWidth="1"/>
    <col min="7942" max="7942" width="20.85546875" style="4" customWidth="1"/>
    <col min="7943" max="7943" width="0" style="4" hidden="1" customWidth="1"/>
    <col min="7944" max="7944" width="17" style="4" customWidth="1"/>
    <col min="7945" max="7945" width="15.7109375" style="4" customWidth="1"/>
    <col min="7946" max="7946" width="6.85546875" style="4" customWidth="1"/>
    <col min="7947" max="7948" width="15.28515625" style="4" customWidth="1"/>
    <col min="7949" max="7949" width="18.42578125" style="4" customWidth="1"/>
    <col min="7950" max="7950" width="0" style="4" hidden="1" customWidth="1"/>
    <col min="7951" max="8194" width="9.140625" style="4"/>
    <col min="8195" max="8195" width="28.85546875" style="4" customWidth="1"/>
    <col min="8196" max="8196" width="11" style="4" customWidth="1"/>
    <col min="8197" max="8197" width="18.7109375" style="4" customWidth="1"/>
    <col min="8198" max="8198" width="20.85546875" style="4" customWidth="1"/>
    <col min="8199" max="8199" width="0" style="4" hidden="1" customWidth="1"/>
    <col min="8200" max="8200" width="17" style="4" customWidth="1"/>
    <col min="8201" max="8201" width="15.7109375" style="4" customWidth="1"/>
    <col min="8202" max="8202" width="6.85546875" style="4" customWidth="1"/>
    <col min="8203" max="8204" width="15.28515625" style="4" customWidth="1"/>
    <col min="8205" max="8205" width="18.42578125" style="4" customWidth="1"/>
    <col min="8206" max="8206" width="0" style="4" hidden="1" customWidth="1"/>
    <col min="8207" max="8450" width="9.140625" style="4"/>
    <col min="8451" max="8451" width="28.85546875" style="4" customWidth="1"/>
    <col min="8452" max="8452" width="11" style="4" customWidth="1"/>
    <col min="8453" max="8453" width="18.7109375" style="4" customWidth="1"/>
    <col min="8454" max="8454" width="20.85546875" style="4" customWidth="1"/>
    <col min="8455" max="8455" width="0" style="4" hidden="1" customWidth="1"/>
    <col min="8456" max="8456" width="17" style="4" customWidth="1"/>
    <col min="8457" max="8457" width="15.7109375" style="4" customWidth="1"/>
    <col min="8458" max="8458" width="6.85546875" style="4" customWidth="1"/>
    <col min="8459" max="8460" width="15.28515625" style="4" customWidth="1"/>
    <col min="8461" max="8461" width="18.42578125" style="4" customWidth="1"/>
    <col min="8462" max="8462" width="0" style="4" hidden="1" customWidth="1"/>
    <col min="8463" max="8706" width="9.140625" style="4"/>
    <col min="8707" max="8707" width="28.85546875" style="4" customWidth="1"/>
    <col min="8708" max="8708" width="11" style="4" customWidth="1"/>
    <col min="8709" max="8709" width="18.7109375" style="4" customWidth="1"/>
    <col min="8710" max="8710" width="20.85546875" style="4" customWidth="1"/>
    <col min="8711" max="8711" width="0" style="4" hidden="1" customWidth="1"/>
    <col min="8712" max="8712" width="17" style="4" customWidth="1"/>
    <col min="8713" max="8713" width="15.7109375" style="4" customWidth="1"/>
    <col min="8714" max="8714" width="6.85546875" style="4" customWidth="1"/>
    <col min="8715" max="8716" width="15.28515625" style="4" customWidth="1"/>
    <col min="8717" max="8717" width="18.42578125" style="4" customWidth="1"/>
    <col min="8718" max="8718" width="0" style="4" hidden="1" customWidth="1"/>
    <col min="8719" max="8962" width="9.140625" style="4"/>
    <col min="8963" max="8963" width="28.85546875" style="4" customWidth="1"/>
    <col min="8964" max="8964" width="11" style="4" customWidth="1"/>
    <col min="8965" max="8965" width="18.7109375" style="4" customWidth="1"/>
    <col min="8966" max="8966" width="20.85546875" style="4" customWidth="1"/>
    <col min="8967" max="8967" width="0" style="4" hidden="1" customWidth="1"/>
    <col min="8968" max="8968" width="17" style="4" customWidth="1"/>
    <col min="8969" max="8969" width="15.7109375" style="4" customWidth="1"/>
    <col min="8970" max="8970" width="6.85546875" style="4" customWidth="1"/>
    <col min="8971" max="8972" width="15.28515625" style="4" customWidth="1"/>
    <col min="8973" max="8973" width="18.42578125" style="4" customWidth="1"/>
    <col min="8974" max="8974" width="0" style="4" hidden="1" customWidth="1"/>
    <col min="8975" max="9218" width="9.140625" style="4"/>
    <col min="9219" max="9219" width="28.85546875" style="4" customWidth="1"/>
    <col min="9220" max="9220" width="11" style="4" customWidth="1"/>
    <col min="9221" max="9221" width="18.7109375" style="4" customWidth="1"/>
    <col min="9222" max="9222" width="20.85546875" style="4" customWidth="1"/>
    <col min="9223" max="9223" width="0" style="4" hidden="1" customWidth="1"/>
    <col min="9224" max="9224" width="17" style="4" customWidth="1"/>
    <col min="9225" max="9225" width="15.7109375" style="4" customWidth="1"/>
    <col min="9226" max="9226" width="6.85546875" style="4" customWidth="1"/>
    <col min="9227" max="9228" width="15.28515625" style="4" customWidth="1"/>
    <col min="9229" max="9229" width="18.42578125" style="4" customWidth="1"/>
    <col min="9230" max="9230" width="0" style="4" hidden="1" customWidth="1"/>
    <col min="9231" max="9474" width="9.140625" style="4"/>
    <col min="9475" max="9475" width="28.85546875" style="4" customWidth="1"/>
    <col min="9476" max="9476" width="11" style="4" customWidth="1"/>
    <col min="9477" max="9477" width="18.7109375" style="4" customWidth="1"/>
    <col min="9478" max="9478" width="20.85546875" style="4" customWidth="1"/>
    <col min="9479" max="9479" width="0" style="4" hidden="1" customWidth="1"/>
    <col min="9480" max="9480" width="17" style="4" customWidth="1"/>
    <col min="9481" max="9481" width="15.7109375" style="4" customWidth="1"/>
    <col min="9482" max="9482" width="6.85546875" style="4" customWidth="1"/>
    <col min="9483" max="9484" width="15.28515625" style="4" customWidth="1"/>
    <col min="9485" max="9485" width="18.42578125" style="4" customWidth="1"/>
    <col min="9486" max="9486" width="0" style="4" hidden="1" customWidth="1"/>
    <col min="9487" max="9730" width="9.140625" style="4"/>
    <col min="9731" max="9731" width="28.85546875" style="4" customWidth="1"/>
    <col min="9732" max="9732" width="11" style="4" customWidth="1"/>
    <col min="9733" max="9733" width="18.7109375" style="4" customWidth="1"/>
    <col min="9734" max="9734" width="20.85546875" style="4" customWidth="1"/>
    <col min="9735" max="9735" width="0" style="4" hidden="1" customWidth="1"/>
    <col min="9736" max="9736" width="17" style="4" customWidth="1"/>
    <col min="9737" max="9737" width="15.7109375" style="4" customWidth="1"/>
    <col min="9738" max="9738" width="6.85546875" style="4" customWidth="1"/>
    <col min="9739" max="9740" width="15.28515625" style="4" customWidth="1"/>
    <col min="9741" max="9741" width="18.42578125" style="4" customWidth="1"/>
    <col min="9742" max="9742" width="0" style="4" hidden="1" customWidth="1"/>
    <col min="9743" max="9986" width="9.140625" style="4"/>
    <col min="9987" max="9987" width="28.85546875" style="4" customWidth="1"/>
    <col min="9988" max="9988" width="11" style="4" customWidth="1"/>
    <col min="9989" max="9989" width="18.7109375" style="4" customWidth="1"/>
    <col min="9990" max="9990" width="20.85546875" style="4" customWidth="1"/>
    <col min="9991" max="9991" width="0" style="4" hidden="1" customWidth="1"/>
    <col min="9992" max="9992" width="17" style="4" customWidth="1"/>
    <col min="9993" max="9993" width="15.7109375" style="4" customWidth="1"/>
    <col min="9994" max="9994" width="6.85546875" style="4" customWidth="1"/>
    <col min="9995" max="9996" width="15.28515625" style="4" customWidth="1"/>
    <col min="9997" max="9997" width="18.42578125" style="4" customWidth="1"/>
    <col min="9998" max="9998" width="0" style="4" hidden="1" customWidth="1"/>
    <col min="9999" max="10242" width="9.140625" style="4"/>
    <col min="10243" max="10243" width="28.85546875" style="4" customWidth="1"/>
    <col min="10244" max="10244" width="11" style="4" customWidth="1"/>
    <col min="10245" max="10245" width="18.7109375" style="4" customWidth="1"/>
    <col min="10246" max="10246" width="20.85546875" style="4" customWidth="1"/>
    <col min="10247" max="10247" width="0" style="4" hidden="1" customWidth="1"/>
    <col min="10248" max="10248" width="17" style="4" customWidth="1"/>
    <col min="10249" max="10249" width="15.7109375" style="4" customWidth="1"/>
    <col min="10250" max="10250" width="6.85546875" style="4" customWidth="1"/>
    <col min="10251" max="10252" width="15.28515625" style="4" customWidth="1"/>
    <col min="10253" max="10253" width="18.42578125" style="4" customWidth="1"/>
    <col min="10254" max="10254" width="0" style="4" hidden="1" customWidth="1"/>
    <col min="10255" max="10498" width="9.140625" style="4"/>
    <col min="10499" max="10499" width="28.85546875" style="4" customWidth="1"/>
    <col min="10500" max="10500" width="11" style="4" customWidth="1"/>
    <col min="10501" max="10501" width="18.7109375" style="4" customWidth="1"/>
    <col min="10502" max="10502" width="20.85546875" style="4" customWidth="1"/>
    <col min="10503" max="10503" width="0" style="4" hidden="1" customWidth="1"/>
    <col min="10504" max="10504" width="17" style="4" customWidth="1"/>
    <col min="10505" max="10505" width="15.7109375" style="4" customWidth="1"/>
    <col min="10506" max="10506" width="6.85546875" style="4" customWidth="1"/>
    <col min="10507" max="10508" width="15.28515625" style="4" customWidth="1"/>
    <col min="10509" max="10509" width="18.42578125" style="4" customWidth="1"/>
    <col min="10510" max="10510" width="0" style="4" hidden="1" customWidth="1"/>
    <col min="10511" max="10754" width="9.140625" style="4"/>
    <col min="10755" max="10755" width="28.85546875" style="4" customWidth="1"/>
    <col min="10756" max="10756" width="11" style="4" customWidth="1"/>
    <col min="10757" max="10757" width="18.7109375" style="4" customWidth="1"/>
    <col min="10758" max="10758" width="20.85546875" style="4" customWidth="1"/>
    <col min="10759" max="10759" width="0" style="4" hidden="1" customWidth="1"/>
    <col min="10760" max="10760" width="17" style="4" customWidth="1"/>
    <col min="10761" max="10761" width="15.7109375" style="4" customWidth="1"/>
    <col min="10762" max="10762" width="6.85546875" style="4" customWidth="1"/>
    <col min="10763" max="10764" width="15.28515625" style="4" customWidth="1"/>
    <col min="10765" max="10765" width="18.42578125" style="4" customWidth="1"/>
    <col min="10766" max="10766" width="0" style="4" hidden="1" customWidth="1"/>
    <col min="10767" max="11010" width="9.140625" style="4"/>
    <col min="11011" max="11011" width="28.85546875" style="4" customWidth="1"/>
    <col min="11012" max="11012" width="11" style="4" customWidth="1"/>
    <col min="11013" max="11013" width="18.7109375" style="4" customWidth="1"/>
    <col min="11014" max="11014" width="20.85546875" style="4" customWidth="1"/>
    <col min="11015" max="11015" width="0" style="4" hidden="1" customWidth="1"/>
    <col min="11016" max="11016" width="17" style="4" customWidth="1"/>
    <col min="11017" max="11017" width="15.7109375" style="4" customWidth="1"/>
    <col min="11018" max="11018" width="6.85546875" style="4" customWidth="1"/>
    <col min="11019" max="11020" width="15.28515625" style="4" customWidth="1"/>
    <col min="11021" max="11021" width="18.42578125" style="4" customWidth="1"/>
    <col min="11022" max="11022" width="0" style="4" hidden="1" customWidth="1"/>
    <col min="11023" max="11266" width="9.140625" style="4"/>
    <col min="11267" max="11267" width="28.85546875" style="4" customWidth="1"/>
    <col min="11268" max="11268" width="11" style="4" customWidth="1"/>
    <col min="11269" max="11269" width="18.7109375" style="4" customWidth="1"/>
    <col min="11270" max="11270" width="20.85546875" style="4" customWidth="1"/>
    <col min="11271" max="11271" width="0" style="4" hidden="1" customWidth="1"/>
    <col min="11272" max="11272" width="17" style="4" customWidth="1"/>
    <col min="11273" max="11273" width="15.7109375" style="4" customWidth="1"/>
    <col min="11274" max="11274" width="6.85546875" style="4" customWidth="1"/>
    <col min="11275" max="11276" width="15.28515625" style="4" customWidth="1"/>
    <col min="11277" max="11277" width="18.42578125" style="4" customWidth="1"/>
    <col min="11278" max="11278" width="0" style="4" hidden="1" customWidth="1"/>
    <col min="11279" max="11522" width="9.140625" style="4"/>
    <col min="11523" max="11523" width="28.85546875" style="4" customWidth="1"/>
    <col min="11524" max="11524" width="11" style="4" customWidth="1"/>
    <col min="11525" max="11525" width="18.7109375" style="4" customWidth="1"/>
    <col min="11526" max="11526" width="20.85546875" style="4" customWidth="1"/>
    <col min="11527" max="11527" width="0" style="4" hidden="1" customWidth="1"/>
    <col min="11528" max="11528" width="17" style="4" customWidth="1"/>
    <col min="11529" max="11529" width="15.7109375" style="4" customWidth="1"/>
    <col min="11530" max="11530" width="6.85546875" style="4" customWidth="1"/>
    <col min="11531" max="11532" width="15.28515625" style="4" customWidth="1"/>
    <col min="11533" max="11533" width="18.42578125" style="4" customWidth="1"/>
    <col min="11534" max="11534" width="0" style="4" hidden="1" customWidth="1"/>
    <col min="11535" max="11778" width="9.140625" style="4"/>
    <col min="11779" max="11779" width="28.85546875" style="4" customWidth="1"/>
    <col min="11780" max="11780" width="11" style="4" customWidth="1"/>
    <col min="11781" max="11781" width="18.7109375" style="4" customWidth="1"/>
    <col min="11782" max="11782" width="20.85546875" style="4" customWidth="1"/>
    <col min="11783" max="11783" width="0" style="4" hidden="1" customWidth="1"/>
    <col min="11784" max="11784" width="17" style="4" customWidth="1"/>
    <col min="11785" max="11785" width="15.7109375" style="4" customWidth="1"/>
    <col min="11786" max="11786" width="6.85546875" style="4" customWidth="1"/>
    <col min="11787" max="11788" width="15.28515625" style="4" customWidth="1"/>
    <col min="11789" max="11789" width="18.42578125" style="4" customWidth="1"/>
    <col min="11790" max="11790" width="0" style="4" hidden="1" customWidth="1"/>
    <col min="11791" max="12034" width="9.140625" style="4"/>
    <col min="12035" max="12035" width="28.85546875" style="4" customWidth="1"/>
    <col min="12036" max="12036" width="11" style="4" customWidth="1"/>
    <col min="12037" max="12037" width="18.7109375" style="4" customWidth="1"/>
    <col min="12038" max="12038" width="20.85546875" style="4" customWidth="1"/>
    <col min="12039" max="12039" width="0" style="4" hidden="1" customWidth="1"/>
    <col min="12040" max="12040" width="17" style="4" customWidth="1"/>
    <col min="12041" max="12041" width="15.7109375" style="4" customWidth="1"/>
    <col min="12042" max="12042" width="6.85546875" style="4" customWidth="1"/>
    <col min="12043" max="12044" width="15.28515625" style="4" customWidth="1"/>
    <col min="12045" max="12045" width="18.42578125" style="4" customWidth="1"/>
    <col min="12046" max="12046" width="0" style="4" hidden="1" customWidth="1"/>
    <col min="12047" max="12290" width="9.140625" style="4"/>
    <col min="12291" max="12291" width="28.85546875" style="4" customWidth="1"/>
    <col min="12292" max="12292" width="11" style="4" customWidth="1"/>
    <col min="12293" max="12293" width="18.7109375" style="4" customWidth="1"/>
    <col min="12294" max="12294" width="20.85546875" style="4" customWidth="1"/>
    <col min="12295" max="12295" width="0" style="4" hidden="1" customWidth="1"/>
    <col min="12296" max="12296" width="17" style="4" customWidth="1"/>
    <col min="12297" max="12297" width="15.7109375" style="4" customWidth="1"/>
    <col min="12298" max="12298" width="6.85546875" style="4" customWidth="1"/>
    <col min="12299" max="12300" width="15.28515625" style="4" customWidth="1"/>
    <col min="12301" max="12301" width="18.42578125" style="4" customWidth="1"/>
    <col min="12302" max="12302" width="0" style="4" hidden="1" customWidth="1"/>
    <col min="12303" max="12546" width="9.140625" style="4"/>
    <col min="12547" max="12547" width="28.85546875" style="4" customWidth="1"/>
    <col min="12548" max="12548" width="11" style="4" customWidth="1"/>
    <col min="12549" max="12549" width="18.7109375" style="4" customWidth="1"/>
    <col min="12550" max="12550" width="20.85546875" style="4" customWidth="1"/>
    <col min="12551" max="12551" width="0" style="4" hidden="1" customWidth="1"/>
    <col min="12552" max="12552" width="17" style="4" customWidth="1"/>
    <col min="12553" max="12553" width="15.7109375" style="4" customWidth="1"/>
    <col min="12554" max="12554" width="6.85546875" style="4" customWidth="1"/>
    <col min="12555" max="12556" width="15.28515625" style="4" customWidth="1"/>
    <col min="12557" max="12557" width="18.42578125" style="4" customWidth="1"/>
    <col min="12558" max="12558" width="0" style="4" hidden="1" customWidth="1"/>
    <col min="12559" max="12802" width="9.140625" style="4"/>
    <col min="12803" max="12803" width="28.85546875" style="4" customWidth="1"/>
    <col min="12804" max="12804" width="11" style="4" customWidth="1"/>
    <col min="12805" max="12805" width="18.7109375" style="4" customWidth="1"/>
    <col min="12806" max="12806" width="20.85546875" style="4" customWidth="1"/>
    <col min="12807" max="12807" width="0" style="4" hidden="1" customWidth="1"/>
    <col min="12808" max="12808" width="17" style="4" customWidth="1"/>
    <col min="12809" max="12809" width="15.7109375" style="4" customWidth="1"/>
    <col min="12810" max="12810" width="6.85546875" style="4" customWidth="1"/>
    <col min="12811" max="12812" width="15.28515625" style="4" customWidth="1"/>
    <col min="12813" max="12813" width="18.42578125" style="4" customWidth="1"/>
    <col min="12814" max="12814" width="0" style="4" hidden="1" customWidth="1"/>
    <col min="12815" max="13058" width="9.140625" style="4"/>
    <col min="13059" max="13059" width="28.85546875" style="4" customWidth="1"/>
    <col min="13060" max="13060" width="11" style="4" customWidth="1"/>
    <col min="13061" max="13061" width="18.7109375" style="4" customWidth="1"/>
    <col min="13062" max="13062" width="20.85546875" style="4" customWidth="1"/>
    <col min="13063" max="13063" width="0" style="4" hidden="1" customWidth="1"/>
    <col min="13064" max="13064" width="17" style="4" customWidth="1"/>
    <col min="13065" max="13065" width="15.7109375" style="4" customWidth="1"/>
    <col min="13066" max="13066" width="6.85546875" style="4" customWidth="1"/>
    <col min="13067" max="13068" width="15.28515625" style="4" customWidth="1"/>
    <col min="13069" max="13069" width="18.42578125" style="4" customWidth="1"/>
    <col min="13070" max="13070" width="0" style="4" hidden="1" customWidth="1"/>
    <col min="13071" max="13314" width="9.140625" style="4"/>
    <col min="13315" max="13315" width="28.85546875" style="4" customWidth="1"/>
    <col min="13316" max="13316" width="11" style="4" customWidth="1"/>
    <col min="13317" max="13317" width="18.7109375" style="4" customWidth="1"/>
    <col min="13318" max="13318" width="20.85546875" style="4" customWidth="1"/>
    <col min="13319" max="13319" width="0" style="4" hidden="1" customWidth="1"/>
    <col min="13320" max="13320" width="17" style="4" customWidth="1"/>
    <col min="13321" max="13321" width="15.7109375" style="4" customWidth="1"/>
    <col min="13322" max="13322" width="6.85546875" style="4" customWidth="1"/>
    <col min="13323" max="13324" width="15.28515625" style="4" customWidth="1"/>
    <col min="13325" max="13325" width="18.42578125" style="4" customWidth="1"/>
    <col min="13326" max="13326" width="0" style="4" hidden="1" customWidth="1"/>
    <col min="13327" max="13570" width="9.140625" style="4"/>
    <col min="13571" max="13571" width="28.85546875" style="4" customWidth="1"/>
    <col min="13572" max="13572" width="11" style="4" customWidth="1"/>
    <col min="13573" max="13573" width="18.7109375" style="4" customWidth="1"/>
    <col min="13574" max="13574" width="20.85546875" style="4" customWidth="1"/>
    <col min="13575" max="13575" width="0" style="4" hidden="1" customWidth="1"/>
    <col min="13576" max="13576" width="17" style="4" customWidth="1"/>
    <col min="13577" max="13577" width="15.7109375" style="4" customWidth="1"/>
    <col min="13578" max="13578" width="6.85546875" style="4" customWidth="1"/>
    <col min="13579" max="13580" width="15.28515625" style="4" customWidth="1"/>
    <col min="13581" max="13581" width="18.42578125" style="4" customWidth="1"/>
    <col min="13582" max="13582" width="0" style="4" hidden="1" customWidth="1"/>
    <col min="13583" max="13826" width="9.140625" style="4"/>
    <col min="13827" max="13827" width="28.85546875" style="4" customWidth="1"/>
    <col min="13828" max="13828" width="11" style="4" customWidth="1"/>
    <col min="13829" max="13829" width="18.7109375" style="4" customWidth="1"/>
    <col min="13830" max="13830" width="20.85546875" style="4" customWidth="1"/>
    <col min="13831" max="13831" width="0" style="4" hidden="1" customWidth="1"/>
    <col min="13832" max="13832" width="17" style="4" customWidth="1"/>
    <col min="13833" max="13833" width="15.7109375" style="4" customWidth="1"/>
    <col min="13834" max="13834" width="6.85546875" style="4" customWidth="1"/>
    <col min="13835" max="13836" width="15.28515625" style="4" customWidth="1"/>
    <col min="13837" max="13837" width="18.42578125" style="4" customWidth="1"/>
    <col min="13838" max="13838" width="0" style="4" hidden="1" customWidth="1"/>
    <col min="13839" max="14082" width="9.140625" style="4"/>
    <col min="14083" max="14083" width="28.85546875" style="4" customWidth="1"/>
    <col min="14084" max="14084" width="11" style="4" customWidth="1"/>
    <col min="14085" max="14085" width="18.7109375" style="4" customWidth="1"/>
    <col min="14086" max="14086" width="20.85546875" style="4" customWidth="1"/>
    <col min="14087" max="14087" width="0" style="4" hidden="1" customWidth="1"/>
    <col min="14088" max="14088" width="17" style="4" customWidth="1"/>
    <col min="14089" max="14089" width="15.7109375" style="4" customWidth="1"/>
    <col min="14090" max="14090" width="6.85546875" style="4" customWidth="1"/>
    <col min="14091" max="14092" width="15.28515625" style="4" customWidth="1"/>
    <col min="14093" max="14093" width="18.42578125" style="4" customWidth="1"/>
    <col min="14094" max="14094" width="0" style="4" hidden="1" customWidth="1"/>
    <col min="14095" max="14338" width="9.140625" style="4"/>
    <col min="14339" max="14339" width="28.85546875" style="4" customWidth="1"/>
    <col min="14340" max="14340" width="11" style="4" customWidth="1"/>
    <col min="14341" max="14341" width="18.7109375" style="4" customWidth="1"/>
    <col min="14342" max="14342" width="20.85546875" style="4" customWidth="1"/>
    <col min="14343" max="14343" width="0" style="4" hidden="1" customWidth="1"/>
    <col min="14344" max="14344" width="17" style="4" customWidth="1"/>
    <col min="14345" max="14345" width="15.7109375" style="4" customWidth="1"/>
    <col min="14346" max="14346" width="6.85546875" style="4" customWidth="1"/>
    <col min="14347" max="14348" width="15.28515625" style="4" customWidth="1"/>
    <col min="14349" max="14349" width="18.42578125" style="4" customWidth="1"/>
    <col min="14350" max="14350" width="0" style="4" hidden="1" customWidth="1"/>
    <col min="14351" max="14594" width="9.140625" style="4"/>
    <col min="14595" max="14595" width="28.85546875" style="4" customWidth="1"/>
    <col min="14596" max="14596" width="11" style="4" customWidth="1"/>
    <col min="14597" max="14597" width="18.7109375" style="4" customWidth="1"/>
    <col min="14598" max="14598" width="20.85546875" style="4" customWidth="1"/>
    <col min="14599" max="14599" width="0" style="4" hidden="1" customWidth="1"/>
    <col min="14600" max="14600" width="17" style="4" customWidth="1"/>
    <col min="14601" max="14601" width="15.7109375" style="4" customWidth="1"/>
    <col min="14602" max="14602" width="6.85546875" style="4" customWidth="1"/>
    <col min="14603" max="14604" width="15.28515625" style="4" customWidth="1"/>
    <col min="14605" max="14605" width="18.42578125" style="4" customWidth="1"/>
    <col min="14606" max="14606" width="0" style="4" hidden="1" customWidth="1"/>
    <col min="14607" max="14850" width="9.140625" style="4"/>
    <col min="14851" max="14851" width="28.85546875" style="4" customWidth="1"/>
    <col min="14852" max="14852" width="11" style="4" customWidth="1"/>
    <col min="14853" max="14853" width="18.7109375" style="4" customWidth="1"/>
    <col min="14854" max="14854" width="20.85546875" style="4" customWidth="1"/>
    <col min="14855" max="14855" width="0" style="4" hidden="1" customWidth="1"/>
    <col min="14856" max="14856" width="17" style="4" customWidth="1"/>
    <col min="14857" max="14857" width="15.7109375" style="4" customWidth="1"/>
    <col min="14858" max="14858" width="6.85546875" style="4" customWidth="1"/>
    <col min="14859" max="14860" width="15.28515625" style="4" customWidth="1"/>
    <col min="14861" max="14861" width="18.42578125" style="4" customWidth="1"/>
    <col min="14862" max="14862" width="0" style="4" hidden="1" customWidth="1"/>
    <col min="14863" max="15106" width="9.140625" style="4"/>
    <col min="15107" max="15107" width="28.85546875" style="4" customWidth="1"/>
    <col min="15108" max="15108" width="11" style="4" customWidth="1"/>
    <col min="15109" max="15109" width="18.7109375" style="4" customWidth="1"/>
    <col min="15110" max="15110" width="20.85546875" style="4" customWidth="1"/>
    <col min="15111" max="15111" width="0" style="4" hidden="1" customWidth="1"/>
    <col min="15112" max="15112" width="17" style="4" customWidth="1"/>
    <col min="15113" max="15113" width="15.7109375" style="4" customWidth="1"/>
    <col min="15114" max="15114" width="6.85546875" style="4" customWidth="1"/>
    <col min="15115" max="15116" width="15.28515625" style="4" customWidth="1"/>
    <col min="15117" max="15117" width="18.42578125" style="4" customWidth="1"/>
    <col min="15118" max="15118" width="0" style="4" hidden="1" customWidth="1"/>
    <col min="15119" max="15362" width="9.140625" style="4"/>
    <col min="15363" max="15363" width="28.85546875" style="4" customWidth="1"/>
    <col min="15364" max="15364" width="11" style="4" customWidth="1"/>
    <col min="15365" max="15365" width="18.7109375" style="4" customWidth="1"/>
    <col min="15366" max="15366" width="20.85546875" style="4" customWidth="1"/>
    <col min="15367" max="15367" width="0" style="4" hidden="1" customWidth="1"/>
    <col min="15368" max="15368" width="17" style="4" customWidth="1"/>
    <col min="15369" max="15369" width="15.7109375" style="4" customWidth="1"/>
    <col min="15370" max="15370" width="6.85546875" style="4" customWidth="1"/>
    <col min="15371" max="15372" width="15.28515625" style="4" customWidth="1"/>
    <col min="15373" max="15373" width="18.42578125" style="4" customWidth="1"/>
    <col min="15374" max="15374" width="0" style="4" hidden="1" customWidth="1"/>
    <col min="15375" max="15618" width="9.140625" style="4"/>
    <col min="15619" max="15619" width="28.85546875" style="4" customWidth="1"/>
    <col min="15620" max="15620" width="11" style="4" customWidth="1"/>
    <col min="15621" max="15621" width="18.7109375" style="4" customWidth="1"/>
    <col min="15622" max="15622" width="20.85546875" style="4" customWidth="1"/>
    <col min="15623" max="15623" width="0" style="4" hidden="1" customWidth="1"/>
    <col min="15624" max="15624" width="17" style="4" customWidth="1"/>
    <col min="15625" max="15625" width="15.7109375" style="4" customWidth="1"/>
    <col min="15626" max="15626" width="6.85546875" style="4" customWidth="1"/>
    <col min="15627" max="15628" width="15.28515625" style="4" customWidth="1"/>
    <col min="15629" max="15629" width="18.42578125" style="4" customWidth="1"/>
    <col min="15630" max="15630" width="0" style="4" hidden="1" customWidth="1"/>
    <col min="15631" max="15874" width="9.140625" style="4"/>
    <col min="15875" max="15875" width="28.85546875" style="4" customWidth="1"/>
    <col min="15876" max="15876" width="11" style="4" customWidth="1"/>
    <col min="15877" max="15877" width="18.7109375" style="4" customWidth="1"/>
    <col min="15878" max="15878" width="20.85546875" style="4" customWidth="1"/>
    <col min="15879" max="15879" width="0" style="4" hidden="1" customWidth="1"/>
    <col min="15880" max="15880" width="17" style="4" customWidth="1"/>
    <col min="15881" max="15881" width="15.7109375" style="4" customWidth="1"/>
    <col min="15882" max="15882" width="6.85546875" style="4" customWidth="1"/>
    <col min="15883" max="15884" width="15.28515625" style="4" customWidth="1"/>
    <col min="15885" max="15885" width="18.42578125" style="4" customWidth="1"/>
    <col min="15886" max="15886" width="0" style="4" hidden="1" customWidth="1"/>
    <col min="15887" max="16130" width="9.140625" style="4"/>
    <col min="16131" max="16131" width="28.85546875" style="4" customWidth="1"/>
    <col min="16132" max="16132" width="11" style="4" customWidth="1"/>
    <col min="16133" max="16133" width="18.7109375" style="4" customWidth="1"/>
    <col min="16134" max="16134" width="20.85546875" style="4" customWidth="1"/>
    <col min="16135" max="16135" width="0" style="4" hidden="1" customWidth="1"/>
    <col min="16136" max="16136" width="17" style="4" customWidth="1"/>
    <col min="16137" max="16137" width="15.7109375" style="4" customWidth="1"/>
    <col min="16138" max="16138" width="6.85546875" style="4" customWidth="1"/>
    <col min="16139" max="16140" width="15.28515625" style="4" customWidth="1"/>
    <col min="16141" max="16141" width="18.42578125" style="4" customWidth="1"/>
    <col min="16142" max="16142" width="0" style="4" hidden="1" customWidth="1"/>
    <col min="16143" max="16384" width="9.140625" style="4"/>
  </cols>
  <sheetData>
    <row r="1" spans="1:16" s="1" customFormat="1" ht="33" x14ac:dyDescent="0.25">
      <c r="A1" s="42" t="s">
        <v>56</v>
      </c>
      <c r="B1" s="2"/>
      <c r="C1" s="3"/>
      <c r="D1" s="3"/>
      <c r="E1" s="3"/>
      <c r="F1" s="3"/>
      <c r="G1" s="3"/>
      <c r="K1" s="2"/>
      <c r="L1" s="3"/>
    </row>
    <row r="2" spans="1:16" s="1" customFormat="1" ht="15" x14ac:dyDescent="0.25">
      <c r="A2" s="1" t="s">
        <v>57</v>
      </c>
      <c r="B2" s="2"/>
      <c r="C2" s="3"/>
      <c r="D2" s="3"/>
      <c r="E2" s="3"/>
      <c r="F2" s="3"/>
      <c r="G2" s="3"/>
      <c r="K2" s="2"/>
      <c r="L2" s="3"/>
    </row>
    <row r="3" spans="1:16" s="7" customFormat="1" ht="20.25" x14ac:dyDescent="0.3">
      <c r="A3" s="140" t="s">
        <v>178</v>
      </c>
      <c r="B3" s="140"/>
      <c r="C3" s="140"/>
      <c r="D3" s="140"/>
      <c r="E3" s="140"/>
      <c r="F3" s="140"/>
      <c r="G3" s="140"/>
      <c r="H3" s="140"/>
      <c r="I3" s="140"/>
      <c r="J3" s="140"/>
      <c r="K3" s="140"/>
      <c r="L3" s="140"/>
      <c r="M3" s="140"/>
      <c r="N3" s="140"/>
    </row>
    <row r="5" spans="1:16" s="113" customFormat="1" ht="33" x14ac:dyDescent="0.25">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x14ac:dyDescent="0.25">
      <c r="A6" s="11" t="s">
        <v>6</v>
      </c>
      <c r="B6" s="12">
        <f>C6/C17</f>
        <v>0</v>
      </c>
      <c r="C6" s="13">
        <f>+C7</f>
        <v>0</v>
      </c>
      <c r="D6" s="13"/>
      <c r="E6" s="13"/>
      <c r="F6" s="13"/>
      <c r="G6" s="13"/>
      <c r="H6" s="14">
        <f>+B6*H17</f>
        <v>0</v>
      </c>
      <c r="I6" s="14"/>
      <c r="J6" s="14"/>
      <c r="K6" s="15">
        <v>0.2</v>
      </c>
      <c r="L6" s="13">
        <f>+K6*H6</f>
        <v>0</v>
      </c>
      <c r="M6" s="16">
        <v>0</v>
      </c>
      <c r="N6" s="14">
        <f>+L6-M6</f>
        <v>0</v>
      </c>
    </row>
    <row r="7" spans="1:16" ht="15" x14ac:dyDescent="0.25">
      <c r="A7" s="17"/>
      <c r="B7" s="18"/>
      <c r="C7" s="19"/>
      <c r="D7" s="19"/>
      <c r="E7" s="19"/>
      <c r="F7" s="19"/>
      <c r="G7" s="19"/>
      <c r="H7" s="17"/>
      <c r="I7" s="17"/>
      <c r="J7" s="17"/>
      <c r="K7" s="20"/>
      <c r="L7" s="19"/>
      <c r="M7" s="17"/>
      <c r="N7" s="17"/>
    </row>
    <row r="8" spans="1:16" s="1" customFormat="1" x14ac:dyDescent="0.25">
      <c r="A8" s="34" t="s">
        <v>53</v>
      </c>
      <c r="B8" s="31">
        <f>C8/C17</f>
        <v>0.12068744841620468</v>
      </c>
      <c r="C8" s="13">
        <f>SUM(C9:C12)</f>
        <v>1884033909</v>
      </c>
      <c r="D8" s="13">
        <f>SUM(D9:D12)</f>
        <v>1429322325</v>
      </c>
      <c r="E8" s="13">
        <f>E17*B8</f>
        <v>57241526.483157538</v>
      </c>
      <c r="F8" s="13">
        <f>F17*B8</f>
        <v>16462810.944899531</v>
      </c>
      <c r="G8" s="13">
        <f>G17*B8</f>
        <v>1777968.5762545632</v>
      </c>
      <c r="H8" s="14">
        <f>C8-D8-E8-F8-G8+F8+G8</f>
        <v>397470057.51684248</v>
      </c>
      <c r="I8" s="14">
        <v>0</v>
      </c>
      <c r="J8" s="14">
        <f>H8-I8</f>
        <v>397470057.51684248</v>
      </c>
      <c r="K8" s="15">
        <v>0.1</v>
      </c>
      <c r="L8" s="13">
        <f>J8*K8</f>
        <v>39747005.751684248</v>
      </c>
      <c r="M8" s="14">
        <f>L8*50%</f>
        <v>19873502.875842124</v>
      </c>
      <c r="N8" s="14">
        <f>L8-M8</f>
        <v>19873502.875842124</v>
      </c>
    </row>
    <row r="9" spans="1:16" ht="15" x14ac:dyDescent="0.25">
      <c r="A9" s="17">
        <v>5111</v>
      </c>
      <c r="B9" s="18"/>
      <c r="C9" s="19"/>
      <c r="D9" s="19"/>
      <c r="E9" s="19"/>
      <c r="F9" s="19"/>
      <c r="G9" s="19"/>
      <c r="H9" s="17"/>
      <c r="I9" s="17"/>
      <c r="J9" s="17"/>
      <c r="K9" s="20"/>
      <c r="L9" s="19"/>
      <c r="M9" s="17"/>
      <c r="N9" s="14">
        <f t="shared" ref="N9:N12" si="0">L9-M9</f>
        <v>0</v>
      </c>
    </row>
    <row r="10" spans="1:16" ht="15" x14ac:dyDescent="0.25">
      <c r="A10" s="17">
        <v>5112</v>
      </c>
      <c r="B10" s="18"/>
      <c r="C10" s="19">
        <f>'BANG KE DT CT 2023'!C3</f>
        <v>1883780685</v>
      </c>
      <c r="D10" s="19">
        <f>'BANG KE DT CT 2023'!D3</f>
        <v>1429322325</v>
      </c>
      <c r="E10" s="19"/>
      <c r="F10" s="19"/>
      <c r="G10" s="19"/>
      <c r="H10" s="17"/>
      <c r="I10" s="17"/>
      <c r="J10" s="17"/>
      <c r="K10" s="20"/>
      <c r="L10" s="19"/>
      <c r="M10" s="17"/>
      <c r="N10" s="14">
        <f t="shared" si="0"/>
        <v>0</v>
      </c>
    </row>
    <row r="11" spans="1:16" ht="15" x14ac:dyDescent="0.25">
      <c r="A11" s="17">
        <v>5151</v>
      </c>
      <c r="B11" s="18"/>
      <c r="C11" s="19">
        <v>253224</v>
      </c>
      <c r="D11" s="19"/>
      <c r="E11" s="19"/>
      <c r="F11" s="19"/>
      <c r="G11" s="19"/>
      <c r="H11" s="17"/>
      <c r="I11" s="17"/>
      <c r="J11" s="17"/>
      <c r="K11" s="20"/>
      <c r="L11" s="19"/>
      <c r="M11" s="17"/>
      <c r="N11" s="14">
        <f t="shared" si="0"/>
        <v>0</v>
      </c>
    </row>
    <row r="12" spans="1:16" ht="15" x14ac:dyDescent="0.25">
      <c r="A12" s="17">
        <v>711</v>
      </c>
      <c r="B12" s="18"/>
      <c r="C12" s="19">
        <v>0</v>
      </c>
      <c r="D12" s="19"/>
      <c r="E12" s="19"/>
      <c r="F12" s="19"/>
      <c r="G12" s="19"/>
      <c r="H12" s="17"/>
      <c r="I12" s="17"/>
      <c r="J12" s="17"/>
      <c r="K12" s="20"/>
      <c r="L12" s="19"/>
      <c r="M12" s="17"/>
      <c r="N12" s="14">
        <f t="shared" si="0"/>
        <v>0</v>
      </c>
    </row>
    <row r="13" spans="1:16" s="1" customFormat="1" x14ac:dyDescent="0.25">
      <c r="A13" s="21" t="s">
        <v>21</v>
      </c>
      <c r="B13" s="31">
        <f>C13/C17</f>
        <v>0.87931255158379529</v>
      </c>
      <c r="C13" s="13">
        <f>+C14+C15+C16</f>
        <v>13726818203</v>
      </c>
      <c r="D13" s="13">
        <f>SUM(D14:D16)</f>
        <v>13015023429</v>
      </c>
      <c r="E13" s="13">
        <f>E17*B13</f>
        <v>417054079.51684242</v>
      </c>
      <c r="F13" s="13">
        <f>F17*B13</f>
        <v>119945831.05510047</v>
      </c>
      <c r="G13" s="13">
        <f>G17*B13</f>
        <v>12954040.423745437</v>
      </c>
      <c r="H13" s="14">
        <f>C13-D13-E13-F13-G13+G13+F13</f>
        <v>294740694.48315758</v>
      </c>
      <c r="I13" s="14">
        <v>0</v>
      </c>
      <c r="J13" s="14">
        <f>H13-I13</f>
        <v>294740694.48315758</v>
      </c>
      <c r="K13" s="15">
        <v>0.17</v>
      </c>
      <c r="L13" s="13">
        <f>J13*K13</f>
        <v>50105918.062136792</v>
      </c>
      <c r="M13" s="14"/>
      <c r="N13" s="14">
        <f>L13-M13</f>
        <v>50105918.062136792</v>
      </c>
    </row>
    <row r="14" spans="1:16" ht="15" x14ac:dyDescent="0.25">
      <c r="A14" s="17">
        <v>5112</v>
      </c>
      <c r="B14" s="18"/>
      <c r="C14" s="19">
        <f>'BANG KE DT CT 2023'!C8</f>
        <v>13726818203</v>
      </c>
      <c r="D14" s="19">
        <f>'BANG KE DT CT 2023'!D8</f>
        <v>13015023429</v>
      </c>
      <c r="E14" s="19"/>
      <c r="F14" s="19"/>
      <c r="G14" s="19"/>
      <c r="H14" s="17"/>
      <c r="I14" s="17"/>
      <c r="J14" s="17"/>
      <c r="K14" s="20"/>
      <c r="L14" s="19"/>
      <c r="M14" s="17"/>
      <c r="N14" s="17"/>
      <c r="O14" s="83"/>
      <c r="P14" s="83"/>
    </row>
    <row r="15" spans="1:16" ht="15" x14ac:dyDescent="0.25">
      <c r="A15" s="17">
        <v>5151</v>
      </c>
      <c r="B15" s="18"/>
      <c r="C15" s="19"/>
      <c r="D15" s="19"/>
      <c r="E15" s="19"/>
      <c r="F15" s="19"/>
      <c r="G15" s="19"/>
      <c r="H15" s="17"/>
      <c r="I15" s="17"/>
      <c r="J15" s="17"/>
      <c r="K15" s="20"/>
      <c r="L15" s="19"/>
      <c r="M15" s="17"/>
      <c r="N15" s="17"/>
      <c r="O15" s="83"/>
      <c r="P15" s="83"/>
    </row>
    <row r="16" spans="1:16" ht="15" x14ac:dyDescent="0.25">
      <c r="A16" s="4">
        <v>51111</v>
      </c>
      <c r="B16" s="4"/>
      <c r="C16" s="19"/>
      <c r="D16" s="19"/>
      <c r="E16" s="19"/>
      <c r="F16" s="19"/>
      <c r="G16" s="19"/>
      <c r="H16" s="17"/>
      <c r="I16" s="17"/>
      <c r="J16" s="17"/>
      <c r="K16" s="20"/>
      <c r="L16" s="19"/>
      <c r="M16" s="17"/>
      <c r="N16" s="17"/>
      <c r="O16" s="83"/>
      <c r="P16" s="83"/>
    </row>
    <row r="17" spans="1:16" s="1" customFormat="1" x14ac:dyDescent="0.25">
      <c r="A17" s="16" t="s">
        <v>7</v>
      </c>
      <c r="B17" s="12">
        <f>B8+B13</f>
        <v>1</v>
      </c>
      <c r="C17" s="13">
        <f>C8+C13</f>
        <v>15610852112</v>
      </c>
      <c r="D17" s="13">
        <f>D8+D13</f>
        <v>14444345754</v>
      </c>
      <c r="E17" s="13">
        <v>474295606</v>
      </c>
      <c r="F17" s="13">
        <v>136408642</v>
      </c>
      <c r="G17" s="13">
        <v>14732009</v>
      </c>
      <c r="H17" s="13">
        <f>H8+H13</f>
        <v>692210752</v>
      </c>
      <c r="I17" s="13"/>
      <c r="J17" s="13">
        <f>J8+J13</f>
        <v>692210752</v>
      </c>
      <c r="K17" s="13"/>
      <c r="L17" s="13">
        <f>L8+L13</f>
        <v>89852923.813821048</v>
      </c>
      <c r="M17" s="13">
        <f>M8+M13</f>
        <v>19873502.875842124</v>
      </c>
      <c r="N17" s="13">
        <f>N13+N8</f>
        <v>69979420.937978923</v>
      </c>
      <c r="O17" s="84"/>
      <c r="P17" s="89"/>
    </row>
    <row r="18" spans="1:16" ht="15" x14ac:dyDescent="0.25">
      <c r="H18" s="22"/>
      <c r="I18" s="22"/>
      <c r="J18" s="22"/>
      <c r="O18" s="83"/>
      <c r="P18" s="90"/>
    </row>
    <row r="19" spans="1:16" ht="15" x14ac:dyDescent="0.25">
      <c r="H19" s="6"/>
      <c r="I19" s="6"/>
      <c r="J19" s="6"/>
      <c r="L19" s="35"/>
      <c r="M19" s="35"/>
      <c r="O19" s="83"/>
      <c r="P19" s="90"/>
    </row>
    <row r="20" spans="1:16" ht="15" x14ac:dyDescent="0.25">
      <c r="H20" s="22">
        <f>F17+G17</f>
        <v>151140651</v>
      </c>
      <c r="J20" s="22"/>
      <c r="L20" s="35"/>
      <c r="M20" s="35"/>
      <c r="O20" s="83"/>
      <c r="P20" s="90"/>
    </row>
    <row r="21" spans="1:16" x14ac:dyDescent="0.25">
      <c r="C21" s="6">
        <v>15610598888</v>
      </c>
      <c r="J21" s="22">
        <f>J17*20%</f>
        <v>138442150.40000001</v>
      </c>
      <c r="L21" s="35"/>
      <c r="M21" s="35"/>
      <c r="O21" s="83"/>
      <c r="P21" s="90"/>
    </row>
    <row r="22" spans="1:16" x14ac:dyDescent="0.25">
      <c r="C22" s="6">
        <f>C21-C17</f>
        <v>-253224</v>
      </c>
      <c r="H22" s="6"/>
      <c r="I22" s="6"/>
      <c r="J22" s="6">
        <f>J21-L17</f>
        <v>48589226.586178958</v>
      </c>
      <c r="O22" s="83"/>
      <c r="P22" s="90"/>
    </row>
    <row r="23" spans="1:16" x14ac:dyDescent="0.25">
      <c r="H23" s="22"/>
      <c r="I23" s="22"/>
      <c r="J23" s="22"/>
      <c r="K23" s="26"/>
      <c r="L23" s="141" t="s">
        <v>94</v>
      </c>
      <c r="M23" s="141"/>
      <c r="N23" s="141"/>
      <c r="O23" s="98"/>
      <c r="P23" s="79">
        <f>N13*30%</f>
        <v>15031775.418641036</v>
      </c>
    </row>
    <row r="24" spans="1:16" x14ac:dyDescent="0.25">
      <c r="A24" s="142" t="s">
        <v>8</v>
      </c>
      <c r="B24" s="142"/>
      <c r="D24" s="36"/>
      <c r="E24" s="36"/>
      <c r="F24" s="36"/>
      <c r="G24" s="119"/>
      <c r="H24" s="37"/>
      <c r="I24" s="87"/>
      <c r="J24" s="37"/>
      <c r="L24" s="138" t="s">
        <v>9</v>
      </c>
      <c r="M24" s="138"/>
      <c r="N24" s="138"/>
      <c r="O24" s="98"/>
      <c r="P24" s="79"/>
    </row>
    <row r="25" spans="1:16" x14ac:dyDescent="0.25">
      <c r="D25" s="36"/>
      <c r="E25" s="36"/>
      <c r="F25" s="36"/>
      <c r="G25" s="36"/>
      <c r="H25" s="38"/>
      <c r="I25" s="88"/>
      <c r="J25" s="38"/>
      <c r="O25" s="83"/>
      <c r="P25" s="79"/>
    </row>
    <row r="26" spans="1:16" x14ac:dyDescent="0.25">
      <c r="D26" s="36"/>
      <c r="E26" s="36"/>
      <c r="F26" s="36"/>
      <c r="G26" s="36"/>
      <c r="H26" s="36"/>
      <c r="I26" s="86"/>
      <c r="J26" s="36"/>
      <c r="O26" s="83"/>
      <c r="P26" s="79">
        <f>N13-P23</f>
        <v>35074142.643495753</v>
      </c>
    </row>
    <row r="27" spans="1:16" x14ac:dyDescent="0.25">
      <c r="D27" s="5"/>
      <c r="H27" s="6"/>
      <c r="I27" s="85"/>
      <c r="J27" s="6"/>
      <c r="O27" s="83"/>
      <c r="P27" s="90"/>
    </row>
    <row r="28" spans="1:16" x14ac:dyDescent="0.25">
      <c r="A28" s="22">
        <f>C29-C28</f>
        <v>0</v>
      </c>
      <c r="D28" s="100"/>
      <c r="H28" s="35"/>
      <c r="I28" s="78"/>
      <c r="J28" s="35"/>
      <c r="M28" s="113" t="s">
        <v>55</v>
      </c>
      <c r="O28" s="83"/>
      <c r="P28" s="90"/>
    </row>
    <row r="29" spans="1:16" x14ac:dyDescent="0.25">
      <c r="D29" s="40"/>
      <c r="H29" s="6"/>
      <c r="I29" s="77"/>
      <c r="J29" s="6"/>
    </row>
    <row r="30" spans="1:16" s="1" customFormat="1" x14ac:dyDescent="0.25">
      <c r="B30" s="5"/>
      <c r="C30" s="6"/>
      <c r="D30" s="39"/>
      <c r="E30" s="3"/>
      <c r="F30" s="3"/>
      <c r="G30" s="3"/>
      <c r="H30" s="3"/>
      <c r="I30" s="3"/>
      <c r="J30" s="3"/>
      <c r="K30" s="2"/>
      <c r="L30" s="138"/>
      <c r="M30" s="138"/>
      <c r="N30" s="138"/>
    </row>
    <row r="31" spans="1:16" x14ac:dyDescent="0.25">
      <c r="D31" s="77"/>
      <c r="H31" s="22"/>
      <c r="I31" s="22"/>
      <c r="J31" s="22"/>
    </row>
    <row r="32" spans="1:16" x14ac:dyDescent="0.25">
      <c r="D32" s="77"/>
      <c r="H32" s="123"/>
    </row>
    <row r="33" spans="8:8" s="4" customFormat="1" x14ac:dyDescent="0.25">
      <c r="H33" s="123"/>
    </row>
    <row r="34" spans="8:8" s="4" customFormat="1" x14ac:dyDescent="0.25">
      <c r="H34" s="123"/>
    </row>
    <row r="35" spans="8:8" s="4" customFormat="1" x14ac:dyDescent="0.25">
      <c r="H35" s="123"/>
    </row>
    <row r="36" spans="8:8" s="4" customFormat="1" x14ac:dyDescent="0.25"/>
    <row r="37" spans="8:8" s="4" customFormat="1" x14ac:dyDescent="0.25"/>
    <row r="38" spans="8:8" s="4" customFormat="1" x14ac:dyDescent="0.25"/>
    <row r="39" spans="8:8" s="4" customFormat="1" x14ac:dyDescent="0.25"/>
    <row r="40" spans="8:8" s="4" customFormat="1" x14ac:dyDescent="0.25"/>
    <row r="41" spans="8:8" s="4" customFormat="1" x14ac:dyDescent="0.25"/>
    <row r="42" spans="8:8" s="4" customFormat="1" x14ac:dyDescent="0.25"/>
    <row r="43" spans="8:8" s="4" customFormat="1" x14ac:dyDescent="0.25"/>
    <row r="44" spans="8:8" s="4" customFormat="1" x14ac:dyDescent="0.25"/>
    <row r="45" spans="8:8" s="4" customFormat="1" x14ac:dyDescent="0.25"/>
    <row r="46" spans="8:8" s="4" customFormat="1" x14ac:dyDescent="0.25"/>
    <row r="47" spans="8:8" s="4" customFormat="1" x14ac:dyDescent="0.25"/>
    <row r="48" spans="8: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BANG KE DOANH THU CT 2020</vt:lpstr>
      <vt:lpstr>TINH THUE TNDN 2020</vt:lpstr>
      <vt:lpstr>BANG KE DOANH THU CT 2021</vt:lpstr>
      <vt:lpstr>TINH THUE TNDN 2021</vt:lpstr>
      <vt:lpstr>BANG KE DT CT 2022</vt:lpstr>
      <vt:lpstr>TINH THUẾ TNDN 2022</vt:lpstr>
      <vt:lpstr>BANG KE DT CT 2023</vt:lpstr>
      <vt:lpstr>TIN THUE TNDN 2023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2024-11-14T07:22:32Z</dcterms:modified>
</cp:coreProperties>
</file>