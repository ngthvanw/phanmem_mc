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10995" activeTab="1"/>
  </bookViews>
  <sheets>
    <sheet name="BANG KE DOANH THU CT2024" sheetId="1" r:id="rId1"/>
    <sheet name="TINH THUE TNDN" sheetId="3" r:id="rId2"/>
  </sheets>
  <definedNames>
    <definedName name="_xlnm._FilterDatabase" localSheetId="0" hidden="1">'BANG KE DOANH THU CT2024'!$D$1:$D$195</definedName>
  </definedNames>
  <calcPr calcId="152511"/>
</workbook>
</file>

<file path=xl/calcChain.xml><?xml version="1.0" encoding="utf-8"?>
<calcChain xmlns="http://schemas.openxmlformats.org/spreadsheetml/2006/main">
  <c r="B13" i="3" l="1"/>
  <c r="D13" i="3"/>
  <c r="C13" i="3"/>
  <c r="C18" i="3"/>
  <c r="C10" i="3"/>
  <c r="D25" i="3"/>
  <c r="D27" i="1"/>
  <c r="C14" i="3"/>
  <c r="C31" i="1"/>
  <c r="C34" i="1" s="1"/>
  <c r="C6" i="1"/>
  <c r="C26" i="1"/>
  <c r="C11" i="3"/>
  <c r="F13" i="3" l="1"/>
  <c r="C7" i="3" l="1"/>
  <c r="I8" i="3" l="1"/>
  <c r="J8" i="3" s="1"/>
  <c r="I11" i="3"/>
  <c r="J11" i="3" s="1"/>
  <c r="I14" i="3"/>
  <c r="J14" i="3" s="1"/>
  <c r="I15" i="3"/>
  <c r="J15" i="3" s="1"/>
  <c r="I17" i="3"/>
  <c r="J17" i="3" s="1"/>
  <c r="C23" i="3" l="1"/>
  <c r="D21" i="3" l="1"/>
  <c r="B10" i="3" l="1"/>
  <c r="D10" i="3" l="1"/>
  <c r="F10" i="3" s="1"/>
  <c r="G13" i="3"/>
  <c r="D19" i="3"/>
  <c r="B7" i="3"/>
  <c r="D7" i="3" s="1"/>
  <c r="F7" i="3" s="1"/>
  <c r="G10" i="3" l="1"/>
  <c r="H10" i="3" s="1"/>
  <c r="J10" i="3" s="1"/>
  <c r="H7" i="3"/>
  <c r="F23" i="3"/>
  <c r="F18" i="3"/>
  <c r="D26" i="3" s="1"/>
  <c r="G18" i="3"/>
  <c r="H13" i="3" l="1"/>
  <c r="J13" i="3" s="1"/>
  <c r="F27" i="3"/>
  <c r="I7" i="3"/>
  <c r="I18" i="3" s="1"/>
  <c r="J25" i="3" s="1"/>
  <c r="H18" i="3" l="1"/>
  <c r="G21" i="3" s="1"/>
  <c r="J7" i="3"/>
  <c r="J18" i="3" s="1"/>
</calcChain>
</file>

<file path=xl/comments1.xml><?xml version="1.0" encoding="utf-8"?>
<comments xmlns="http://schemas.openxmlformats.org/spreadsheetml/2006/main">
  <authors>
    <author>Author</author>
  </authors>
  <commentList>
    <comment ref="D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đã trừ doanh thu cống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ĐIỀN VÀO</t>
        </r>
      </text>
    </comment>
    <comment ref="I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C14 TNDN</t>
        </r>
      </text>
    </comment>
    <comment ref="J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C16 TNDN</t>
        </r>
      </text>
    </comment>
    <comment ref="D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C10 TNDN</t>
        </r>
      </text>
    </comment>
    <comment ref="J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C12 TNDN</t>
        </r>
      </text>
    </comment>
    <comment ref="D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C11 TNDN</t>
        </r>
      </text>
    </comment>
  </commentList>
</comments>
</file>

<file path=xl/sharedStrings.xml><?xml version="1.0" encoding="utf-8"?>
<sst xmlns="http://schemas.openxmlformats.org/spreadsheetml/2006/main" count="45" uniqueCount="44">
  <si>
    <t>Doanh thu</t>
  </si>
  <si>
    <t xml:space="preserve">Doanh thu </t>
  </si>
  <si>
    <t>Tỉ lệ / DT</t>
  </si>
  <si>
    <t>Lợi nhuận</t>
  </si>
  <si>
    <t>TS</t>
  </si>
  <si>
    <t>Thuế TNDN</t>
  </si>
  <si>
    <t>Miễn giảm</t>
  </si>
  <si>
    <t>Địa bàn không ưu đãi</t>
  </si>
  <si>
    <t>Địa bàn khó khăn</t>
  </si>
  <si>
    <t>Địa bàn đặc biệt khó khăn</t>
  </si>
  <si>
    <t>Tổng cộng</t>
  </si>
  <si>
    <t>LẬP BẢNG</t>
  </si>
  <si>
    <t>GIÁM ĐỐC</t>
  </si>
  <si>
    <t>TS 20%</t>
  </si>
  <si>
    <t>Chênh lệch</t>
  </si>
  <si>
    <t>STT</t>
  </si>
  <si>
    <t>TÊN CÔNG TRÌNH</t>
  </si>
  <si>
    <t>DT THUẦN</t>
  </si>
  <si>
    <t xml:space="preserve">                                                                                                           GIÁM ĐỐC</t>
  </si>
  <si>
    <t xml:space="preserve">                                                                                                             Lâm Thị Nhi</t>
  </si>
  <si>
    <t>CÔNG TRÌNH THUỘC ĐỊA BÀN ĐẶC BIỆT KHÓ KHĂN
(CHÂU THÀNH, TRÀ CÚ, KHU KINH TẾ ĐỊNH AN)</t>
  </si>
  <si>
    <t>Giảm 30%</t>
  </si>
  <si>
    <t xml:space="preserve">Số thuế </t>
  </si>
  <si>
    <t>Thuế TNDN phải nộp</t>
  </si>
  <si>
    <t>CÔNG TRÌNH THUỘC ĐỊA BÀN KHÓ KHĂN
(TP. TRÀ VINH, TIỂU CẦN, CẦU KÈ, CẦU NGANG, CÀNG LONG,  DUYÊN HẢI)</t>
  </si>
  <si>
    <t>MÃ CT</t>
  </si>
  <si>
    <t>A</t>
  </si>
  <si>
    <t>B</t>
  </si>
  <si>
    <t>Châu Thành, ngày 31 tháng 12 năm 2023</t>
  </si>
  <si>
    <t xml:space="preserve">TAM NOP </t>
  </si>
  <si>
    <t>CÒN PHẢI NỘP</t>
  </si>
  <si>
    <t>CÔNG TY TNHH TV XD TM THANH NHÀN</t>
  </si>
  <si>
    <t>MST:2100658170</t>
  </si>
  <si>
    <t>BẢNG KÊ DOANH THU CÁC CÔNG TRÌNH NĂM 2024</t>
  </si>
  <si>
    <t>Hợp đồng thi công xây dựng công trình sửa chữa hệ thống thoát nước ấp Bình La, xã Lương Hòa ( Đoạn từ đường nhựaÔ 1 đến đường nhựa Ô 2 ấp Bình La ) chiều dài280m.Hợp đồng số: 01/2024/HĐ-TCNgày 11 tháng 05 năm 2024</t>
  </si>
  <si>
    <t> Hợp đồng: di dời nội thất cơ quan. Số : 03/2024/HĐKT ngày 04/07/2024</t>
  </si>
  <si>
    <t>Gói thầu số: 09 cung cắp, lắp đặt thiết bị, xây mới hội trường Đảng ủyXã Hòa Lợi. Hợp đồng số : 01/HĐMSTB/2024,ngày 10 tháng 12 năm 2024</t>
  </si>
  <si>
    <t>Hợp đồng: sửa chữa đườnggiao thông, hệ thống thoát nước, vỉa hè đường30/4 ( đoạn từ công viên đến cống Đa Lộc), hẻm81, hẻm cặp Đình Thần Trần Hữu Điều thị TrấnChâu Thành, Hợp đồng số: 01/2024/HĐXĐ,ngày 13 tháng 11 năm 2024.</t>
  </si>
  <si>
    <t>Hợp đồng - Gói thầu số 07 : tưvấn giám sát thi công xây dựng công trình, sửachữa đường nhựa, vỉa hè, hệ thống thoát nướctừ khóm III đến khóm IVHợp đồng số: 12/2024/HĐ.TVGSNgày 26 tháng 07 năm 2024</t>
  </si>
  <si>
    <t>Hợp đồng - gói thầu số 07 thicông xây dựng sửa chữa nhà bia ghi tên liệt sĩxã Hiệp Thạnh và Phường 1 thị xã Duyên Hảitỉnh Trà Vinh.Hợp đồng số: 14/2024/HĐ-KTNgày 23 tháng 09 năm 2024, phụ lục hợp đồngsố: 01/2024/PLHĐ ngày 23 tháng 11 năm 2024</t>
  </si>
  <si>
    <t>DT bán bàn ghế</t>
  </si>
  <si>
    <t>MST: 2100658170</t>
  </si>
  <si>
    <t>BẢNG XÁC ĐỊNH THU NHẬP CHỊU THUẾ TNDN NĂM 2024</t>
  </si>
  <si>
    <t>Châu Thành, ngày 31 tháng 12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</si>
</sst>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\ _₫_-;\-* #,##0.00\ _₫_-;_-* &quot;-&quot;??\ _₫_-;_-@_-"/>
    <numFmt numFmtId="165" formatCode="_-* #,##0\ _₫_-;\-* #,##0\ _₫_-;_-* &quot;-&quot;??\ _₫_-;_-@_-"/>
    <numFmt numFmtId="166" formatCode="_(* #,##0_);_(* \(#,##0\);_(* &quot;-&quot;??_);_(@_)"/>
    <numFmt numFmtId="167" formatCode="_-* #,##0\ _₫_-;\-* #,##0\ _₫_-;_-* &quot;-&quot;?\ _₫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9" fontId="2" fillId="0" borderId="0" xfId="2" applyFont="1"/>
    <xf numFmtId="166" fontId="2" fillId="0" borderId="0" xfId="1" applyNumberFormat="1" applyFont="1"/>
    <xf numFmtId="0" fontId="3" fillId="0" borderId="0" xfId="0" applyFont="1"/>
    <xf numFmtId="9" fontId="3" fillId="0" borderId="0" xfId="2" applyFont="1"/>
    <xf numFmtId="166" fontId="3" fillId="0" borderId="0" xfId="1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166" fontId="2" fillId="0" borderId="1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9" fontId="2" fillId="0" borderId="1" xfId="2" applyFont="1" applyBorder="1"/>
    <xf numFmtId="166" fontId="2" fillId="0" borderId="1" xfId="1" applyNumberFormat="1" applyFont="1" applyBorder="1"/>
    <xf numFmtId="166" fontId="2" fillId="0" borderId="1" xfId="0" applyNumberFormat="1" applyFont="1" applyBorder="1"/>
    <xf numFmtId="9" fontId="2" fillId="0" borderId="1" xfId="2" applyNumberFormat="1" applyFont="1" applyBorder="1"/>
    <xf numFmtId="0" fontId="2" fillId="0" borderId="1" xfId="0" applyFont="1" applyBorder="1"/>
    <xf numFmtId="0" fontId="3" fillId="0" borderId="1" xfId="0" applyFont="1" applyBorder="1"/>
    <xf numFmtId="9" fontId="3" fillId="0" borderId="1" xfId="2" applyFont="1" applyBorder="1"/>
    <xf numFmtId="166" fontId="3" fillId="0" borderId="1" xfId="1" applyNumberFormat="1" applyFont="1" applyBorder="1"/>
    <xf numFmtId="9" fontId="3" fillId="0" borderId="1" xfId="2" applyNumberFormat="1" applyFont="1" applyBorder="1"/>
    <xf numFmtId="0" fontId="2" fillId="3" borderId="1" xfId="0" applyFont="1" applyFill="1" applyBorder="1"/>
    <xf numFmtId="0" fontId="2" fillId="4" borderId="1" xfId="0" applyFont="1" applyFill="1" applyBorder="1"/>
    <xf numFmtId="166" fontId="3" fillId="0" borderId="0" xfId="0" applyNumberFormat="1" applyFont="1"/>
    <xf numFmtId="166" fontId="3" fillId="0" borderId="0" xfId="1" applyNumberFormat="1" applyFont="1" applyAlignment="1"/>
    <xf numFmtId="165" fontId="3" fillId="0" borderId="0" xfId="1" applyNumberFormat="1" applyFont="1"/>
    <xf numFmtId="165" fontId="2" fillId="0" borderId="0" xfId="1" applyNumberFormat="1" applyFont="1"/>
    <xf numFmtId="165" fontId="4" fillId="0" borderId="0" xfId="1" applyNumberFormat="1" applyFont="1"/>
    <xf numFmtId="165" fontId="2" fillId="0" borderId="1" xfId="1" applyNumberFormat="1" applyFont="1" applyBorder="1" applyAlignment="1">
      <alignment horizontal="center"/>
    </xf>
    <xf numFmtId="165" fontId="2" fillId="0" borderId="1" xfId="1" applyNumberFormat="1" applyFont="1" applyBorder="1"/>
    <xf numFmtId="165" fontId="2" fillId="0" borderId="1" xfId="0" applyNumberFormat="1" applyFont="1" applyBorder="1"/>
    <xf numFmtId="165" fontId="5" fillId="0" borderId="1" xfId="1" applyNumberFormat="1" applyFont="1" applyFill="1" applyBorder="1" applyAlignment="1"/>
    <xf numFmtId="0" fontId="6" fillId="0" borderId="1" xfId="0" applyFont="1" applyFill="1" applyBorder="1"/>
    <xf numFmtId="165" fontId="6" fillId="0" borderId="1" xfId="1" applyNumberFormat="1" applyFont="1" applyFill="1" applyBorder="1" applyAlignment="1"/>
    <xf numFmtId="0" fontId="6" fillId="0" borderId="1" xfId="0" applyFont="1" applyFill="1" applyBorder="1" applyAlignment="1">
      <alignment horizontal="left"/>
    </xf>
    <xf numFmtId="0" fontId="6" fillId="0" borderId="2" xfId="0" applyFont="1" applyFill="1" applyBorder="1" applyAlignment="1">
      <alignment wrapText="1"/>
    </xf>
    <xf numFmtId="0" fontId="5" fillId="0" borderId="1" xfId="0" applyFont="1" applyFill="1" applyBorder="1"/>
    <xf numFmtId="0" fontId="5" fillId="0" borderId="1" xfId="0" applyFont="1" applyFill="1" applyBorder="1" applyAlignment="1">
      <alignment wrapText="1"/>
    </xf>
    <xf numFmtId="0" fontId="5" fillId="0" borderId="2" xfId="0" applyFont="1" applyFill="1" applyBorder="1" applyAlignment="1">
      <alignment wrapText="1"/>
    </xf>
    <xf numFmtId="0" fontId="0" fillId="0" borderId="0" xfId="0" applyFont="1" applyFill="1"/>
    <xf numFmtId="0" fontId="5" fillId="0" borderId="2" xfId="0" applyFont="1" applyFill="1" applyBorder="1"/>
    <xf numFmtId="0" fontId="5" fillId="0" borderId="2" xfId="0" applyFont="1" applyFill="1" applyBorder="1" applyAlignment="1">
      <alignment vertical="top" wrapText="1"/>
    </xf>
    <xf numFmtId="0" fontId="6" fillId="0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wrapText="1"/>
    </xf>
    <xf numFmtId="166" fontId="2" fillId="6" borderId="1" xfId="1" applyNumberFormat="1" applyFont="1" applyFill="1" applyBorder="1"/>
    <xf numFmtId="166" fontId="3" fillId="0" borderId="1" xfId="0" applyNumberFormat="1" applyFont="1" applyBorder="1"/>
    <xf numFmtId="0" fontId="5" fillId="7" borderId="2" xfId="0" applyFont="1" applyFill="1" applyBorder="1" applyAlignment="1">
      <alignment vertical="top" wrapText="1"/>
    </xf>
    <xf numFmtId="166" fontId="3" fillId="0" borderId="0" xfId="1" applyNumberFormat="1" applyFont="1" applyFill="1"/>
    <xf numFmtId="9" fontId="3" fillId="0" borderId="0" xfId="2" applyFont="1" applyFill="1"/>
    <xf numFmtId="0" fontId="9" fillId="0" borderId="0" xfId="0" applyFont="1" applyFill="1" applyAlignment="1">
      <alignment horizontal="left"/>
    </xf>
    <xf numFmtId="0" fontId="9" fillId="0" borderId="0" xfId="0" applyFont="1" applyFill="1"/>
    <xf numFmtId="165" fontId="9" fillId="0" borderId="0" xfId="1" applyNumberFormat="1" applyFont="1" applyFill="1" applyAlignment="1"/>
    <xf numFmtId="0" fontId="10" fillId="0" borderId="0" xfId="0" applyFont="1" applyFill="1" applyAlignment="1">
      <alignment horizontal="center"/>
    </xf>
    <xf numFmtId="0" fontId="11" fillId="0" borderId="0" xfId="0" applyFont="1" applyFill="1"/>
    <xf numFmtId="0" fontId="11" fillId="0" borderId="0" xfId="0" applyFont="1" applyFill="1" applyAlignment="1">
      <alignment horizontal="center"/>
    </xf>
    <xf numFmtId="0" fontId="6" fillId="0" borderId="0" xfId="0" applyFont="1" applyFill="1"/>
    <xf numFmtId="0" fontId="6" fillId="0" borderId="0" xfId="0" applyFont="1" applyFill="1" applyAlignment="1">
      <alignment horizontal="left"/>
    </xf>
    <xf numFmtId="0" fontId="5" fillId="0" borderId="0" xfId="0" applyFont="1" applyFill="1"/>
    <xf numFmtId="165" fontId="5" fillId="0" borderId="0" xfId="1" applyNumberFormat="1" applyFont="1" applyFill="1" applyAlignment="1"/>
    <xf numFmtId="166" fontId="12" fillId="0" borderId="0" xfId="1" applyNumberFormat="1" applyFont="1" applyFill="1" applyAlignment="1">
      <alignment horizontal="right"/>
    </xf>
    <xf numFmtId="166" fontId="13" fillId="0" borderId="0" xfId="1" applyNumberFormat="1" applyFont="1" applyFill="1" applyAlignment="1">
      <alignment horizontal="center"/>
    </xf>
    <xf numFmtId="166" fontId="12" fillId="0" borderId="0" xfId="1" applyNumberFormat="1" applyFont="1" applyFill="1"/>
    <xf numFmtId="0" fontId="12" fillId="0" borderId="0" xfId="0" applyFont="1" applyFill="1"/>
    <xf numFmtId="165" fontId="5" fillId="0" borderId="0" xfId="1" applyNumberFormat="1" applyFont="1" applyFill="1"/>
    <xf numFmtId="0" fontId="14" fillId="0" borderId="0" xfId="0" applyFont="1" applyFill="1"/>
    <xf numFmtId="165" fontId="14" fillId="0" borderId="0" xfId="1" applyNumberFormat="1" applyFont="1" applyFill="1"/>
    <xf numFmtId="165" fontId="14" fillId="0" borderId="0" xfId="0" applyNumberFormat="1" applyFont="1" applyFill="1"/>
    <xf numFmtId="165" fontId="9" fillId="0" borderId="0" xfId="0" applyNumberFormat="1" applyFont="1" applyFill="1"/>
    <xf numFmtId="165" fontId="14" fillId="0" borderId="0" xfId="1" applyNumberFormat="1" applyFont="1" applyFill="1" applyAlignment="1"/>
    <xf numFmtId="167" fontId="2" fillId="0" borderId="0" xfId="0" applyNumberFormat="1" applyFont="1"/>
    <xf numFmtId="165" fontId="2" fillId="0" borderId="0" xfId="1" applyNumberFormat="1" applyFont="1" applyAlignment="1">
      <alignment horizontal="center"/>
    </xf>
    <xf numFmtId="0" fontId="9" fillId="0" borderId="0" xfId="0" applyFont="1" applyFill="1" applyAlignment="1">
      <alignment horizontal="left" wrapText="1"/>
    </xf>
    <xf numFmtId="0" fontId="9" fillId="0" borderId="0" xfId="0" applyFont="1" applyFill="1" applyAlignment="1">
      <alignment horizontal="left"/>
    </xf>
    <xf numFmtId="0" fontId="10" fillId="0" borderId="0" xfId="0" applyFont="1" applyFill="1" applyAlignment="1">
      <alignment horizontal="center"/>
    </xf>
    <xf numFmtId="166" fontId="12" fillId="0" borderId="0" xfId="1" applyNumberFormat="1" applyFont="1" applyFill="1" applyAlignment="1">
      <alignment horizontal="right"/>
    </xf>
    <xf numFmtId="166" fontId="13" fillId="0" borderId="0" xfId="1" applyNumberFormat="1" applyFont="1" applyFill="1" applyAlignment="1">
      <alignment horizontal="center"/>
    </xf>
    <xf numFmtId="165" fontId="2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6" fontId="2" fillId="0" borderId="0" xfId="1" applyNumberFormat="1" applyFont="1" applyAlignment="1">
      <alignment horizontal="center"/>
    </xf>
    <xf numFmtId="166" fontId="3" fillId="0" borderId="0" xfId="1" applyNumberFormat="1" applyFont="1" applyAlignment="1">
      <alignment horizontal="center"/>
    </xf>
    <xf numFmtId="0" fontId="15" fillId="0" borderId="0" xfId="0" applyFont="1"/>
    <xf numFmtId="0" fontId="15" fillId="0" borderId="0" xfId="0" applyFont="1" applyAlignment="1">
      <alignment wrapText="1"/>
    </xf>
    <xf numFmtId="0" fontId="6" fillId="0" borderId="1" xfId="0" applyFont="1" applyFill="1" applyBorder="1" applyAlignment="1">
      <alignment horizontal="right"/>
    </xf>
    <xf numFmtId="0" fontId="5" fillId="0" borderId="1" xfId="0" applyFont="1" applyFill="1" applyBorder="1" applyAlignment="1">
      <alignment horizontal="right"/>
    </xf>
    <xf numFmtId="0" fontId="5" fillId="0" borderId="0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95"/>
  <sheetViews>
    <sheetView topLeftCell="A29" zoomScale="98" zoomScaleNormal="98" workbookViewId="0">
      <selection activeCell="D28" sqref="D28"/>
    </sheetView>
  </sheetViews>
  <sheetFormatPr defaultColWidth="8" defaultRowHeight="15" x14ac:dyDescent="0.25"/>
  <cols>
    <col min="1" max="1" width="8" style="65"/>
    <col min="2" max="2" width="87.140625" style="65" customWidth="1"/>
    <col min="3" max="3" width="20.42578125" style="69" customWidth="1"/>
    <col min="4" max="4" width="19.5703125" style="69" customWidth="1"/>
    <col min="5" max="16384" width="8" style="65"/>
  </cols>
  <sheetData>
    <row r="1" spans="1:4" s="51" customFormat="1" ht="14.25" x14ac:dyDescent="0.2">
      <c r="A1" s="72" t="s">
        <v>31</v>
      </c>
      <c r="B1" s="73"/>
      <c r="C1" s="73"/>
      <c r="D1" s="50"/>
    </row>
    <row r="2" spans="1:4" s="51" customFormat="1" ht="14.25" x14ac:dyDescent="0.2">
      <c r="A2" s="51" t="s">
        <v>32</v>
      </c>
      <c r="C2" s="52"/>
      <c r="D2" s="52"/>
    </row>
    <row r="3" spans="1:4" s="54" customFormat="1" ht="22.5" x14ac:dyDescent="0.3">
      <c r="A3" s="74" t="s">
        <v>33</v>
      </c>
      <c r="B3" s="74"/>
      <c r="C3" s="74"/>
      <c r="D3" s="53"/>
    </row>
    <row r="4" spans="1:4" s="54" customFormat="1" ht="20.25" x14ac:dyDescent="0.3">
      <c r="B4" s="55"/>
      <c r="C4" s="55"/>
      <c r="D4" s="55"/>
    </row>
    <row r="5" spans="1:4" s="56" customFormat="1" ht="25.5" customHeight="1" x14ac:dyDescent="0.25">
      <c r="A5" s="33" t="s">
        <v>15</v>
      </c>
      <c r="B5" s="33" t="s">
        <v>16</v>
      </c>
      <c r="C5" s="34" t="s">
        <v>17</v>
      </c>
      <c r="D5" s="34" t="s">
        <v>25</v>
      </c>
    </row>
    <row r="6" spans="1:4" s="57" customFormat="1" ht="35.25" customHeight="1" x14ac:dyDescent="0.25">
      <c r="A6" s="35" t="s">
        <v>26</v>
      </c>
      <c r="B6" s="36" t="s">
        <v>20</v>
      </c>
      <c r="C6" s="34">
        <f>SUM(C26:C30)</f>
        <v>1083983230</v>
      </c>
      <c r="D6" s="34"/>
    </row>
    <row r="7" spans="1:4" s="58" customFormat="1" ht="19.5" hidden="1" customHeight="1" x14ac:dyDescent="0.25">
      <c r="A7" s="37">
        <v>1</v>
      </c>
      <c r="B7" s="37"/>
      <c r="C7" s="32">
        <v>0</v>
      </c>
      <c r="D7" s="34"/>
    </row>
    <row r="8" spans="1:4" s="58" customFormat="1" ht="19.5" hidden="1" customHeight="1" x14ac:dyDescent="0.25">
      <c r="A8" s="37">
        <v>2</v>
      </c>
      <c r="B8" s="37"/>
      <c r="C8" s="32">
        <v>0</v>
      </c>
      <c r="D8" s="34"/>
    </row>
    <row r="9" spans="1:4" s="58" customFormat="1" ht="19.5" hidden="1" customHeight="1" x14ac:dyDescent="0.25">
      <c r="A9" s="37">
        <v>3</v>
      </c>
      <c r="B9" s="37"/>
      <c r="C9" s="32">
        <v>0</v>
      </c>
      <c r="D9" s="34"/>
    </row>
    <row r="10" spans="1:4" s="58" customFormat="1" ht="44.25" hidden="1" customHeight="1" x14ac:dyDescent="0.25">
      <c r="A10" s="37">
        <v>4</v>
      </c>
      <c r="B10" s="38"/>
      <c r="C10" s="32">
        <v>0</v>
      </c>
      <c r="D10" s="34"/>
    </row>
    <row r="11" spans="1:4" s="58" customFormat="1" ht="44.25" hidden="1" customHeight="1" x14ac:dyDescent="0.25">
      <c r="A11" s="37">
        <v>5</v>
      </c>
      <c r="B11" s="44"/>
      <c r="C11" s="32">
        <v>0</v>
      </c>
      <c r="D11" s="34"/>
    </row>
    <row r="12" spans="1:4" s="58" customFormat="1" ht="44.25" hidden="1" customHeight="1" x14ac:dyDescent="0.25">
      <c r="A12" s="37">
        <v>6</v>
      </c>
      <c r="B12" s="40"/>
      <c r="C12" s="32">
        <v>0</v>
      </c>
      <c r="D12" s="34"/>
    </row>
    <row r="13" spans="1:4" s="58" customFormat="1" ht="44.25" hidden="1" customHeight="1" x14ac:dyDescent="0.25">
      <c r="A13" s="37">
        <v>7</v>
      </c>
      <c r="B13" s="41"/>
      <c r="C13" s="32">
        <v>0</v>
      </c>
      <c r="D13" s="34"/>
    </row>
    <row r="14" spans="1:4" s="58" customFormat="1" ht="44.25" hidden="1" customHeight="1" x14ac:dyDescent="0.25">
      <c r="A14" s="37">
        <v>8</v>
      </c>
      <c r="B14" s="39"/>
      <c r="C14" s="32">
        <v>0</v>
      </c>
      <c r="D14" s="34"/>
    </row>
    <row r="15" spans="1:4" s="58" customFormat="1" ht="44.25" hidden="1" customHeight="1" x14ac:dyDescent="0.25">
      <c r="A15" s="37">
        <v>9</v>
      </c>
      <c r="B15" s="39"/>
      <c r="C15" s="32">
        <v>0</v>
      </c>
      <c r="D15" s="34"/>
    </row>
    <row r="16" spans="1:4" s="58" customFormat="1" ht="44.25" hidden="1" customHeight="1" x14ac:dyDescent="0.25">
      <c r="A16" s="37">
        <v>10</v>
      </c>
      <c r="B16" s="39"/>
      <c r="C16" s="32">
        <v>0</v>
      </c>
      <c r="D16" s="34"/>
    </row>
    <row r="17" spans="1:4" s="58" customFormat="1" ht="44.25" hidden="1" customHeight="1" x14ac:dyDescent="0.25">
      <c r="A17" s="37">
        <v>11</v>
      </c>
      <c r="B17" s="39"/>
      <c r="C17" s="32">
        <v>0</v>
      </c>
      <c r="D17" s="34"/>
    </row>
    <row r="18" spans="1:4" s="58" customFormat="1" ht="57.75" hidden="1" customHeight="1" x14ac:dyDescent="0.25">
      <c r="A18" s="37">
        <v>12</v>
      </c>
      <c r="B18" s="42"/>
      <c r="C18" s="32">
        <v>0</v>
      </c>
      <c r="D18" s="34"/>
    </row>
    <row r="19" spans="1:4" s="58" customFormat="1" ht="54" hidden="1" customHeight="1" x14ac:dyDescent="0.25">
      <c r="A19" s="37">
        <v>13</v>
      </c>
      <c r="B19" s="42"/>
      <c r="C19" s="32">
        <v>0</v>
      </c>
      <c r="D19" s="34"/>
    </row>
    <row r="20" spans="1:4" s="58" customFormat="1" ht="44.25" hidden="1" customHeight="1" x14ac:dyDescent="0.25">
      <c r="A20" s="37">
        <v>14</v>
      </c>
      <c r="B20" s="39"/>
      <c r="C20" s="32">
        <v>0</v>
      </c>
      <c r="D20" s="34"/>
    </row>
    <row r="21" spans="1:4" s="58" customFormat="1" ht="44.25" hidden="1" customHeight="1" x14ac:dyDescent="0.25">
      <c r="A21" s="37">
        <v>15</v>
      </c>
      <c r="B21" s="47"/>
      <c r="C21" s="32">
        <v>0</v>
      </c>
      <c r="D21" s="34"/>
    </row>
    <row r="22" spans="1:4" s="58" customFormat="1" ht="44.25" hidden="1" customHeight="1" x14ac:dyDescent="0.25">
      <c r="A22" s="37">
        <v>16</v>
      </c>
      <c r="B22" s="47"/>
      <c r="C22" s="32">
        <v>0</v>
      </c>
      <c r="D22" s="34"/>
    </row>
    <row r="23" spans="1:4" s="58" customFormat="1" ht="44.25" hidden="1" customHeight="1" x14ac:dyDescent="0.25">
      <c r="A23" s="37">
        <v>17</v>
      </c>
      <c r="B23" s="47"/>
      <c r="C23" s="32">
        <v>0</v>
      </c>
      <c r="D23" s="34"/>
    </row>
    <row r="24" spans="1:4" s="58" customFormat="1" ht="44.25" hidden="1" customHeight="1" x14ac:dyDescent="0.25">
      <c r="A24" s="37">
        <v>18</v>
      </c>
      <c r="B24" s="39"/>
      <c r="C24" s="32">
        <v>0</v>
      </c>
      <c r="D24" s="34"/>
    </row>
    <row r="25" spans="1:4" s="58" customFormat="1" ht="44.25" hidden="1" customHeight="1" x14ac:dyDescent="0.25">
      <c r="A25" s="37">
        <v>19</v>
      </c>
      <c r="B25" s="41"/>
      <c r="C25" s="32">
        <v>0</v>
      </c>
      <c r="D25" s="34"/>
    </row>
    <row r="26" spans="1:4" s="58" customFormat="1" ht="44.25" customHeight="1" x14ac:dyDescent="0.25">
      <c r="A26" s="37">
        <v>1</v>
      </c>
      <c r="B26" s="86" t="s">
        <v>40</v>
      </c>
      <c r="C26" s="32">
        <f>92893519</f>
        <v>92893519</v>
      </c>
      <c r="D26" s="34"/>
    </row>
    <row r="27" spans="1:4" s="58" customFormat="1" ht="44.25" customHeight="1" x14ac:dyDescent="0.25">
      <c r="A27" s="37">
        <v>2</v>
      </c>
      <c r="B27" s="83" t="s">
        <v>34</v>
      </c>
      <c r="C27" s="32">
        <v>323333333</v>
      </c>
      <c r="D27" s="34">
        <f>SUM(C27:C30)</f>
        <v>991089711</v>
      </c>
    </row>
    <row r="28" spans="1:4" s="58" customFormat="1" ht="44.25" customHeight="1" x14ac:dyDescent="0.25">
      <c r="A28" s="37">
        <v>3</v>
      </c>
      <c r="B28" s="82" t="s">
        <v>35</v>
      </c>
      <c r="C28" s="32">
        <v>27129630</v>
      </c>
      <c r="D28" s="34"/>
    </row>
    <row r="29" spans="1:4" s="58" customFormat="1" ht="44.25" customHeight="1" x14ac:dyDescent="0.25">
      <c r="A29" s="37">
        <v>4</v>
      </c>
      <c r="B29" s="83" t="s">
        <v>36</v>
      </c>
      <c r="C29" s="32">
        <v>594978600</v>
      </c>
      <c r="D29" s="34"/>
    </row>
    <row r="30" spans="1:4" s="58" customFormat="1" ht="44.25" customHeight="1" x14ac:dyDescent="0.25">
      <c r="A30" s="37">
        <v>5</v>
      </c>
      <c r="B30" s="83" t="s">
        <v>37</v>
      </c>
      <c r="C30" s="32">
        <v>45648148</v>
      </c>
      <c r="D30" s="34"/>
    </row>
    <row r="31" spans="1:4" s="57" customFormat="1" ht="35.25" customHeight="1" x14ac:dyDescent="0.25">
      <c r="A31" s="84" t="s">
        <v>27</v>
      </c>
      <c r="B31" s="36" t="s">
        <v>24</v>
      </c>
      <c r="C31" s="34">
        <f>SUM(C32:C33)</f>
        <v>648035295</v>
      </c>
      <c r="D31" s="34"/>
    </row>
    <row r="32" spans="1:4" s="57" customFormat="1" ht="56.25" customHeight="1" x14ac:dyDescent="0.25">
      <c r="A32" s="85">
        <v>1</v>
      </c>
      <c r="B32" s="83" t="s">
        <v>38</v>
      </c>
      <c r="C32" s="32">
        <v>51237963</v>
      </c>
      <c r="D32" s="34"/>
    </row>
    <row r="33" spans="1:4" s="57" customFormat="1" ht="48.75" customHeight="1" x14ac:dyDescent="0.25">
      <c r="A33" s="85">
        <v>2</v>
      </c>
      <c r="B33" s="83" t="s">
        <v>39</v>
      </c>
      <c r="C33" s="32">
        <v>596797332</v>
      </c>
      <c r="D33" s="34"/>
    </row>
    <row r="34" spans="1:4" s="56" customFormat="1" ht="19.5" customHeight="1" x14ac:dyDescent="0.25">
      <c r="A34" s="33"/>
      <c r="B34" s="43"/>
      <c r="C34" s="34">
        <f>C31+C6</f>
        <v>1732018525</v>
      </c>
      <c r="D34" s="34"/>
    </row>
    <row r="35" spans="1:4" s="58" customFormat="1" ht="19.5" customHeight="1" x14ac:dyDescent="0.25">
      <c r="C35" s="59"/>
      <c r="D35" s="59"/>
    </row>
    <row r="36" spans="1:4" s="58" customFormat="1" ht="19.5" customHeight="1" x14ac:dyDescent="0.25">
      <c r="B36" s="75" t="s">
        <v>28</v>
      </c>
      <c r="C36" s="75"/>
      <c r="D36" s="60"/>
    </row>
    <row r="37" spans="1:4" s="58" customFormat="1" ht="19.5" customHeight="1" x14ac:dyDescent="0.25">
      <c r="B37" s="76" t="s">
        <v>18</v>
      </c>
      <c r="C37" s="76"/>
      <c r="D37" s="61"/>
    </row>
    <row r="38" spans="1:4" s="58" customFormat="1" ht="19.5" customHeight="1" x14ac:dyDescent="0.25">
      <c r="B38" s="62"/>
      <c r="C38" s="63"/>
      <c r="D38" s="63"/>
    </row>
    <row r="39" spans="1:4" s="58" customFormat="1" ht="19.5" customHeight="1" x14ac:dyDescent="0.25">
      <c r="B39" s="62"/>
      <c r="C39" s="63"/>
      <c r="D39" s="63"/>
    </row>
    <row r="40" spans="1:4" s="58" customFormat="1" ht="19.5" customHeight="1" x14ac:dyDescent="0.25">
      <c r="B40" s="62"/>
      <c r="C40" s="63"/>
      <c r="D40" s="63"/>
    </row>
    <row r="41" spans="1:4" s="58" customFormat="1" ht="19.5" customHeight="1" x14ac:dyDescent="0.25">
      <c r="B41" s="76" t="s">
        <v>19</v>
      </c>
      <c r="C41" s="76"/>
      <c r="D41" s="61"/>
    </row>
    <row r="42" spans="1:4" s="58" customFormat="1" ht="19.5" customHeight="1" x14ac:dyDescent="0.25">
      <c r="C42" s="59"/>
      <c r="D42" s="59"/>
    </row>
    <row r="43" spans="1:4" s="58" customFormat="1" ht="19.5" customHeight="1" x14ac:dyDescent="0.25">
      <c r="C43" s="59"/>
      <c r="D43" s="59"/>
    </row>
    <row r="44" spans="1:4" s="58" customFormat="1" ht="19.5" customHeight="1" x14ac:dyDescent="0.25">
      <c r="C44" s="59"/>
      <c r="D44" s="59"/>
    </row>
    <row r="45" spans="1:4" s="58" customFormat="1" ht="19.5" customHeight="1" x14ac:dyDescent="0.25">
      <c r="C45" s="64"/>
      <c r="D45" s="59"/>
    </row>
    <row r="46" spans="1:4" s="58" customFormat="1" ht="19.5" customHeight="1" x14ac:dyDescent="0.25">
      <c r="C46" s="64"/>
    </row>
    <row r="47" spans="1:4" ht="19.5" customHeight="1" x14ac:dyDescent="0.25">
      <c r="C47" s="66"/>
      <c r="D47" s="67"/>
    </row>
    <row r="48" spans="1:4" ht="19.5" customHeight="1" x14ac:dyDescent="0.25">
      <c r="C48" s="66"/>
      <c r="D48" s="65"/>
    </row>
    <row r="49" spans="3:4" ht="19.5" customHeight="1" x14ac:dyDescent="0.25">
      <c r="C49" s="66"/>
      <c r="D49" s="67"/>
    </row>
    <row r="50" spans="3:4" ht="19.5" customHeight="1" x14ac:dyDescent="0.25">
      <c r="C50" s="66"/>
      <c r="D50" s="68"/>
    </row>
    <row r="51" spans="3:4" ht="19.5" customHeight="1" x14ac:dyDescent="0.25">
      <c r="C51" s="66"/>
      <c r="D51" s="67"/>
    </row>
    <row r="52" spans="3:4" ht="19.5" customHeight="1" x14ac:dyDescent="0.25">
      <c r="C52" s="66"/>
      <c r="D52" s="65"/>
    </row>
    <row r="53" spans="3:4" ht="19.5" customHeight="1" x14ac:dyDescent="0.25">
      <c r="C53" s="66"/>
      <c r="D53" s="65"/>
    </row>
    <row r="54" spans="3:4" ht="19.5" customHeight="1" x14ac:dyDescent="0.25"/>
    <row r="55" spans="3:4" ht="19.5" customHeight="1" x14ac:dyDescent="0.25"/>
    <row r="56" spans="3:4" ht="19.5" customHeight="1" x14ac:dyDescent="0.25"/>
    <row r="57" spans="3:4" ht="19.5" customHeight="1" x14ac:dyDescent="0.25"/>
    <row r="58" spans="3:4" ht="19.5" customHeight="1" x14ac:dyDescent="0.25"/>
    <row r="59" spans="3:4" ht="19.5" customHeight="1" x14ac:dyDescent="0.25"/>
    <row r="60" spans="3:4" ht="19.5" customHeight="1" x14ac:dyDescent="0.25"/>
    <row r="61" spans="3:4" ht="19.5" customHeight="1" x14ac:dyDescent="0.25"/>
    <row r="62" spans="3:4" ht="19.5" customHeight="1" x14ac:dyDescent="0.25"/>
    <row r="63" spans="3:4" ht="19.5" customHeight="1" x14ac:dyDescent="0.25"/>
    <row r="64" spans="3: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  <row r="181" ht="19.5" customHeight="1" x14ac:dyDescent="0.25"/>
    <row r="182" ht="19.5" customHeight="1" x14ac:dyDescent="0.25"/>
    <row r="183" ht="19.5" customHeight="1" x14ac:dyDescent="0.25"/>
    <row r="184" ht="19.5" customHeight="1" x14ac:dyDescent="0.25"/>
    <row r="185" ht="19.5" customHeight="1" x14ac:dyDescent="0.25"/>
    <row r="186" ht="19.5" customHeight="1" x14ac:dyDescent="0.25"/>
    <row r="187" ht="19.5" customHeight="1" x14ac:dyDescent="0.25"/>
    <row r="188" ht="19.5" customHeight="1" x14ac:dyDescent="0.25"/>
    <row r="189" ht="19.5" customHeight="1" x14ac:dyDescent="0.25"/>
    <row r="190" ht="19.5" customHeight="1" x14ac:dyDescent="0.25"/>
    <row r="191" ht="19.5" customHeight="1" x14ac:dyDescent="0.25"/>
    <row r="192" ht="19.5" customHeight="1" x14ac:dyDescent="0.25"/>
    <row r="193" ht="19.5" customHeight="1" x14ac:dyDescent="0.25"/>
    <row r="194" ht="19.5" customHeight="1" x14ac:dyDescent="0.25"/>
    <row r="195" ht="19.5" customHeight="1" x14ac:dyDescent="0.25"/>
  </sheetData>
  <autoFilter ref="D1:D195"/>
  <mergeCells count="5">
    <mergeCell ref="A1:C1"/>
    <mergeCell ref="A3:C3"/>
    <mergeCell ref="B36:C36"/>
    <mergeCell ref="B37:C37"/>
    <mergeCell ref="B41:C41"/>
  </mergeCells>
  <pageMargins left="0.70866141732283472" right="0.70866141732283472" top="0" bottom="0" header="0.31496062992125984" footer="0.31496062992125984"/>
  <pageSetup paperSize="9" scale="9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L32"/>
  <sheetViews>
    <sheetView tabSelected="1" zoomScaleNormal="100" workbookViewId="0">
      <selection activeCell="B14" sqref="B14"/>
    </sheetView>
  </sheetViews>
  <sheetFormatPr defaultRowHeight="16.5" x14ac:dyDescent="0.25"/>
  <cols>
    <col min="1" max="1" width="28.85546875" style="4" customWidth="1"/>
    <col min="2" max="2" width="8.5703125" style="5" customWidth="1"/>
    <col min="3" max="3" width="18.7109375" style="6" customWidth="1"/>
    <col min="4" max="4" width="16.5703125" style="4" customWidth="1"/>
    <col min="5" max="5" width="6.85546875" style="5" customWidth="1"/>
    <col min="6" max="6" width="16.7109375" style="6" customWidth="1"/>
    <col min="7" max="8" width="14.28515625" style="4" customWidth="1"/>
    <col min="9" max="9" width="16.28515625" style="26" hidden="1" customWidth="1"/>
    <col min="10" max="10" width="27.28515625" style="4" customWidth="1"/>
    <col min="11" max="11" width="17.140625" style="26" customWidth="1"/>
    <col min="12" max="12" width="19.5703125" style="4" customWidth="1"/>
    <col min="13" max="252" width="9.140625" style="4"/>
    <col min="253" max="253" width="28.85546875" style="4" customWidth="1"/>
    <col min="254" max="254" width="11" style="4" customWidth="1"/>
    <col min="255" max="255" width="18.7109375" style="4" customWidth="1"/>
    <col min="256" max="256" width="20.85546875" style="4" customWidth="1"/>
    <col min="257" max="257" width="0" style="4" hidden="1" customWidth="1"/>
    <col min="258" max="258" width="17" style="4" customWidth="1"/>
    <col min="259" max="259" width="15.7109375" style="4" customWidth="1"/>
    <col min="260" max="260" width="6.85546875" style="4" customWidth="1"/>
    <col min="261" max="262" width="15.28515625" style="4" customWidth="1"/>
    <col min="263" max="263" width="18.42578125" style="4" customWidth="1"/>
    <col min="264" max="264" width="0" style="4" hidden="1" customWidth="1"/>
    <col min="265" max="508" width="9.140625" style="4"/>
    <col min="509" max="509" width="28.85546875" style="4" customWidth="1"/>
    <col min="510" max="510" width="11" style="4" customWidth="1"/>
    <col min="511" max="511" width="18.7109375" style="4" customWidth="1"/>
    <col min="512" max="512" width="20.85546875" style="4" customWidth="1"/>
    <col min="513" max="513" width="0" style="4" hidden="1" customWidth="1"/>
    <col min="514" max="514" width="17" style="4" customWidth="1"/>
    <col min="515" max="515" width="15.7109375" style="4" customWidth="1"/>
    <col min="516" max="516" width="6.85546875" style="4" customWidth="1"/>
    <col min="517" max="518" width="15.28515625" style="4" customWidth="1"/>
    <col min="519" max="519" width="18.42578125" style="4" customWidth="1"/>
    <col min="520" max="520" width="0" style="4" hidden="1" customWidth="1"/>
    <col min="521" max="764" width="9.140625" style="4"/>
    <col min="765" max="765" width="28.85546875" style="4" customWidth="1"/>
    <col min="766" max="766" width="11" style="4" customWidth="1"/>
    <col min="767" max="767" width="18.7109375" style="4" customWidth="1"/>
    <col min="768" max="768" width="20.85546875" style="4" customWidth="1"/>
    <col min="769" max="769" width="0" style="4" hidden="1" customWidth="1"/>
    <col min="770" max="770" width="17" style="4" customWidth="1"/>
    <col min="771" max="771" width="15.7109375" style="4" customWidth="1"/>
    <col min="772" max="772" width="6.85546875" style="4" customWidth="1"/>
    <col min="773" max="774" width="15.28515625" style="4" customWidth="1"/>
    <col min="775" max="775" width="18.42578125" style="4" customWidth="1"/>
    <col min="776" max="776" width="0" style="4" hidden="1" customWidth="1"/>
    <col min="777" max="1020" width="9.140625" style="4"/>
    <col min="1021" max="1021" width="28.85546875" style="4" customWidth="1"/>
    <col min="1022" max="1022" width="11" style="4" customWidth="1"/>
    <col min="1023" max="1023" width="18.7109375" style="4" customWidth="1"/>
    <col min="1024" max="1024" width="20.85546875" style="4" customWidth="1"/>
    <col min="1025" max="1025" width="0" style="4" hidden="1" customWidth="1"/>
    <col min="1026" max="1026" width="17" style="4" customWidth="1"/>
    <col min="1027" max="1027" width="15.7109375" style="4" customWidth="1"/>
    <col min="1028" max="1028" width="6.85546875" style="4" customWidth="1"/>
    <col min="1029" max="1030" width="15.28515625" style="4" customWidth="1"/>
    <col min="1031" max="1031" width="18.42578125" style="4" customWidth="1"/>
    <col min="1032" max="1032" width="0" style="4" hidden="1" customWidth="1"/>
    <col min="1033" max="1276" width="9.140625" style="4"/>
    <col min="1277" max="1277" width="28.85546875" style="4" customWidth="1"/>
    <col min="1278" max="1278" width="11" style="4" customWidth="1"/>
    <col min="1279" max="1279" width="18.7109375" style="4" customWidth="1"/>
    <col min="1280" max="1280" width="20.85546875" style="4" customWidth="1"/>
    <col min="1281" max="1281" width="0" style="4" hidden="1" customWidth="1"/>
    <col min="1282" max="1282" width="17" style="4" customWidth="1"/>
    <col min="1283" max="1283" width="15.7109375" style="4" customWidth="1"/>
    <col min="1284" max="1284" width="6.85546875" style="4" customWidth="1"/>
    <col min="1285" max="1286" width="15.28515625" style="4" customWidth="1"/>
    <col min="1287" max="1287" width="18.42578125" style="4" customWidth="1"/>
    <col min="1288" max="1288" width="0" style="4" hidden="1" customWidth="1"/>
    <col min="1289" max="1532" width="9.140625" style="4"/>
    <col min="1533" max="1533" width="28.85546875" style="4" customWidth="1"/>
    <col min="1534" max="1534" width="11" style="4" customWidth="1"/>
    <col min="1535" max="1535" width="18.7109375" style="4" customWidth="1"/>
    <col min="1536" max="1536" width="20.85546875" style="4" customWidth="1"/>
    <col min="1537" max="1537" width="0" style="4" hidden="1" customWidth="1"/>
    <col min="1538" max="1538" width="17" style="4" customWidth="1"/>
    <col min="1539" max="1539" width="15.7109375" style="4" customWidth="1"/>
    <col min="1540" max="1540" width="6.85546875" style="4" customWidth="1"/>
    <col min="1541" max="1542" width="15.28515625" style="4" customWidth="1"/>
    <col min="1543" max="1543" width="18.42578125" style="4" customWidth="1"/>
    <col min="1544" max="1544" width="0" style="4" hidden="1" customWidth="1"/>
    <col min="1545" max="1788" width="9.140625" style="4"/>
    <col min="1789" max="1789" width="28.85546875" style="4" customWidth="1"/>
    <col min="1790" max="1790" width="11" style="4" customWidth="1"/>
    <col min="1791" max="1791" width="18.7109375" style="4" customWidth="1"/>
    <col min="1792" max="1792" width="20.85546875" style="4" customWidth="1"/>
    <col min="1793" max="1793" width="0" style="4" hidden="1" customWidth="1"/>
    <col min="1794" max="1794" width="17" style="4" customWidth="1"/>
    <col min="1795" max="1795" width="15.7109375" style="4" customWidth="1"/>
    <col min="1796" max="1796" width="6.85546875" style="4" customWidth="1"/>
    <col min="1797" max="1798" width="15.28515625" style="4" customWidth="1"/>
    <col min="1799" max="1799" width="18.42578125" style="4" customWidth="1"/>
    <col min="1800" max="1800" width="0" style="4" hidden="1" customWidth="1"/>
    <col min="1801" max="2044" width="9.140625" style="4"/>
    <col min="2045" max="2045" width="28.85546875" style="4" customWidth="1"/>
    <col min="2046" max="2046" width="11" style="4" customWidth="1"/>
    <col min="2047" max="2047" width="18.7109375" style="4" customWidth="1"/>
    <col min="2048" max="2048" width="20.85546875" style="4" customWidth="1"/>
    <col min="2049" max="2049" width="0" style="4" hidden="1" customWidth="1"/>
    <col min="2050" max="2050" width="17" style="4" customWidth="1"/>
    <col min="2051" max="2051" width="15.7109375" style="4" customWidth="1"/>
    <col min="2052" max="2052" width="6.85546875" style="4" customWidth="1"/>
    <col min="2053" max="2054" width="15.28515625" style="4" customWidth="1"/>
    <col min="2055" max="2055" width="18.42578125" style="4" customWidth="1"/>
    <col min="2056" max="2056" width="0" style="4" hidden="1" customWidth="1"/>
    <col min="2057" max="2300" width="9.140625" style="4"/>
    <col min="2301" max="2301" width="28.85546875" style="4" customWidth="1"/>
    <col min="2302" max="2302" width="11" style="4" customWidth="1"/>
    <col min="2303" max="2303" width="18.7109375" style="4" customWidth="1"/>
    <col min="2304" max="2304" width="20.85546875" style="4" customWidth="1"/>
    <col min="2305" max="2305" width="0" style="4" hidden="1" customWidth="1"/>
    <col min="2306" max="2306" width="17" style="4" customWidth="1"/>
    <col min="2307" max="2307" width="15.7109375" style="4" customWidth="1"/>
    <col min="2308" max="2308" width="6.85546875" style="4" customWidth="1"/>
    <col min="2309" max="2310" width="15.28515625" style="4" customWidth="1"/>
    <col min="2311" max="2311" width="18.42578125" style="4" customWidth="1"/>
    <col min="2312" max="2312" width="0" style="4" hidden="1" customWidth="1"/>
    <col min="2313" max="2556" width="9.140625" style="4"/>
    <col min="2557" max="2557" width="28.85546875" style="4" customWidth="1"/>
    <col min="2558" max="2558" width="11" style="4" customWidth="1"/>
    <col min="2559" max="2559" width="18.7109375" style="4" customWidth="1"/>
    <col min="2560" max="2560" width="20.85546875" style="4" customWidth="1"/>
    <col min="2561" max="2561" width="0" style="4" hidden="1" customWidth="1"/>
    <col min="2562" max="2562" width="17" style="4" customWidth="1"/>
    <col min="2563" max="2563" width="15.7109375" style="4" customWidth="1"/>
    <col min="2564" max="2564" width="6.85546875" style="4" customWidth="1"/>
    <col min="2565" max="2566" width="15.28515625" style="4" customWidth="1"/>
    <col min="2567" max="2567" width="18.42578125" style="4" customWidth="1"/>
    <col min="2568" max="2568" width="0" style="4" hidden="1" customWidth="1"/>
    <col min="2569" max="2812" width="9.140625" style="4"/>
    <col min="2813" max="2813" width="28.85546875" style="4" customWidth="1"/>
    <col min="2814" max="2814" width="11" style="4" customWidth="1"/>
    <col min="2815" max="2815" width="18.7109375" style="4" customWidth="1"/>
    <col min="2816" max="2816" width="20.85546875" style="4" customWidth="1"/>
    <col min="2817" max="2817" width="0" style="4" hidden="1" customWidth="1"/>
    <col min="2818" max="2818" width="17" style="4" customWidth="1"/>
    <col min="2819" max="2819" width="15.7109375" style="4" customWidth="1"/>
    <col min="2820" max="2820" width="6.85546875" style="4" customWidth="1"/>
    <col min="2821" max="2822" width="15.28515625" style="4" customWidth="1"/>
    <col min="2823" max="2823" width="18.42578125" style="4" customWidth="1"/>
    <col min="2824" max="2824" width="0" style="4" hidden="1" customWidth="1"/>
    <col min="2825" max="3068" width="9.140625" style="4"/>
    <col min="3069" max="3069" width="28.85546875" style="4" customWidth="1"/>
    <col min="3070" max="3070" width="11" style="4" customWidth="1"/>
    <col min="3071" max="3071" width="18.7109375" style="4" customWidth="1"/>
    <col min="3072" max="3072" width="20.85546875" style="4" customWidth="1"/>
    <col min="3073" max="3073" width="0" style="4" hidden="1" customWidth="1"/>
    <col min="3074" max="3074" width="17" style="4" customWidth="1"/>
    <col min="3075" max="3075" width="15.7109375" style="4" customWidth="1"/>
    <col min="3076" max="3076" width="6.85546875" style="4" customWidth="1"/>
    <col min="3077" max="3078" width="15.28515625" style="4" customWidth="1"/>
    <col min="3079" max="3079" width="18.42578125" style="4" customWidth="1"/>
    <col min="3080" max="3080" width="0" style="4" hidden="1" customWidth="1"/>
    <col min="3081" max="3324" width="9.140625" style="4"/>
    <col min="3325" max="3325" width="28.85546875" style="4" customWidth="1"/>
    <col min="3326" max="3326" width="11" style="4" customWidth="1"/>
    <col min="3327" max="3327" width="18.7109375" style="4" customWidth="1"/>
    <col min="3328" max="3328" width="20.85546875" style="4" customWidth="1"/>
    <col min="3329" max="3329" width="0" style="4" hidden="1" customWidth="1"/>
    <col min="3330" max="3330" width="17" style="4" customWidth="1"/>
    <col min="3331" max="3331" width="15.7109375" style="4" customWidth="1"/>
    <col min="3332" max="3332" width="6.85546875" style="4" customWidth="1"/>
    <col min="3333" max="3334" width="15.28515625" style="4" customWidth="1"/>
    <col min="3335" max="3335" width="18.42578125" style="4" customWidth="1"/>
    <col min="3336" max="3336" width="0" style="4" hidden="1" customWidth="1"/>
    <col min="3337" max="3580" width="9.140625" style="4"/>
    <col min="3581" max="3581" width="28.85546875" style="4" customWidth="1"/>
    <col min="3582" max="3582" width="11" style="4" customWidth="1"/>
    <col min="3583" max="3583" width="18.7109375" style="4" customWidth="1"/>
    <col min="3584" max="3584" width="20.85546875" style="4" customWidth="1"/>
    <col min="3585" max="3585" width="0" style="4" hidden="1" customWidth="1"/>
    <col min="3586" max="3586" width="17" style="4" customWidth="1"/>
    <col min="3587" max="3587" width="15.7109375" style="4" customWidth="1"/>
    <col min="3588" max="3588" width="6.85546875" style="4" customWidth="1"/>
    <col min="3589" max="3590" width="15.28515625" style="4" customWidth="1"/>
    <col min="3591" max="3591" width="18.42578125" style="4" customWidth="1"/>
    <col min="3592" max="3592" width="0" style="4" hidden="1" customWidth="1"/>
    <col min="3593" max="3836" width="9.140625" style="4"/>
    <col min="3837" max="3837" width="28.85546875" style="4" customWidth="1"/>
    <col min="3838" max="3838" width="11" style="4" customWidth="1"/>
    <col min="3839" max="3839" width="18.7109375" style="4" customWidth="1"/>
    <col min="3840" max="3840" width="20.85546875" style="4" customWidth="1"/>
    <col min="3841" max="3841" width="0" style="4" hidden="1" customWidth="1"/>
    <col min="3842" max="3842" width="17" style="4" customWidth="1"/>
    <col min="3843" max="3843" width="15.7109375" style="4" customWidth="1"/>
    <col min="3844" max="3844" width="6.85546875" style="4" customWidth="1"/>
    <col min="3845" max="3846" width="15.28515625" style="4" customWidth="1"/>
    <col min="3847" max="3847" width="18.42578125" style="4" customWidth="1"/>
    <col min="3848" max="3848" width="0" style="4" hidden="1" customWidth="1"/>
    <col min="3849" max="4092" width="9.140625" style="4"/>
    <col min="4093" max="4093" width="28.85546875" style="4" customWidth="1"/>
    <col min="4094" max="4094" width="11" style="4" customWidth="1"/>
    <col min="4095" max="4095" width="18.7109375" style="4" customWidth="1"/>
    <col min="4096" max="4096" width="20.85546875" style="4" customWidth="1"/>
    <col min="4097" max="4097" width="0" style="4" hidden="1" customWidth="1"/>
    <col min="4098" max="4098" width="17" style="4" customWidth="1"/>
    <col min="4099" max="4099" width="15.7109375" style="4" customWidth="1"/>
    <col min="4100" max="4100" width="6.85546875" style="4" customWidth="1"/>
    <col min="4101" max="4102" width="15.28515625" style="4" customWidth="1"/>
    <col min="4103" max="4103" width="18.42578125" style="4" customWidth="1"/>
    <col min="4104" max="4104" width="0" style="4" hidden="1" customWidth="1"/>
    <col min="4105" max="4348" width="9.140625" style="4"/>
    <col min="4349" max="4349" width="28.85546875" style="4" customWidth="1"/>
    <col min="4350" max="4350" width="11" style="4" customWidth="1"/>
    <col min="4351" max="4351" width="18.7109375" style="4" customWidth="1"/>
    <col min="4352" max="4352" width="20.85546875" style="4" customWidth="1"/>
    <col min="4353" max="4353" width="0" style="4" hidden="1" customWidth="1"/>
    <col min="4354" max="4354" width="17" style="4" customWidth="1"/>
    <col min="4355" max="4355" width="15.7109375" style="4" customWidth="1"/>
    <col min="4356" max="4356" width="6.85546875" style="4" customWidth="1"/>
    <col min="4357" max="4358" width="15.28515625" style="4" customWidth="1"/>
    <col min="4359" max="4359" width="18.42578125" style="4" customWidth="1"/>
    <col min="4360" max="4360" width="0" style="4" hidden="1" customWidth="1"/>
    <col min="4361" max="4604" width="9.140625" style="4"/>
    <col min="4605" max="4605" width="28.85546875" style="4" customWidth="1"/>
    <col min="4606" max="4606" width="11" style="4" customWidth="1"/>
    <col min="4607" max="4607" width="18.7109375" style="4" customWidth="1"/>
    <col min="4608" max="4608" width="20.85546875" style="4" customWidth="1"/>
    <col min="4609" max="4609" width="0" style="4" hidden="1" customWidth="1"/>
    <col min="4610" max="4610" width="17" style="4" customWidth="1"/>
    <col min="4611" max="4611" width="15.7109375" style="4" customWidth="1"/>
    <col min="4612" max="4612" width="6.85546875" style="4" customWidth="1"/>
    <col min="4613" max="4614" width="15.28515625" style="4" customWidth="1"/>
    <col min="4615" max="4615" width="18.42578125" style="4" customWidth="1"/>
    <col min="4616" max="4616" width="0" style="4" hidden="1" customWidth="1"/>
    <col min="4617" max="4860" width="9.140625" style="4"/>
    <col min="4861" max="4861" width="28.85546875" style="4" customWidth="1"/>
    <col min="4862" max="4862" width="11" style="4" customWidth="1"/>
    <col min="4863" max="4863" width="18.7109375" style="4" customWidth="1"/>
    <col min="4864" max="4864" width="20.85546875" style="4" customWidth="1"/>
    <col min="4865" max="4865" width="0" style="4" hidden="1" customWidth="1"/>
    <col min="4866" max="4866" width="17" style="4" customWidth="1"/>
    <col min="4867" max="4867" width="15.7109375" style="4" customWidth="1"/>
    <col min="4868" max="4868" width="6.85546875" style="4" customWidth="1"/>
    <col min="4869" max="4870" width="15.28515625" style="4" customWidth="1"/>
    <col min="4871" max="4871" width="18.42578125" style="4" customWidth="1"/>
    <col min="4872" max="4872" width="0" style="4" hidden="1" customWidth="1"/>
    <col min="4873" max="5116" width="9.140625" style="4"/>
    <col min="5117" max="5117" width="28.85546875" style="4" customWidth="1"/>
    <col min="5118" max="5118" width="11" style="4" customWidth="1"/>
    <col min="5119" max="5119" width="18.7109375" style="4" customWidth="1"/>
    <col min="5120" max="5120" width="20.85546875" style="4" customWidth="1"/>
    <col min="5121" max="5121" width="0" style="4" hidden="1" customWidth="1"/>
    <col min="5122" max="5122" width="17" style="4" customWidth="1"/>
    <col min="5123" max="5123" width="15.7109375" style="4" customWidth="1"/>
    <col min="5124" max="5124" width="6.85546875" style="4" customWidth="1"/>
    <col min="5125" max="5126" width="15.28515625" style="4" customWidth="1"/>
    <col min="5127" max="5127" width="18.42578125" style="4" customWidth="1"/>
    <col min="5128" max="5128" width="0" style="4" hidden="1" customWidth="1"/>
    <col min="5129" max="5372" width="9.140625" style="4"/>
    <col min="5373" max="5373" width="28.85546875" style="4" customWidth="1"/>
    <col min="5374" max="5374" width="11" style="4" customWidth="1"/>
    <col min="5375" max="5375" width="18.7109375" style="4" customWidth="1"/>
    <col min="5376" max="5376" width="20.85546875" style="4" customWidth="1"/>
    <col min="5377" max="5377" width="0" style="4" hidden="1" customWidth="1"/>
    <col min="5378" max="5378" width="17" style="4" customWidth="1"/>
    <col min="5379" max="5379" width="15.7109375" style="4" customWidth="1"/>
    <col min="5380" max="5380" width="6.85546875" style="4" customWidth="1"/>
    <col min="5381" max="5382" width="15.28515625" style="4" customWidth="1"/>
    <col min="5383" max="5383" width="18.42578125" style="4" customWidth="1"/>
    <col min="5384" max="5384" width="0" style="4" hidden="1" customWidth="1"/>
    <col min="5385" max="5628" width="9.140625" style="4"/>
    <col min="5629" max="5629" width="28.85546875" style="4" customWidth="1"/>
    <col min="5630" max="5630" width="11" style="4" customWidth="1"/>
    <col min="5631" max="5631" width="18.7109375" style="4" customWidth="1"/>
    <col min="5632" max="5632" width="20.85546875" style="4" customWidth="1"/>
    <col min="5633" max="5633" width="0" style="4" hidden="1" customWidth="1"/>
    <col min="5634" max="5634" width="17" style="4" customWidth="1"/>
    <col min="5635" max="5635" width="15.7109375" style="4" customWidth="1"/>
    <col min="5636" max="5636" width="6.85546875" style="4" customWidth="1"/>
    <col min="5637" max="5638" width="15.28515625" style="4" customWidth="1"/>
    <col min="5639" max="5639" width="18.42578125" style="4" customWidth="1"/>
    <col min="5640" max="5640" width="0" style="4" hidden="1" customWidth="1"/>
    <col min="5641" max="5884" width="9.140625" style="4"/>
    <col min="5885" max="5885" width="28.85546875" style="4" customWidth="1"/>
    <col min="5886" max="5886" width="11" style="4" customWidth="1"/>
    <col min="5887" max="5887" width="18.7109375" style="4" customWidth="1"/>
    <col min="5888" max="5888" width="20.85546875" style="4" customWidth="1"/>
    <col min="5889" max="5889" width="0" style="4" hidden="1" customWidth="1"/>
    <col min="5890" max="5890" width="17" style="4" customWidth="1"/>
    <col min="5891" max="5891" width="15.7109375" style="4" customWidth="1"/>
    <col min="5892" max="5892" width="6.85546875" style="4" customWidth="1"/>
    <col min="5893" max="5894" width="15.28515625" style="4" customWidth="1"/>
    <col min="5895" max="5895" width="18.42578125" style="4" customWidth="1"/>
    <col min="5896" max="5896" width="0" style="4" hidden="1" customWidth="1"/>
    <col min="5897" max="6140" width="9.140625" style="4"/>
    <col min="6141" max="6141" width="28.85546875" style="4" customWidth="1"/>
    <col min="6142" max="6142" width="11" style="4" customWidth="1"/>
    <col min="6143" max="6143" width="18.7109375" style="4" customWidth="1"/>
    <col min="6144" max="6144" width="20.85546875" style="4" customWidth="1"/>
    <col min="6145" max="6145" width="0" style="4" hidden="1" customWidth="1"/>
    <col min="6146" max="6146" width="17" style="4" customWidth="1"/>
    <col min="6147" max="6147" width="15.7109375" style="4" customWidth="1"/>
    <col min="6148" max="6148" width="6.85546875" style="4" customWidth="1"/>
    <col min="6149" max="6150" width="15.28515625" style="4" customWidth="1"/>
    <col min="6151" max="6151" width="18.42578125" style="4" customWidth="1"/>
    <col min="6152" max="6152" width="0" style="4" hidden="1" customWidth="1"/>
    <col min="6153" max="6396" width="9.140625" style="4"/>
    <col min="6397" max="6397" width="28.85546875" style="4" customWidth="1"/>
    <col min="6398" max="6398" width="11" style="4" customWidth="1"/>
    <col min="6399" max="6399" width="18.7109375" style="4" customWidth="1"/>
    <col min="6400" max="6400" width="20.85546875" style="4" customWidth="1"/>
    <col min="6401" max="6401" width="0" style="4" hidden="1" customWidth="1"/>
    <col min="6402" max="6402" width="17" style="4" customWidth="1"/>
    <col min="6403" max="6403" width="15.7109375" style="4" customWidth="1"/>
    <col min="6404" max="6404" width="6.85546875" style="4" customWidth="1"/>
    <col min="6405" max="6406" width="15.28515625" style="4" customWidth="1"/>
    <col min="6407" max="6407" width="18.42578125" style="4" customWidth="1"/>
    <col min="6408" max="6408" width="0" style="4" hidden="1" customWidth="1"/>
    <col min="6409" max="6652" width="9.140625" style="4"/>
    <col min="6653" max="6653" width="28.85546875" style="4" customWidth="1"/>
    <col min="6654" max="6654" width="11" style="4" customWidth="1"/>
    <col min="6655" max="6655" width="18.7109375" style="4" customWidth="1"/>
    <col min="6656" max="6656" width="20.85546875" style="4" customWidth="1"/>
    <col min="6657" max="6657" width="0" style="4" hidden="1" customWidth="1"/>
    <col min="6658" max="6658" width="17" style="4" customWidth="1"/>
    <col min="6659" max="6659" width="15.7109375" style="4" customWidth="1"/>
    <col min="6660" max="6660" width="6.85546875" style="4" customWidth="1"/>
    <col min="6661" max="6662" width="15.28515625" style="4" customWidth="1"/>
    <col min="6663" max="6663" width="18.42578125" style="4" customWidth="1"/>
    <col min="6664" max="6664" width="0" style="4" hidden="1" customWidth="1"/>
    <col min="6665" max="6908" width="9.140625" style="4"/>
    <col min="6909" max="6909" width="28.85546875" style="4" customWidth="1"/>
    <col min="6910" max="6910" width="11" style="4" customWidth="1"/>
    <col min="6911" max="6911" width="18.7109375" style="4" customWidth="1"/>
    <col min="6912" max="6912" width="20.85546875" style="4" customWidth="1"/>
    <col min="6913" max="6913" width="0" style="4" hidden="1" customWidth="1"/>
    <col min="6914" max="6914" width="17" style="4" customWidth="1"/>
    <col min="6915" max="6915" width="15.7109375" style="4" customWidth="1"/>
    <col min="6916" max="6916" width="6.85546875" style="4" customWidth="1"/>
    <col min="6917" max="6918" width="15.28515625" style="4" customWidth="1"/>
    <col min="6919" max="6919" width="18.42578125" style="4" customWidth="1"/>
    <col min="6920" max="6920" width="0" style="4" hidden="1" customWidth="1"/>
    <col min="6921" max="7164" width="9.140625" style="4"/>
    <col min="7165" max="7165" width="28.85546875" style="4" customWidth="1"/>
    <col min="7166" max="7166" width="11" style="4" customWidth="1"/>
    <col min="7167" max="7167" width="18.7109375" style="4" customWidth="1"/>
    <col min="7168" max="7168" width="20.85546875" style="4" customWidth="1"/>
    <col min="7169" max="7169" width="0" style="4" hidden="1" customWidth="1"/>
    <col min="7170" max="7170" width="17" style="4" customWidth="1"/>
    <col min="7171" max="7171" width="15.7109375" style="4" customWidth="1"/>
    <col min="7172" max="7172" width="6.85546875" style="4" customWidth="1"/>
    <col min="7173" max="7174" width="15.28515625" style="4" customWidth="1"/>
    <col min="7175" max="7175" width="18.42578125" style="4" customWidth="1"/>
    <col min="7176" max="7176" width="0" style="4" hidden="1" customWidth="1"/>
    <col min="7177" max="7420" width="9.140625" style="4"/>
    <col min="7421" max="7421" width="28.85546875" style="4" customWidth="1"/>
    <col min="7422" max="7422" width="11" style="4" customWidth="1"/>
    <col min="7423" max="7423" width="18.7109375" style="4" customWidth="1"/>
    <col min="7424" max="7424" width="20.85546875" style="4" customWidth="1"/>
    <col min="7425" max="7425" width="0" style="4" hidden="1" customWidth="1"/>
    <col min="7426" max="7426" width="17" style="4" customWidth="1"/>
    <col min="7427" max="7427" width="15.7109375" style="4" customWidth="1"/>
    <col min="7428" max="7428" width="6.85546875" style="4" customWidth="1"/>
    <col min="7429" max="7430" width="15.28515625" style="4" customWidth="1"/>
    <col min="7431" max="7431" width="18.42578125" style="4" customWidth="1"/>
    <col min="7432" max="7432" width="0" style="4" hidden="1" customWidth="1"/>
    <col min="7433" max="7676" width="9.140625" style="4"/>
    <col min="7677" max="7677" width="28.85546875" style="4" customWidth="1"/>
    <col min="7678" max="7678" width="11" style="4" customWidth="1"/>
    <col min="7679" max="7679" width="18.7109375" style="4" customWidth="1"/>
    <col min="7680" max="7680" width="20.85546875" style="4" customWidth="1"/>
    <col min="7681" max="7681" width="0" style="4" hidden="1" customWidth="1"/>
    <col min="7682" max="7682" width="17" style="4" customWidth="1"/>
    <col min="7683" max="7683" width="15.7109375" style="4" customWidth="1"/>
    <col min="7684" max="7684" width="6.85546875" style="4" customWidth="1"/>
    <col min="7685" max="7686" width="15.28515625" style="4" customWidth="1"/>
    <col min="7687" max="7687" width="18.42578125" style="4" customWidth="1"/>
    <col min="7688" max="7688" width="0" style="4" hidden="1" customWidth="1"/>
    <col min="7689" max="7932" width="9.140625" style="4"/>
    <col min="7933" max="7933" width="28.85546875" style="4" customWidth="1"/>
    <col min="7934" max="7934" width="11" style="4" customWidth="1"/>
    <col min="7935" max="7935" width="18.7109375" style="4" customWidth="1"/>
    <col min="7936" max="7936" width="20.85546875" style="4" customWidth="1"/>
    <col min="7937" max="7937" width="0" style="4" hidden="1" customWidth="1"/>
    <col min="7938" max="7938" width="17" style="4" customWidth="1"/>
    <col min="7939" max="7939" width="15.7109375" style="4" customWidth="1"/>
    <col min="7940" max="7940" width="6.85546875" style="4" customWidth="1"/>
    <col min="7941" max="7942" width="15.28515625" style="4" customWidth="1"/>
    <col min="7943" max="7943" width="18.42578125" style="4" customWidth="1"/>
    <col min="7944" max="7944" width="0" style="4" hidden="1" customWidth="1"/>
    <col min="7945" max="8188" width="9.140625" style="4"/>
    <col min="8189" max="8189" width="28.85546875" style="4" customWidth="1"/>
    <col min="8190" max="8190" width="11" style="4" customWidth="1"/>
    <col min="8191" max="8191" width="18.7109375" style="4" customWidth="1"/>
    <col min="8192" max="8192" width="20.85546875" style="4" customWidth="1"/>
    <col min="8193" max="8193" width="0" style="4" hidden="1" customWidth="1"/>
    <col min="8194" max="8194" width="17" style="4" customWidth="1"/>
    <col min="8195" max="8195" width="15.7109375" style="4" customWidth="1"/>
    <col min="8196" max="8196" width="6.85546875" style="4" customWidth="1"/>
    <col min="8197" max="8198" width="15.28515625" style="4" customWidth="1"/>
    <col min="8199" max="8199" width="18.42578125" style="4" customWidth="1"/>
    <col min="8200" max="8200" width="0" style="4" hidden="1" customWidth="1"/>
    <col min="8201" max="8444" width="9.140625" style="4"/>
    <col min="8445" max="8445" width="28.85546875" style="4" customWidth="1"/>
    <col min="8446" max="8446" width="11" style="4" customWidth="1"/>
    <col min="8447" max="8447" width="18.7109375" style="4" customWidth="1"/>
    <col min="8448" max="8448" width="20.85546875" style="4" customWidth="1"/>
    <col min="8449" max="8449" width="0" style="4" hidden="1" customWidth="1"/>
    <col min="8450" max="8450" width="17" style="4" customWidth="1"/>
    <col min="8451" max="8451" width="15.7109375" style="4" customWidth="1"/>
    <col min="8452" max="8452" width="6.85546875" style="4" customWidth="1"/>
    <col min="8453" max="8454" width="15.28515625" style="4" customWidth="1"/>
    <col min="8455" max="8455" width="18.42578125" style="4" customWidth="1"/>
    <col min="8456" max="8456" width="0" style="4" hidden="1" customWidth="1"/>
    <col min="8457" max="8700" width="9.140625" style="4"/>
    <col min="8701" max="8701" width="28.85546875" style="4" customWidth="1"/>
    <col min="8702" max="8702" width="11" style="4" customWidth="1"/>
    <col min="8703" max="8703" width="18.7109375" style="4" customWidth="1"/>
    <col min="8704" max="8704" width="20.85546875" style="4" customWidth="1"/>
    <col min="8705" max="8705" width="0" style="4" hidden="1" customWidth="1"/>
    <col min="8706" max="8706" width="17" style="4" customWidth="1"/>
    <col min="8707" max="8707" width="15.7109375" style="4" customWidth="1"/>
    <col min="8708" max="8708" width="6.85546875" style="4" customWidth="1"/>
    <col min="8709" max="8710" width="15.28515625" style="4" customWidth="1"/>
    <col min="8711" max="8711" width="18.42578125" style="4" customWidth="1"/>
    <col min="8712" max="8712" width="0" style="4" hidden="1" customWidth="1"/>
    <col min="8713" max="8956" width="9.140625" style="4"/>
    <col min="8957" max="8957" width="28.85546875" style="4" customWidth="1"/>
    <col min="8958" max="8958" width="11" style="4" customWidth="1"/>
    <col min="8959" max="8959" width="18.7109375" style="4" customWidth="1"/>
    <col min="8960" max="8960" width="20.85546875" style="4" customWidth="1"/>
    <col min="8961" max="8961" width="0" style="4" hidden="1" customWidth="1"/>
    <col min="8962" max="8962" width="17" style="4" customWidth="1"/>
    <col min="8963" max="8963" width="15.7109375" style="4" customWidth="1"/>
    <col min="8964" max="8964" width="6.85546875" style="4" customWidth="1"/>
    <col min="8965" max="8966" width="15.28515625" style="4" customWidth="1"/>
    <col min="8967" max="8967" width="18.42578125" style="4" customWidth="1"/>
    <col min="8968" max="8968" width="0" style="4" hidden="1" customWidth="1"/>
    <col min="8969" max="9212" width="9.140625" style="4"/>
    <col min="9213" max="9213" width="28.85546875" style="4" customWidth="1"/>
    <col min="9214" max="9214" width="11" style="4" customWidth="1"/>
    <col min="9215" max="9215" width="18.7109375" style="4" customWidth="1"/>
    <col min="9216" max="9216" width="20.85546875" style="4" customWidth="1"/>
    <col min="9217" max="9217" width="0" style="4" hidden="1" customWidth="1"/>
    <col min="9218" max="9218" width="17" style="4" customWidth="1"/>
    <col min="9219" max="9219" width="15.7109375" style="4" customWidth="1"/>
    <col min="9220" max="9220" width="6.85546875" style="4" customWidth="1"/>
    <col min="9221" max="9222" width="15.28515625" style="4" customWidth="1"/>
    <col min="9223" max="9223" width="18.42578125" style="4" customWidth="1"/>
    <col min="9224" max="9224" width="0" style="4" hidden="1" customWidth="1"/>
    <col min="9225" max="9468" width="9.140625" style="4"/>
    <col min="9469" max="9469" width="28.85546875" style="4" customWidth="1"/>
    <col min="9470" max="9470" width="11" style="4" customWidth="1"/>
    <col min="9471" max="9471" width="18.7109375" style="4" customWidth="1"/>
    <col min="9472" max="9472" width="20.85546875" style="4" customWidth="1"/>
    <col min="9473" max="9473" width="0" style="4" hidden="1" customWidth="1"/>
    <col min="9474" max="9474" width="17" style="4" customWidth="1"/>
    <col min="9475" max="9475" width="15.7109375" style="4" customWidth="1"/>
    <col min="9476" max="9476" width="6.85546875" style="4" customWidth="1"/>
    <col min="9477" max="9478" width="15.28515625" style="4" customWidth="1"/>
    <col min="9479" max="9479" width="18.42578125" style="4" customWidth="1"/>
    <col min="9480" max="9480" width="0" style="4" hidden="1" customWidth="1"/>
    <col min="9481" max="9724" width="9.140625" style="4"/>
    <col min="9725" max="9725" width="28.85546875" style="4" customWidth="1"/>
    <col min="9726" max="9726" width="11" style="4" customWidth="1"/>
    <col min="9727" max="9727" width="18.7109375" style="4" customWidth="1"/>
    <col min="9728" max="9728" width="20.85546875" style="4" customWidth="1"/>
    <col min="9729" max="9729" width="0" style="4" hidden="1" customWidth="1"/>
    <col min="9730" max="9730" width="17" style="4" customWidth="1"/>
    <col min="9731" max="9731" width="15.7109375" style="4" customWidth="1"/>
    <col min="9732" max="9732" width="6.85546875" style="4" customWidth="1"/>
    <col min="9733" max="9734" width="15.28515625" style="4" customWidth="1"/>
    <col min="9735" max="9735" width="18.42578125" style="4" customWidth="1"/>
    <col min="9736" max="9736" width="0" style="4" hidden="1" customWidth="1"/>
    <col min="9737" max="9980" width="9.140625" style="4"/>
    <col min="9981" max="9981" width="28.85546875" style="4" customWidth="1"/>
    <col min="9982" max="9982" width="11" style="4" customWidth="1"/>
    <col min="9983" max="9983" width="18.7109375" style="4" customWidth="1"/>
    <col min="9984" max="9984" width="20.85546875" style="4" customWidth="1"/>
    <col min="9985" max="9985" width="0" style="4" hidden="1" customWidth="1"/>
    <col min="9986" max="9986" width="17" style="4" customWidth="1"/>
    <col min="9987" max="9987" width="15.7109375" style="4" customWidth="1"/>
    <col min="9988" max="9988" width="6.85546875" style="4" customWidth="1"/>
    <col min="9989" max="9990" width="15.28515625" style="4" customWidth="1"/>
    <col min="9991" max="9991" width="18.42578125" style="4" customWidth="1"/>
    <col min="9992" max="9992" width="0" style="4" hidden="1" customWidth="1"/>
    <col min="9993" max="10236" width="9.140625" style="4"/>
    <col min="10237" max="10237" width="28.85546875" style="4" customWidth="1"/>
    <col min="10238" max="10238" width="11" style="4" customWidth="1"/>
    <col min="10239" max="10239" width="18.7109375" style="4" customWidth="1"/>
    <col min="10240" max="10240" width="20.85546875" style="4" customWidth="1"/>
    <col min="10241" max="10241" width="0" style="4" hidden="1" customWidth="1"/>
    <col min="10242" max="10242" width="17" style="4" customWidth="1"/>
    <col min="10243" max="10243" width="15.7109375" style="4" customWidth="1"/>
    <col min="10244" max="10244" width="6.85546875" style="4" customWidth="1"/>
    <col min="10245" max="10246" width="15.28515625" style="4" customWidth="1"/>
    <col min="10247" max="10247" width="18.42578125" style="4" customWidth="1"/>
    <col min="10248" max="10248" width="0" style="4" hidden="1" customWidth="1"/>
    <col min="10249" max="10492" width="9.140625" style="4"/>
    <col min="10493" max="10493" width="28.85546875" style="4" customWidth="1"/>
    <col min="10494" max="10494" width="11" style="4" customWidth="1"/>
    <col min="10495" max="10495" width="18.7109375" style="4" customWidth="1"/>
    <col min="10496" max="10496" width="20.85546875" style="4" customWidth="1"/>
    <col min="10497" max="10497" width="0" style="4" hidden="1" customWidth="1"/>
    <col min="10498" max="10498" width="17" style="4" customWidth="1"/>
    <col min="10499" max="10499" width="15.7109375" style="4" customWidth="1"/>
    <col min="10500" max="10500" width="6.85546875" style="4" customWidth="1"/>
    <col min="10501" max="10502" width="15.28515625" style="4" customWidth="1"/>
    <col min="10503" max="10503" width="18.42578125" style="4" customWidth="1"/>
    <col min="10504" max="10504" width="0" style="4" hidden="1" customWidth="1"/>
    <col min="10505" max="10748" width="9.140625" style="4"/>
    <col min="10749" max="10749" width="28.85546875" style="4" customWidth="1"/>
    <col min="10750" max="10750" width="11" style="4" customWidth="1"/>
    <col min="10751" max="10751" width="18.7109375" style="4" customWidth="1"/>
    <col min="10752" max="10752" width="20.85546875" style="4" customWidth="1"/>
    <col min="10753" max="10753" width="0" style="4" hidden="1" customWidth="1"/>
    <col min="10754" max="10754" width="17" style="4" customWidth="1"/>
    <col min="10755" max="10755" width="15.7109375" style="4" customWidth="1"/>
    <col min="10756" max="10756" width="6.85546875" style="4" customWidth="1"/>
    <col min="10757" max="10758" width="15.28515625" style="4" customWidth="1"/>
    <col min="10759" max="10759" width="18.42578125" style="4" customWidth="1"/>
    <col min="10760" max="10760" width="0" style="4" hidden="1" customWidth="1"/>
    <col min="10761" max="11004" width="9.140625" style="4"/>
    <col min="11005" max="11005" width="28.85546875" style="4" customWidth="1"/>
    <col min="11006" max="11006" width="11" style="4" customWidth="1"/>
    <col min="11007" max="11007" width="18.7109375" style="4" customWidth="1"/>
    <col min="11008" max="11008" width="20.85546875" style="4" customWidth="1"/>
    <col min="11009" max="11009" width="0" style="4" hidden="1" customWidth="1"/>
    <col min="11010" max="11010" width="17" style="4" customWidth="1"/>
    <col min="11011" max="11011" width="15.7109375" style="4" customWidth="1"/>
    <col min="11012" max="11012" width="6.85546875" style="4" customWidth="1"/>
    <col min="11013" max="11014" width="15.28515625" style="4" customWidth="1"/>
    <col min="11015" max="11015" width="18.42578125" style="4" customWidth="1"/>
    <col min="11016" max="11016" width="0" style="4" hidden="1" customWidth="1"/>
    <col min="11017" max="11260" width="9.140625" style="4"/>
    <col min="11261" max="11261" width="28.85546875" style="4" customWidth="1"/>
    <col min="11262" max="11262" width="11" style="4" customWidth="1"/>
    <col min="11263" max="11263" width="18.7109375" style="4" customWidth="1"/>
    <col min="11264" max="11264" width="20.85546875" style="4" customWidth="1"/>
    <col min="11265" max="11265" width="0" style="4" hidden="1" customWidth="1"/>
    <col min="11266" max="11266" width="17" style="4" customWidth="1"/>
    <col min="11267" max="11267" width="15.7109375" style="4" customWidth="1"/>
    <col min="11268" max="11268" width="6.85546875" style="4" customWidth="1"/>
    <col min="11269" max="11270" width="15.28515625" style="4" customWidth="1"/>
    <col min="11271" max="11271" width="18.42578125" style="4" customWidth="1"/>
    <col min="11272" max="11272" width="0" style="4" hidden="1" customWidth="1"/>
    <col min="11273" max="11516" width="9.140625" style="4"/>
    <col min="11517" max="11517" width="28.85546875" style="4" customWidth="1"/>
    <col min="11518" max="11518" width="11" style="4" customWidth="1"/>
    <col min="11519" max="11519" width="18.7109375" style="4" customWidth="1"/>
    <col min="11520" max="11520" width="20.85546875" style="4" customWidth="1"/>
    <col min="11521" max="11521" width="0" style="4" hidden="1" customWidth="1"/>
    <col min="11522" max="11522" width="17" style="4" customWidth="1"/>
    <col min="11523" max="11523" width="15.7109375" style="4" customWidth="1"/>
    <col min="11524" max="11524" width="6.85546875" style="4" customWidth="1"/>
    <col min="11525" max="11526" width="15.28515625" style="4" customWidth="1"/>
    <col min="11527" max="11527" width="18.42578125" style="4" customWidth="1"/>
    <col min="11528" max="11528" width="0" style="4" hidden="1" customWidth="1"/>
    <col min="11529" max="11772" width="9.140625" style="4"/>
    <col min="11773" max="11773" width="28.85546875" style="4" customWidth="1"/>
    <col min="11774" max="11774" width="11" style="4" customWidth="1"/>
    <col min="11775" max="11775" width="18.7109375" style="4" customWidth="1"/>
    <col min="11776" max="11776" width="20.85546875" style="4" customWidth="1"/>
    <col min="11777" max="11777" width="0" style="4" hidden="1" customWidth="1"/>
    <col min="11778" max="11778" width="17" style="4" customWidth="1"/>
    <col min="11779" max="11779" width="15.7109375" style="4" customWidth="1"/>
    <col min="11780" max="11780" width="6.85546875" style="4" customWidth="1"/>
    <col min="11781" max="11782" width="15.28515625" style="4" customWidth="1"/>
    <col min="11783" max="11783" width="18.42578125" style="4" customWidth="1"/>
    <col min="11784" max="11784" width="0" style="4" hidden="1" customWidth="1"/>
    <col min="11785" max="12028" width="9.140625" style="4"/>
    <col min="12029" max="12029" width="28.85546875" style="4" customWidth="1"/>
    <col min="12030" max="12030" width="11" style="4" customWidth="1"/>
    <col min="12031" max="12031" width="18.7109375" style="4" customWidth="1"/>
    <col min="12032" max="12032" width="20.85546875" style="4" customWidth="1"/>
    <col min="12033" max="12033" width="0" style="4" hidden="1" customWidth="1"/>
    <col min="12034" max="12034" width="17" style="4" customWidth="1"/>
    <col min="12035" max="12035" width="15.7109375" style="4" customWidth="1"/>
    <col min="12036" max="12036" width="6.85546875" style="4" customWidth="1"/>
    <col min="12037" max="12038" width="15.28515625" style="4" customWidth="1"/>
    <col min="12039" max="12039" width="18.42578125" style="4" customWidth="1"/>
    <col min="12040" max="12040" width="0" style="4" hidden="1" customWidth="1"/>
    <col min="12041" max="12284" width="9.140625" style="4"/>
    <col min="12285" max="12285" width="28.85546875" style="4" customWidth="1"/>
    <col min="12286" max="12286" width="11" style="4" customWidth="1"/>
    <col min="12287" max="12287" width="18.7109375" style="4" customWidth="1"/>
    <col min="12288" max="12288" width="20.85546875" style="4" customWidth="1"/>
    <col min="12289" max="12289" width="0" style="4" hidden="1" customWidth="1"/>
    <col min="12290" max="12290" width="17" style="4" customWidth="1"/>
    <col min="12291" max="12291" width="15.7109375" style="4" customWidth="1"/>
    <col min="12292" max="12292" width="6.85546875" style="4" customWidth="1"/>
    <col min="12293" max="12294" width="15.28515625" style="4" customWidth="1"/>
    <col min="12295" max="12295" width="18.42578125" style="4" customWidth="1"/>
    <col min="12296" max="12296" width="0" style="4" hidden="1" customWidth="1"/>
    <col min="12297" max="12540" width="9.140625" style="4"/>
    <col min="12541" max="12541" width="28.85546875" style="4" customWidth="1"/>
    <col min="12542" max="12542" width="11" style="4" customWidth="1"/>
    <col min="12543" max="12543" width="18.7109375" style="4" customWidth="1"/>
    <col min="12544" max="12544" width="20.85546875" style="4" customWidth="1"/>
    <col min="12545" max="12545" width="0" style="4" hidden="1" customWidth="1"/>
    <col min="12546" max="12546" width="17" style="4" customWidth="1"/>
    <col min="12547" max="12547" width="15.7109375" style="4" customWidth="1"/>
    <col min="12548" max="12548" width="6.85546875" style="4" customWidth="1"/>
    <col min="12549" max="12550" width="15.28515625" style="4" customWidth="1"/>
    <col min="12551" max="12551" width="18.42578125" style="4" customWidth="1"/>
    <col min="12552" max="12552" width="0" style="4" hidden="1" customWidth="1"/>
    <col min="12553" max="12796" width="9.140625" style="4"/>
    <col min="12797" max="12797" width="28.85546875" style="4" customWidth="1"/>
    <col min="12798" max="12798" width="11" style="4" customWidth="1"/>
    <col min="12799" max="12799" width="18.7109375" style="4" customWidth="1"/>
    <col min="12800" max="12800" width="20.85546875" style="4" customWidth="1"/>
    <col min="12801" max="12801" width="0" style="4" hidden="1" customWidth="1"/>
    <col min="12802" max="12802" width="17" style="4" customWidth="1"/>
    <col min="12803" max="12803" width="15.7109375" style="4" customWidth="1"/>
    <col min="12804" max="12804" width="6.85546875" style="4" customWidth="1"/>
    <col min="12805" max="12806" width="15.28515625" style="4" customWidth="1"/>
    <col min="12807" max="12807" width="18.42578125" style="4" customWidth="1"/>
    <col min="12808" max="12808" width="0" style="4" hidden="1" customWidth="1"/>
    <col min="12809" max="13052" width="9.140625" style="4"/>
    <col min="13053" max="13053" width="28.85546875" style="4" customWidth="1"/>
    <col min="13054" max="13054" width="11" style="4" customWidth="1"/>
    <col min="13055" max="13055" width="18.7109375" style="4" customWidth="1"/>
    <col min="13056" max="13056" width="20.85546875" style="4" customWidth="1"/>
    <col min="13057" max="13057" width="0" style="4" hidden="1" customWidth="1"/>
    <col min="13058" max="13058" width="17" style="4" customWidth="1"/>
    <col min="13059" max="13059" width="15.7109375" style="4" customWidth="1"/>
    <col min="13060" max="13060" width="6.85546875" style="4" customWidth="1"/>
    <col min="13061" max="13062" width="15.28515625" style="4" customWidth="1"/>
    <col min="13063" max="13063" width="18.42578125" style="4" customWidth="1"/>
    <col min="13064" max="13064" width="0" style="4" hidden="1" customWidth="1"/>
    <col min="13065" max="13308" width="9.140625" style="4"/>
    <col min="13309" max="13309" width="28.85546875" style="4" customWidth="1"/>
    <col min="13310" max="13310" width="11" style="4" customWidth="1"/>
    <col min="13311" max="13311" width="18.7109375" style="4" customWidth="1"/>
    <col min="13312" max="13312" width="20.85546875" style="4" customWidth="1"/>
    <col min="13313" max="13313" width="0" style="4" hidden="1" customWidth="1"/>
    <col min="13314" max="13314" width="17" style="4" customWidth="1"/>
    <col min="13315" max="13315" width="15.7109375" style="4" customWidth="1"/>
    <col min="13316" max="13316" width="6.85546875" style="4" customWidth="1"/>
    <col min="13317" max="13318" width="15.28515625" style="4" customWidth="1"/>
    <col min="13319" max="13319" width="18.42578125" style="4" customWidth="1"/>
    <col min="13320" max="13320" width="0" style="4" hidden="1" customWidth="1"/>
    <col min="13321" max="13564" width="9.140625" style="4"/>
    <col min="13565" max="13565" width="28.85546875" style="4" customWidth="1"/>
    <col min="13566" max="13566" width="11" style="4" customWidth="1"/>
    <col min="13567" max="13567" width="18.7109375" style="4" customWidth="1"/>
    <col min="13568" max="13568" width="20.85546875" style="4" customWidth="1"/>
    <col min="13569" max="13569" width="0" style="4" hidden="1" customWidth="1"/>
    <col min="13570" max="13570" width="17" style="4" customWidth="1"/>
    <col min="13571" max="13571" width="15.7109375" style="4" customWidth="1"/>
    <col min="13572" max="13572" width="6.85546875" style="4" customWidth="1"/>
    <col min="13573" max="13574" width="15.28515625" style="4" customWidth="1"/>
    <col min="13575" max="13575" width="18.42578125" style="4" customWidth="1"/>
    <col min="13576" max="13576" width="0" style="4" hidden="1" customWidth="1"/>
    <col min="13577" max="13820" width="9.140625" style="4"/>
    <col min="13821" max="13821" width="28.85546875" style="4" customWidth="1"/>
    <col min="13822" max="13822" width="11" style="4" customWidth="1"/>
    <col min="13823" max="13823" width="18.7109375" style="4" customWidth="1"/>
    <col min="13824" max="13824" width="20.85546875" style="4" customWidth="1"/>
    <col min="13825" max="13825" width="0" style="4" hidden="1" customWidth="1"/>
    <col min="13826" max="13826" width="17" style="4" customWidth="1"/>
    <col min="13827" max="13827" width="15.7109375" style="4" customWidth="1"/>
    <col min="13828" max="13828" width="6.85546875" style="4" customWidth="1"/>
    <col min="13829" max="13830" width="15.28515625" style="4" customWidth="1"/>
    <col min="13831" max="13831" width="18.42578125" style="4" customWidth="1"/>
    <col min="13832" max="13832" width="0" style="4" hidden="1" customWidth="1"/>
    <col min="13833" max="14076" width="9.140625" style="4"/>
    <col min="14077" max="14077" width="28.85546875" style="4" customWidth="1"/>
    <col min="14078" max="14078" width="11" style="4" customWidth="1"/>
    <col min="14079" max="14079" width="18.7109375" style="4" customWidth="1"/>
    <col min="14080" max="14080" width="20.85546875" style="4" customWidth="1"/>
    <col min="14081" max="14081" width="0" style="4" hidden="1" customWidth="1"/>
    <col min="14082" max="14082" width="17" style="4" customWidth="1"/>
    <col min="14083" max="14083" width="15.7109375" style="4" customWidth="1"/>
    <col min="14084" max="14084" width="6.85546875" style="4" customWidth="1"/>
    <col min="14085" max="14086" width="15.28515625" style="4" customWidth="1"/>
    <col min="14087" max="14087" width="18.42578125" style="4" customWidth="1"/>
    <col min="14088" max="14088" width="0" style="4" hidden="1" customWidth="1"/>
    <col min="14089" max="14332" width="9.140625" style="4"/>
    <col min="14333" max="14333" width="28.85546875" style="4" customWidth="1"/>
    <col min="14334" max="14334" width="11" style="4" customWidth="1"/>
    <col min="14335" max="14335" width="18.7109375" style="4" customWidth="1"/>
    <col min="14336" max="14336" width="20.85546875" style="4" customWidth="1"/>
    <col min="14337" max="14337" width="0" style="4" hidden="1" customWidth="1"/>
    <col min="14338" max="14338" width="17" style="4" customWidth="1"/>
    <col min="14339" max="14339" width="15.7109375" style="4" customWidth="1"/>
    <col min="14340" max="14340" width="6.85546875" style="4" customWidth="1"/>
    <col min="14341" max="14342" width="15.28515625" style="4" customWidth="1"/>
    <col min="14343" max="14343" width="18.42578125" style="4" customWidth="1"/>
    <col min="14344" max="14344" width="0" style="4" hidden="1" customWidth="1"/>
    <col min="14345" max="14588" width="9.140625" style="4"/>
    <col min="14589" max="14589" width="28.85546875" style="4" customWidth="1"/>
    <col min="14590" max="14590" width="11" style="4" customWidth="1"/>
    <col min="14591" max="14591" width="18.7109375" style="4" customWidth="1"/>
    <col min="14592" max="14592" width="20.85546875" style="4" customWidth="1"/>
    <col min="14593" max="14593" width="0" style="4" hidden="1" customWidth="1"/>
    <col min="14594" max="14594" width="17" style="4" customWidth="1"/>
    <col min="14595" max="14595" width="15.7109375" style="4" customWidth="1"/>
    <col min="14596" max="14596" width="6.85546875" style="4" customWidth="1"/>
    <col min="14597" max="14598" width="15.28515625" style="4" customWidth="1"/>
    <col min="14599" max="14599" width="18.42578125" style="4" customWidth="1"/>
    <col min="14600" max="14600" width="0" style="4" hidden="1" customWidth="1"/>
    <col min="14601" max="14844" width="9.140625" style="4"/>
    <col min="14845" max="14845" width="28.85546875" style="4" customWidth="1"/>
    <col min="14846" max="14846" width="11" style="4" customWidth="1"/>
    <col min="14847" max="14847" width="18.7109375" style="4" customWidth="1"/>
    <col min="14848" max="14848" width="20.85546875" style="4" customWidth="1"/>
    <col min="14849" max="14849" width="0" style="4" hidden="1" customWidth="1"/>
    <col min="14850" max="14850" width="17" style="4" customWidth="1"/>
    <col min="14851" max="14851" width="15.7109375" style="4" customWidth="1"/>
    <col min="14852" max="14852" width="6.85546875" style="4" customWidth="1"/>
    <col min="14853" max="14854" width="15.28515625" style="4" customWidth="1"/>
    <col min="14855" max="14855" width="18.42578125" style="4" customWidth="1"/>
    <col min="14856" max="14856" width="0" style="4" hidden="1" customWidth="1"/>
    <col min="14857" max="15100" width="9.140625" style="4"/>
    <col min="15101" max="15101" width="28.85546875" style="4" customWidth="1"/>
    <col min="15102" max="15102" width="11" style="4" customWidth="1"/>
    <col min="15103" max="15103" width="18.7109375" style="4" customWidth="1"/>
    <col min="15104" max="15104" width="20.85546875" style="4" customWidth="1"/>
    <col min="15105" max="15105" width="0" style="4" hidden="1" customWidth="1"/>
    <col min="15106" max="15106" width="17" style="4" customWidth="1"/>
    <col min="15107" max="15107" width="15.7109375" style="4" customWidth="1"/>
    <col min="15108" max="15108" width="6.85546875" style="4" customWidth="1"/>
    <col min="15109" max="15110" width="15.28515625" style="4" customWidth="1"/>
    <col min="15111" max="15111" width="18.42578125" style="4" customWidth="1"/>
    <col min="15112" max="15112" width="0" style="4" hidden="1" customWidth="1"/>
    <col min="15113" max="15356" width="9.140625" style="4"/>
    <col min="15357" max="15357" width="28.85546875" style="4" customWidth="1"/>
    <col min="15358" max="15358" width="11" style="4" customWidth="1"/>
    <col min="15359" max="15359" width="18.7109375" style="4" customWidth="1"/>
    <col min="15360" max="15360" width="20.85546875" style="4" customWidth="1"/>
    <col min="15361" max="15361" width="0" style="4" hidden="1" customWidth="1"/>
    <col min="15362" max="15362" width="17" style="4" customWidth="1"/>
    <col min="15363" max="15363" width="15.7109375" style="4" customWidth="1"/>
    <col min="15364" max="15364" width="6.85546875" style="4" customWidth="1"/>
    <col min="15365" max="15366" width="15.28515625" style="4" customWidth="1"/>
    <col min="15367" max="15367" width="18.42578125" style="4" customWidth="1"/>
    <col min="15368" max="15368" width="0" style="4" hidden="1" customWidth="1"/>
    <col min="15369" max="15612" width="9.140625" style="4"/>
    <col min="15613" max="15613" width="28.85546875" style="4" customWidth="1"/>
    <col min="15614" max="15614" width="11" style="4" customWidth="1"/>
    <col min="15615" max="15615" width="18.7109375" style="4" customWidth="1"/>
    <col min="15616" max="15616" width="20.85546875" style="4" customWidth="1"/>
    <col min="15617" max="15617" width="0" style="4" hidden="1" customWidth="1"/>
    <col min="15618" max="15618" width="17" style="4" customWidth="1"/>
    <col min="15619" max="15619" width="15.7109375" style="4" customWidth="1"/>
    <col min="15620" max="15620" width="6.85546875" style="4" customWidth="1"/>
    <col min="15621" max="15622" width="15.28515625" style="4" customWidth="1"/>
    <col min="15623" max="15623" width="18.42578125" style="4" customWidth="1"/>
    <col min="15624" max="15624" width="0" style="4" hidden="1" customWidth="1"/>
    <col min="15625" max="15868" width="9.140625" style="4"/>
    <col min="15869" max="15869" width="28.85546875" style="4" customWidth="1"/>
    <col min="15870" max="15870" width="11" style="4" customWidth="1"/>
    <col min="15871" max="15871" width="18.7109375" style="4" customWidth="1"/>
    <col min="15872" max="15872" width="20.85546875" style="4" customWidth="1"/>
    <col min="15873" max="15873" width="0" style="4" hidden="1" customWidth="1"/>
    <col min="15874" max="15874" width="17" style="4" customWidth="1"/>
    <col min="15875" max="15875" width="15.7109375" style="4" customWidth="1"/>
    <col min="15876" max="15876" width="6.85546875" style="4" customWidth="1"/>
    <col min="15877" max="15878" width="15.28515625" style="4" customWidth="1"/>
    <col min="15879" max="15879" width="18.42578125" style="4" customWidth="1"/>
    <col min="15880" max="15880" width="0" style="4" hidden="1" customWidth="1"/>
    <col min="15881" max="16124" width="9.140625" style="4"/>
    <col min="16125" max="16125" width="28.85546875" style="4" customWidth="1"/>
    <col min="16126" max="16126" width="11" style="4" customWidth="1"/>
    <col min="16127" max="16127" width="18.7109375" style="4" customWidth="1"/>
    <col min="16128" max="16128" width="20.85546875" style="4" customWidth="1"/>
    <col min="16129" max="16129" width="0" style="4" hidden="1" customWidth="1"/>
    <col min="16130" max="16130" width="17" style="4" customWidth="1"/>
    <col min="16131" max="16131" width="15.7109375" style="4" customWidth="1"/>
    <col min="16132" max="16132" width="6.85546875" style="4" customWidth="1"/>
    <col min="16133" max="16134" width="15.28515625" style="4" customWidth="1"/>
    <col min="16135" max="16135" width="18.42578125" style="4" customWidth="1"/>
    <col min="16136" max="16136" width="0" style="4" hidden="1" customWidth="1"/>
    <col min="16137" max="16384" width="9.140625" style="4"/>
  </cols>
  <sheetData>
    <row r="1" spans="1:12" s="1" customFormat="1" x14ac:dyDescent="0.25">
      <c r="A1" s="1" t="s">
        <v>31</v>
      </c>
      <c r="B1" s="2"/>
      <c r="C1" s="3"/>
      <c r="E1" s="2"/>
      <c r="F1" s="3"/>
      <c r="I1" s="27"/>
      <c r="K1" s="27"/>
    </row>
    <row r="2" spans="1:12" s="1" customFormat="1" x14ac:dyDescent="0.25">
      <c r="A2" s="1" t="s">
        <v>41</v>
      </c>
      <c r="B2" s="2"/>
      <c r="C2" s="3"/>
      <c r="D2" s="77"/>
      <c r="E2" s="77"/>
      <c r="F2" s="3"/>
      <c r="I2" s="27"/>
      <c r="K2" s="27"/>
    </row>
    <row r="4" spans="1:12" s="7" customFormat="1" ht="20.25" x14ac:dyDescent="0.3">
      <c r="A4" s="78" t="s">
        <v>42</v>
      </c>
      <c r="B4" s="78"/>
      <c r="C4" s="78"/>
      <c r="D4" s="78"/>
      <c r="E4" s="78"/>
      <c r="F4" s="78"/>
      <c r="G4" s="78"/>
      <c r="H4" s="78"/>
      <c r="I4" s="28"/>
      <c r="K4" s="28"/>
    </row>
    <row r="6" spans="1:12" s="11" customFormat="1" x14ac:dyDescent="0.25">
      <c r="A6" s="8" t="s">
        <v>1</v>
      </c>
      <c r="B6" s="9" t="s">
        <v>2</v>
      </c>
      <c r="C6" s="10" t="s">
        <v>0</v>
      </c>
      <c r="D6" s="8" t="s">
        <v>3</v>
      </c>
      <c r="E6" s="9" t="s">
        <v>4</v>
      </c>
      <c r="F6" s="10" t="s">
        <v>5</v>
      </c>
      <c r="G6" s="8" t="s">
        <v>6</v>
      </c>
      <c r="H6" s="8" t="s">
        <v>22</v>
      </c>
      <c r="I6" s="29" t="s">
        <v>21</v>
      </c>
      <c r="J6" s="8" t="s">
        <v>23</v>
      </c>
      <c r="K6" s="71" t="s">
        <v>29</v>
      </c>
      <c r="L6" s="11" t="s">
        <v>30</v>
      </c>
    </row>
    <row r="7" spans="1:12" s="1" customFormat="1" x14ac:dyDescent="0.25">
      <c r="A7" s="12" t="s">
        <v>7</v>
      </c>
      <c r="B7" s="13">
        <f>C7/C18</f>
        <v>0</v>
      </c>
      <c r="C7" s="14">
        <f>+C8+C9</f>
        <v>0</v>
      </c>
      <c r="D7" s="15">
        <f>+B7*D18</f>
        <v>0</v>
      </c>
      <c r="E7" s="16">
        <v>0.2</v>
      </c>
      <c r="F7" s="14">
        <f>+E7*D7</f>
        <v>0</v>
      </c>
      <c r="G7" s="17">
        <v>0</v>
      </c>
      <c r="H7" s="15">
        <f>+F7-G7</f>
        <v>0</v>
      </c>
      <c r="I7" s="30">
        <f>+H7*0.3</f>
        <v>0</v>
      </c>
      <c r="J7" s="31">
        <f>+H7-I7</f>
        <v>0</v>
      </c>
      <c r="K7" s="27"/>
    </row>
    <row r="8" spans="1:12" x14ac:dyDescent="0.25">
      <c r="A8" s="18">
        <v>5112</v>
      </c>
      <c r="B8" s="19"/>
      <c r="C8" s="20"/>
      <c r="D8" s="18"/>
      <c r="E8" s="21"/>
      <c r="F8" s="20"/>
      <c r="G8" s="18"/>
      <c r="H8" s="18"/>
      <c r="I8" s="30">
        <f t="shared" ref="I8:I17" si="0">+H8*0.3</f>
        <v>0</v>
      </c>
      <c r="J8" s="31">
        <f t="shared" ref="J8:J17" si="1">+H8-I8</f>
        <v>0</v>
      </c>
    </row>
    <row r="9" spans="1:12" x14ac:dyDescent="0.25">
      <c r="A9" s="18">
        <v>5113</v>
      </c>
      <c r="B9" s="19"/>
      <c r="C9" s="20">
        <v>0</v>
      </c>
      <c r="D9" s="18"/>
      <c r="E9" s="21"/>
      <c r="F9" s="20"/>
      <c r="G9" s="18"/>
      <c r="H9" s="18"/>
      <c r="I9" s="30"/>
      <c r="J9" s="31"/>
    </row>
    <row r="10" spans="1:12" s="1" customFormat="1" x14ac:dyDescent="0.25">
      <c r="A10" s="22" t="s">
        <v>8</v>
      </c>
      <c r="B10" s="13">
        <f>C10/C18</f>
        <v>0.37415032555728583</v>
      </c>
      <c r="C10" s="14">
        <f>+C11+C12</f>
        <v>648035295</v>
      </c>
      <c r="D10" s="15">
        <f>+B10*D18</f>
        <v>297327207.68207502</v>
      </c>
      <c r="E10" s="16">
        <v>0.17</v>
      </c>
      <c r="F10" s="14">
        <f>D10*E10</f>
        <v>50545625.305952758</v>
      </c>
      <c r="G10" s="15">
        <f>F10/2</f>
        <v>25272812.652976379</v>
      </c>
      <c r="H10" s="15">
        <f>+F10-G10</f>
        <v>25272812.652976379</v>
      </c>
      <c r="I10" s="30">
        <v>0</v>
      </c>
      <c r="J10" s="31">
        <f t="shared" si="1"/>
        <v>25272812.652976379</v>
      </c>
      <c r="K10" s="27"/>
    </row>
    <row r="11" spans="1:12" x14ac:dyDescent="0.25">
      <c r="A11" s="18">
        <v>5112</v>
      </c>
      <c r="B11" s="19"/>
      <c r="C11" s="20">
        <f>'BANG KE DOANH THU CT2024'!C31</f>
        <v>648035295</v>
      </c>
      <c r="D11" s="18"/>
      <c r="E11" s="21"/>
      <c r="F11" s="20"/>
      <c r="G11" s="18"/>
      <c r="H11" s="18"/>
      <c r="I11" s="30">
        <f t="shared" si="0"/>
        <v>0</v>
      </c>
      <c r="J11" s="31">
        <f t="shared" si="1"/>
        <v>0</v>
      </c>
    </row>
    <row r="12" spans="1:12" x14ac:dyDescent="0.25">
      <c r="A12" s="18">
        <v>5113</v>
      </c>
      <c r="B12" s="19"/>
      <c r="C12" s="20"/>
      <c r="D12" s="18"/>
      <c r="E12" s="21"/>
      <c r="F12" s="20"/>
      <c r="G12" s="18"/>
      <c r="H12" s="18"/>
      <c r="I12" s="30"/>
      <c r="J12" s="31"/>
    </row>
    <row r="13" spans="1:12" s="1" customFormat="1" x14ac:dyDescent="0.25">
      <c r="A13" s="23" t="s">
        <v>9</v>
      </c>
      <c r="B13" s="13">
        <f>C13/C18</f>
        <v>0.6258625634503534</v>
      </c>
      <c r="C13" s="14">
        <f>+C14+C15+C17+C16</f>
        <v>1084005554</v>
      </c>
      <c r="D13" s="15">
        <f>+B13*D18</f>
        <v>497356157.86587799</v>
      </c>
      <c r="E13" s="16">
        <v>0.1</v>
      </c>
      <c r="F13" s="14">
        <f>+E13*D13</f>
        <v>49735615.786587805</v>
      </c>
      <c r="G13" s="15">
        <f>+F13*0.5</f>
        <v>24867807.893293902</v>
      </c>
      <c r="H13" s="15">
        <f>+F13-G13</f>
        <v>24867807.893293902</v>
      </c>
      <c r="I13" s="30">
        <v>0</v>
      </c>
      <c r="J13" s="31">
        <f>+H13-I13</f>
        <v>24867807.893293902</v>
      </c>
      <c r="K13" s="27"/>
    </row>
    <row r="14" spans="1:12" x14ac:dyDescent="0.25">
      <c r="A14" s="18">
        <v>5111</v>
      </c>
      <c r="B14" s="19"/>
      <c r="C14" s="20">
        <f>'BANG KE DOANH THU CT2024'!C26</f>
        <v>92893519</v>
      </c>
      <c r="D14" s="46"/>
      <c r="E14" s="21"/>
      <c r="F14" s="20"/>
      <c r="G14" s="18"/>
      <c r="H14" s="18"/>
      <c r="I14" s="30">
        <f t="shared" si="0"/>
        <v>0</v>
      </c>
      <c r="J14" s="31">
        <f t="shared" si="1"/>
        <v>0</v>
      </c>
    </row>
    <row r="15" spans="1:12" x14ac:dyDescent="0.25">
      <c r="A15" s="18">
        <v>5112</v>
      </c>
      <c r="B15" s="19"/>
      <c r="C15" s="20">
        <v>991089711</v>
      </c>
      <c r="D15" s="18"/>
      <c r="E15" s="21"/>
      <c r="F15" s="20"/>
      <c r="G15" s="18"/>
      <c r="H15" s="18"/>
      <c r="I15" s="30">
        <f t="shared" si="0"/>
        <v>0</v>
      </c>
      <c r="J15" s="31">
        <f t="shared" si="1"/>
        <v>0</v>
      </c>
    </row>
    <row r="16" spans="1:12" x14ac:dyDescent="0.25">
      <c r="A16" s="18">
        <v>515</v>
      </c>
      <c r="B16" s="19"/>
      <c r="C16" s="20">
        <v>22324</v>
      </c>
      <c r="D16" s="18"/>
      <c r="E16" s="21"/>
      <c r="F16" s="20"/>
      <c r="G16" s="18"/>
      <c r="H16" s="18"/>
      <c r="I16" s="30"/>
      <c r="J16" s="31"/>
    </row>
    <row r="17" spans="1:12" x14ac:dyDescent="0.25">
      <c r="A17" s="18">
        <v>711</v>
      </c>
      <c r="B17" s="19"/>
      <c r="C17" s="20"/>
      <c r="D17" s="18"/>
      <c r="E17" s="21"/>
      <c r="F17" s="20"/>
      <c r="G17" s="18"/>
      <c r="H17" s="18"/>
      <c r="I17" s="30">
        <f t="shared" si="0"/>
        <v>0</v>
      </c>
      <c r="J17" s="31">
        <f t="shared" si="1"/>
        <v>0</v>
      </c>
    </row>
    <row r="18" spans="1:12" s="1" customFormat="1" x14ac:dyDescent="0.25">
      <c r="A18" s="17" t="s">
        <v>10</v>
      </c>
      <c r="B18" s="13"/>
      <c r="C18" s="14">
        <f>'BANG KE DOANH THU CT2024'!C34</f>
        <v>1732018525</v>
      </c>
      <c r="D18" s="45">
        <v>794673123</v>
      </c>
      <c r="E18" s="14"/>
      <c r="F18" s="14">
        <f>F13+F10+F7</f>
        <v>100281241.09254056</v>
      </c>
      <c r="G18" s="14">
        <f>G13+G10+G7</f>
        <v>50140620.546270281</v>
      </c>
      <c r="H18" s="14">
        <f>H13+H10+H7</f>
        <v>50140620.546270281</v>
      </c>
      <c r="I18" s="14">
        <f>I13+I10+I7</f>
        <v>0</v>
      </c>
      <c r="J18" s="14">
        <f>J13+J10+J7</f>
        <v>50140620.546270281</v>
      </c>
      <c r="K18" s="27"/>
      <c r="L18" s="70"/>
    </row>
    <row r="19" spans="1:12" hidden="1" x14ac:dyDescent="0.25">
      <c r="D19" s="24" t="e">
        <f>+C18-#REF!-#REF!-#REF!</f>
        <v>#REF!</v>
      </c>
    </row>
    <row r="20" spans="1:12" hidden="1" x14ac:dyDescent="0.25">
      <c r="C20" s="6">
        <v>10793007946</v>
      </c>
      <c r="D20" s="6">
        <v>720227155</v>
      </c>
      <c r="G20" s="4">
        <v>74441349</v>
      </c>
    </row>
    <row r="21" spans="1:12" hidden="1" x14ac:dyDescent="0.25">
      <c r="C21" s="6">
        <v>454939007</v>
      </c>
      <c r="D21" s="24">
        <f>D20-D18</f>
        <v>-74445968</v>
      </c>
      <c r="G21" s="24">
        <f>+G20-H18</f>
        <v>24300728.453729719</v>
      </c>
    </row>
    <row r="22" spans="1:12" hidden="1" x14ac:dyDescent="0.25">
      <c r="C22" s="6">
        <v>781954</v>
      </c>
      <c r="F22" s="6">
        <v>54680132</v>
      </c>
    </row>
    <row r="23" spans="1:12" hidden="1" x14ac:dyDescent="0.25">
      <c r="C23" s="6">
        <f>+C22+C21+C20</f>
        <v>11248728907</v>
      </c>
      <c r="D23" s="6"/>
      <c r="F23" s="6">
        <f>+F22-F7</f>
        <v>54680132</v>
      </c>
    </row>
    <row r="24" spans="1:12" ht="29.25" customHeight="1" x14ac:dyDescent="0.25">
      <c r="D24" s="24"/>
      <c r="E24" s="25"/>
      <c r="F24" s="81" t="s">
        <v>43</v>
      </c>
      <c r="G24" s="81"/>
      <c r="H24" s="81"/>
    </row>
    <row r="25" spans="1:12" x14ac:dyDescent="0.25">
      <c r="A25" s="79" t="s">
        <v>11</v>
      </c>
      <c r="B25" s="79"/>
      <c r="C25" s="6" t="s">
        <v>13</v>
      </c>
      <c r="D25" s="24">
        <f>+D18*0.2</f>
        <v>158934624.59999999</v>
      </c>
      <c r="F25" s="80" t="s">
        <v>12</v>
      </c>
      <c r="G25" s="80"/>
      <c r="H25" s="80"/>
      <c r="J25" s="26">
        <f>+G18+I18</f>
        <v>50140620.546270281</v>
      </c>
    </row>
    <row r="26" spans="1:12" x14ac:dyDescent="0.25">
      <c r="C26" s="6" t="s">
        <v>14</v>
      </c>
      <c r="D26" s="6">
        <f>+D25-F18</f>
        <v>58653383.507459432</v>
      </c>
    </row>
    <row r="27" spans="1:12" x14ac:dyDescent="0.25">
      <c r="D27" s="6"/>
      <c r="F27" s="6">
        <f>D25-G18</f>
        <v>108794004.05372971</v>
      </c>
    </row>
    <row r="28" spans="1:12" x14ac:dyDescent="0.25">
      <c r="D28" s="6"/>
    </row>
    <row r="29" spans="1:12" x14ac:dyDescent="0.25">
      <c r="D29" s="6"/>
      <c r="F29" s="5"/>
    </row>
    <row r="30" spans="1:12" x14ac:dyDescent="0.25">
      <c r="A30" s="26"/>
      <c r="E30" s="4"/>
      <c r="F30" s="26"/>
      <c r="I30" s="4"/>
    </row>
    <row r="31" spans="1:12" x14ac:dyDescent="0.25">
      <c r="A31" s="48"/>
      <c r="B31" s="49"/>
      <c r="C31" s="48"/>
      <c r="E31" s="4"/>
      <c r="F31" s="26"/>
      <c r="I31" s="4"/>
    </row>
    <row r="32" spans="1:12" s="1" customFormat="1" x14ac:dyDescent="0.25">
      <c r="A32" s="3"/>
      <c r="B32" s="2"/>
      <c r="C32" s="80"/>
      <c r="D32" s="80"/>
      <c r="E32" s="80"/>
      <c r="F32" s="77"/>
      <c r="G32" s="77"/>
      <c r="H32" s="77"/>
      <c r="K32" s="27"/>
    </row>
  </sheetData>
  <mergeCells count="7">
    <mergeCell ref="F32:H32"/>
    <mergeCell ref="D2:E2"/>
    <mergeCell ref="A4:H4"/>
    <mergeCell ref="A25:B25"/>
    <mergeCell ref="C32:E32"/>
    <mergeCell ref="F25:H25"/>
    <mergeCell ref="F24:H24"/>
  </mergeCells>
  <pageMargins left="0" right="0" top="0.74803149606299213" bottom="0.74803149606299213" header="0.31496062992125984" footer="0.31496062992125984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KE DOANH THU CT2024</vt:lpstr>
      <vt:lpstr>TINH THUE TNDN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2025-03-19T13:40:43Z</dcterms:modified>
</cp:coreProperties>
</file>