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120" yWindow="210" windowWidth="10515" windowHeight="7620"/>
  </bookViews>
  <sheets>
    <sheet name="Sheet1" sheetId="1" r:id="rId1"/>
    <sheet name="Sheet2" sheetId="2" r:id="rId2"/>
    <sheet name="Sheet3" sheetId="3" r:id="rId3"/>
  </sheets>
  <definedNames>
    <definedName name="pqGrid" localSheetId="0">Sheet1!$B$2:$C$20</definedName>
  </definedNames>
  <calcPr calcId="145621"/>
</workbook>
</file>

<file path=xl/calcChain.xml><?xml version="1.0" encoding="utf-8"?>
<calcChain xmlns="http://schemas.openxmlformats.org/spreadsheetml/2006/main">
  <c r="C22" i="1" l="1"/>
  <c r="C21" i="1" l="1"/>
</calcChain>
</file>

<file path=xl/connections.xml><?xml version="1.0" encoding="utf-8"?>
<connections xmlns="http://schemas.openxmlformats.org/spreadsheetml/2006/main">
  <connection id="1" name="pqGrid" type="6" refreshedVersion="4" background="1" saveData="1">
    <textPr codePage="65001" sourceFile="F:\pqGrid.csv" decimal="," thousands="." comma="1">
      <textFields count="15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<sst xmlns="http://schemas.openxmlformats.org/spreadsheetml/2006/main" count="27" uniqueCount="27">
  <si>
    <t>Nội dung</t>
  </si>
  <si>
    <t xml:space="preserve">Tiền hàng </t>
  </si>
  <si>
    <t>Truy thu thuế GTGT theo quyết định 474/QĐ-CCT-QLN ngày 24/05/2021</t>
  </si>
  <si>
    <t>Chậm nộp thuế GTGT  theo quyết định 474/QĐ-CCT-QLN ngày 24/05/2021</t>
  </si>
  <si>
    <t>Phạt 20% theo quyết định 474/QĐ-CCT-QLN ngày 24/05/2021</t>
  </si>
  <si>
    <t>K/C Chi phí BHXH trích vào CP doanh nghiệp tháng 01</t>
  </si>
  <si>
    <t>K/C Chi phí BHXH trích vào CP doanh nghiệp tháng 02</t>
  </si>
  <si>
    <t>K/C Chi phí BHXH trích vào CP doanh nghiệp tháng 03</t>
  </si>
  <si>
    <t>K/C Chi phí BHXH trích vào CP doanh nghiệp tháng 04</t>
  </si>
  <si>
    <t>K/C Chi phí BHXH trích vào CP doanh nghiệp tháng 05</t>
  </si>
  <si>
    <t>K/C Chi phí BHXH trích vào CP doanh nghiệp tháng 06</t>
  </si>
  <si>
    <t>K/C Chi phí BHXH trích vào CP doanh nghiệp tháng 07</t>
  </si>
  <si>
    <t>K/C Chi phí BHXH trích vào CP doanh nghiệp tháng 08</t>
  </si>
  <si>
    <t>K/C Chi phí BHXH trích vào CP doanh nghiệp tháng 09</t>
  </si>
  <si>
    <t>K/C Chi phí BHXH trích vào CP doanh nghiệp tháng 10</t>
  </si>
  <si>
    <t>K/C Chi phí BHXH trích vào CP doanh nghiệp tháng 11</t>
  </si>
  <si>
    <t>K/C Chi phí BHXH trích vào CP doanh nghiệp tháng 12</t>
  </si>
  <si>
    <t>Phân bổ chi phí trả trước/xây dựng cơ bản tháng 1 - 2021</t>
  </si>
  <si>
    <t>DANH SÁCH CHI PHÍ KHÔNG ĐƯỢC TRỪ</t>
  </si>
  <si>
    <t>STT</t>
  </si>
  <si>
    <t>TỔNG CỘNG</t>
  </si>
  <si>
    <t>Lương giám đốc MTV</t>
  </si>
  <si>
    <t>Ghi chú</t>
  </si>
  <si>
    <t>Giảm CCDC theo quyết định kiểm tra 2021</t>
  </si>
  <si>
    <t>Chậm nộp thuế GTGT năm 2019, 2020</t>
  </si>
  <si>
    <t>Chậm nộp thuế TNDN  theo quyết định 474/QĐ-CCT-QLN ngày 24/05/2021</t>
  </si>
  <si>
    <t>Do hạch toán giảm 4211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</si>
</sst>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3" formatCode="_-* #,##0.00\ _₫_-;\-* #,##0.00\ _₫_-;_-* &quot;-&quot;??\ _₫_-;_-@_-"/>
    <numFmt numFmtId="164" formatCode="_-* #,##0\ _₫_-;\-* #,##0\ _₫_-;_-* &quot;-&quot;??\ _₫_-;_-@_-"/>
  </numFmts>
  <fonts count="4" x14ac:knownFonts="1">
    <font>
      <sz val="11"/>
      <color theme="1"/>
      <name val="Calibri"/>
      <family val="2"/>
      <charset val="163"/>
      <scheme val="minor"/>
    </font>
    <font>
      <sz val="11"/>
      <color theme="1"/>
      <name val="Calibri"/>
      <family val="2"/>
      <charset val="163"/>
      <scheme val="minor"/>
    </font>
    <font>
      <b/>
      <sz val="11"/>
      <color theme="1"/>
      <name val="Times New Roman"/>
      <family val="1"/>
      <charset val="163"/>
    </font>
    <font>
      <sz val="11"/>
      <color theme="1"/>
      <name val="Times New Roman"/>
      <family val="1"/>
      <charset val="163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2">
    <xf numFmtId="0" fontId="0" fillId="0" borderId="0" xfId="0"/>
    <xf numFmtId="0" fontId="3" fillId="0" borderId="0" xfId="0" applyFont="1"/>
    <xf numFmtId="0" fontId="2" fillId="2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vertical="center"/>
    </xf>
    <xf numFmtId="164" fontId="3" fillId="0" borderId="1" xfId="1" applyNumberFormat="1" applyFont="1" applyBorder="1" applyAlignment="1">
      <alignment vertical="center"/>
    </xf>
    <xf numFmtId="0" fontId="3" fillId="0" borderId="1" xfId="0" applyFont="1" applyBorder="1" applyAlignment="1">
      <alignment vertical="center" wrapText="1"/>
    </xf>
    <xf numFmtId="164" fontId="3" fillId="0" borderId="1" xfId="0" applyNumberFormat="1" applyFont="1" applyBorder="1" applyAlignment="1">
      <alignment vertical="center"/>
    </xf>
    <xf numFmtId="0" fontId="2" fillId="2" borderId="1" xfId="0" applyFont="1" applyFill="1" applyBorder="1" applyAlignment="1">
      <alignment horizontal="center"/>
    </xf>
    <xf numFmtId="0" fontId="2" fillId="0" borderId="0" xfId="0" applyFont="1" applyAlignment="1">
      <alignment horizont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/Relationships>
</file>

<file path=xl/queryTables/queryTable1.xml><?xml version="1.0" encoding="utf-8"?>
<queryTable xmlns="http://schemas.openxmlformats.org/spreadsheetml/2006/main" name="pqGrid" connectionId="1" autoFormatId="16" applyNumberFormats="0" applyBorderFormats="0" applyFontFormats="1" applyPatternFormats="1" applyAlignmentFormats="0" applyWidthHeightFormats="0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Views>
    <sheetView tabSelected="1" workbookViewId="0">
      <selection activeCell="A22" sqref="A22:B22"/>
    </sheetView>
  </sheetViews>
  <sheetFormatPr defaultRowHeight="15" x14ac:dyDescent="0.25"/>
  <cols>
    <col min="1" max="1" width="5" style="1" bestFit="1" customWidth="1"/>
    <col min="2" max="2" width="66.42578125" style="1" bestFit="1" customWidth="1"/>
    <col min="3" max="3" width="15.85546875" style="1" bestFit="1" customWidth="1"/>
    <col min="4" max="4" width="24.140625" style="1" customWidth="1"/>
    <col min="5" max="16384" width="9.140625" style="1"/>
  </cols>
  <sheetData>
    <row r="1" spans="1:4" x14ac:dyDescent="0.25">
      <c r="A1" s="9" t="s">
        <v>18</v>
      </c>
      <c r="B1" s="9"/>
      <c r="C1" s="9"/>
    </row>
    <row r="2" spans="1:4" x14ac:dyDescent="0.25">
      <c r="A2" s="2" t="s">
        <v>19</v>
      </c>
      <c r="B2" s="2" t="s">
        <v>0</v>
      </c>
      <c r="C2" s="2" t="s">
        <v>1</v>
      </c>
      <c r="D2" s="8" t="s">
        <v>22</v>
      </c>
    </row>
    <row r="3" spans="1:4" x14ac:dyDescent="0.25">
      <c r="A3" s="3">
        <v>1</v>
      </c>
      <c r="B3" s="4" t="s">
        <v>2</v>
      </c>
      <c r="C3" s="5">
        <v>0</v>
      </c>
      <c r="D3" s="4" t="s">
        <v>26</v>
      </c>
    </row>
    <row r="4" spans="1:4" x14ac:dyDescent="0.25">
      <c r="A4" s="3">
        <v>2</v>
      </c>
      <c r="B4" s="4" t="s">
        <v>3</v>
      </c>
      <c r="C4" s="5">
        <v>670126</v>
      </c>
      <c r="D4" s="4"/>
    </row>
    <row r="5" spans="1:4" x14ac:dyDescent="0.25">
      <c r="A5" s="3">
        <v>3</v>
      </c>
      <c r="B5" s="4" t="s">
        <v>25</v>
      </c>
      <c r="C5" s="5">
        <v>10697</v>
      </c>
      <c r="D5" s="4"/>
    </row>
    <row r="6" spans="1:4" x14ac:dyDescent="0.25">
      <c r="A6" s="3">
        <v>4</v>
      </c>
      <c r="B6" s="4" t="s">
        <v>4</v>
      </c>
      <c r="C6" s="5">
        <v>1331921</v>
      </c>
      <c r="D6" s="4"/>
    </row>
    <row r="7" spans="1:4" x14ac:dyDescent="0.25">
      <c r="A7" s="3">
        <v>5</v>
      </c>
      <c r="B7" s="4" t="s">
        <v>24</v>
      </c>
      <c r="C7" s="5">
        <v>265530</v>
      </c>
      <c r="D7" s="4"/>
    </row>
    <row r="8" spans="1:4" x14ac:dyDescent="0.25">
      <c r="A8" s="3">
        <v>6</v>
      </c>
      <c r="B8" s="4" t="s">
        <v>5</v>
      </c>
      <c r="C8" s="5">
        <v>709500</v>
      </c>
      <c r="D8" s="4"/>
    </row>
    <row r="9" spans="1:4" x14ac:dyDescent="0.25">
      <c r="A9" s="3">
        <v>7</v>
      </c>
      <c r="B9" s="4" t="s">
        <v>6</v>
      </c>
      <c r="C9" s="5">
        <v>709500</v>
      </c>
      <c r="D9" s="4"/>
    </row>
    <row r="10" spans="1:4" x14ac:dyDescent="0.25">
      <c r="A10" s="3">
        <v>8</v>
      </c>
      <c r="B10" s="4" t="s">
        <v>7</v>
      </c>
      <c r="C10" s="5">
        <v>709500</v>
      </c>
      <c r="D10" s="4"/>
    </row>
    <row r="11" spans="1:4" x14ac:dyDescent="0.25">
      <c r="A11" s="3">
        <v>9</v>
      </c>
      <c r="B11" s="4" t="s">
        <v>8</v>
      </c>
      <c r="C11" s="5">
        <v>709500</v>
      </c>
      <c r="D11" s="4"/>
    </row>
    <row r="12" spans="1:4" x14ac:dyDescent="0.25">
      <c r="A12" s="3">
        <v>10</v>
      </c>
      <c r="B12" s="4" t="s">
        <v>9</v>
      </c>
      <c r="C12" s="5">
        <v>709500</v>
      </c>
      <c r="D12" s="4"/>
    </row>
    <row r="13" spans="1:4" x14ac:dyDescent="0.25">
      <c r="A13" s="3">
        <v>11</v>
      </c>
      <c r="B13" s="4" t="s">
        <v>10</v>
      </c>
      <c r="C13" s="5">
        <v>709500</v>
      </c>
      <c r="D13" s="4"/>
    </row>
    <row r="14" spans="1:4" x14ac:dyDescent="0.25">
      <c r="A14" s="3">
        <v>12</v>
      </c>
      <c r="B14" s="4" t="s">
        <v>11</v>
      </c>
      <c r="C14" s="5">
        <v>693000</v>
      </c>
      <c r="D14" s="4"/>
    </row>
    <row r="15" spans="1:4" x14ac:dyDescent="0.25">
      <c r="A15" s="3">
        <v>13</v>
      </c>
      <c r="B15" s="4" t="s">
        <v>12</v>
      </c>
      <c r="C15" s="5">
        <v>693000</v>
      </c>
      <c r="D15" s="4"/>
    </row>
    <row r="16" spans="1:4" x14ac:dyDescent="0.25">
      <c r="A16" s="3">
        <v>14</v>
      </c>
      <c r="B16" s="4" t="s">
        <v>13</v>
      </c>
      <c r="C16" s="5">
        <v>693000</v>
      </c>
      <c r="D16" s="4"/>
    </row>
    <row r="17" spans="1:4" x14ac:dyDescent="0.25">
      <c r="A17" s="3">
        <v>15</v>
      </c>
      <c r="B17" s="4" t="s">
        <v>14</v>
      </c>
      <c r="C17" s="5">
        <v>660000</v>
      </c>
      <c r="D17" s="4"/>
    </row>
    <row r="18" spans="1:4" x14ac:dyDescent="0.25">
      <c r="A18" s="3">
        <v>16</v>
      </c>
      <c r="B18" s="4" t="s">
        <v>15</v>
      </c>
      <c r="C18" s="5">
        <v>660000</v>
      </c>
      <c r="D18" s="4"/>
    </row>
    <row r="19" spans="1:4" x14ac:dyDescent="0.25">
      <c r="A19" s="3">
        <v>17</v>
      </c>
      <c r="B19" s="4" t="s">
        <v>16</v>
      </c>
      <c r="C19" s="5">
        <v>660000</v>
      </c>
      <c r="D19" s="4"/>
    </row>
    <row r="20" spans="1:4" ht="30" x14ac:dyDescent="0.25">
      <c r="A20" s="3">
        <v>18</v>
      </c>
      <c r="B20" s="4" t="s">
        <v>17</v>
      </c>
      <c r="C20" s="5">
        <v>34641749</v>
      </c>
      <c r="D20" s="6" t="s">
        <v>23</v>
      </c>
    </row>
    <row r="21" spans="1:4" x14ac:dyDescent="0.25">
      <c r="A21" s="3">
        <v>19</v>
      </c>
      <c r="B21" s="4" t="s">
        <v>21</v>
      </c>
      <c r="C21" s="5">
        <f>5500000*13</f>
        <v>71500000</v>
      </c>
      <c r="D21" s="4"/>
    </row>
    <row r="22" spans="1:4" x14ac:dyDescent="0.25">
      <c r="A22" s="10" t="s">
        <v>20</v>
      </c>
      <c r="B22" s="11"/>
      <c r="C22" s="7">
        <f>SUM(C3:C21)</f>
        <v>116736023</v>
      </c>
      <c r="D22" s="4"/>
    </row>
  </sheetData>
  <mergeCells count="2">
    <mergeCell ref="A1:C1"/>
    <mergeCell ref="A22:B2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Sheet1</vt:lpstr>
      <vt:lpstr>Sheet2</vt:lpstr>
      <vt:lpstr>Sheet3</vt:lpstr>
      <vt:lpstr>Sheet1!pqGrid</vt:lpstr>
    </vt:vector>
  </TitlesOfParts>
  <Company>Microsoft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AutoBVT</dc:creator>
  <cp:lastModifiedBy>AutoBVT</cp:lastModifiedBy>
  <dcterms:created xsi:type="dcterms:W3CDTF">2022-03-04T08:58:55Z</dcterms:created>
  <dcterms:modified xsi:type="dcterms:W3CDTF">2022-03-12T09:22:21Z</dcterms:modified>
</cp:coreProperties>
</file>