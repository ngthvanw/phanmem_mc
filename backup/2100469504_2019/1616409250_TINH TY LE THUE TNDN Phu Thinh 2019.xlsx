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 activeTab="1"/>
  </bookViews>
  <sheets>
    <sheet name="BANG KE DOANH THU CT 2019" sheetId="6" r:id="rId1"/>
    <sheet name="TINH THUE TNDN" sheetId="9" r:id="rId2"/>
  </sheets>
  <calcPr calcId="144525"/>
</workbook>
</file>

<file path=xl/calcChain.xml><?xml version="1.0" encoding="utf-8"?>
<calcChain xmlns="http://schemas.openxmlformats.org/spreadsheetml/2006/main">
  <c r="C13" i="9" l="1"/>
  <c r="C12" i="9"/>
  <c r="C11" i="9" s="1"/>
  <c r="G11" i="9" l="1"/>
  <c r="F15" i="9" l="1"/>
  <c r="E8" i="6"/>
  <c r="D8" i="6"/>
  <c r="D4" i="6"/>
  <c r="E22" i="6"/>
  <c r="D22" i="6"/>
  <c r="D7" i="6" s="1"/>
  <c r="D37" i="6" s="1"/>
  <c r="E12" i="6"/>
  <c r="D12" i="6"/>
  <c r="E7" i="6" l="1"/>
  <c r="D11" i="9" s="1"/>
  <c r="F7" i="6"/>
  <c r="E4" i="6"/>
  <c r="D9" i="9" s="1"/>
  <c r="F4" i="6"/>
  <c r="F37" i="6" s="1"/>
  <c r="E37" i="6" l="1"/>
  <c r="D15" i="9"/>
  <c r="C20" i="9"/>
  <c r="C7" i="9"/>
  <c r="N5" i="9"/>
  <c r="C10" i="9"/>
  <c r="C9" i="9" s="1"/>
  <c r="C15" i="9" l="1"/>
  <c r="B11" i="9" s="1"/>
  <c r="B9" i="9" l="1"/>
  <c r="E11" i="9"/>
  <c r="F11" i="9"/>
  <c r="B7" i="9"/>
  <c r="H16" i="9"/>
  <c r="H11" i="9" l="1"/>
  <c r="E9" i="9"/>
  <c r="F9" i="9"/>
  <c r="M11" i="9" l="1"/>
  <c r="J11" i="9"/>
  <c r="H9" i="9"/>
  <c r="H15" i="9" s="1"/>
  <c r="H7" i="9" s="1"/>
  <c r="L11" i="9" l="1"/>
  <c r="J9" i="9"/>
  <c r="K9" i="9" s="1"/>
  <c r="K15" i="9" s="1"/>
  <c r="H18" i="9"/>
  <c r="N4" i="9"/>
  <c r="J7" i="9"/>
  <c r="M9" i="9" l="1"/>
  <c r="J20" i="9"/>
  <c r="J15" i="9"/>
  <c r="M7" i="9"/>
  <c r="M15" i="9" l="1"/>
  <c r="K18" i="9" s="1"/>
</calcChain>
</file>

<file path=xl/sharedStrings.xml><?xml version="1.0" encoding="utf-8"?>
<sst xmlns="http://schemas.openxmlformats.org/spreadsheetml/2006/main" count="68" uniqueCount="67">
  <si>
    <t>Doanh thu</t>
  </si>
  <si>
    <t xml:space="preserve">Doanh thu </t>
  </si>
  <si>
    <t>Tỉ lệ / DT</t>
  </si>
  <si>
    <t>Lợi nhuận</t>
  </si>
  <si>
    <t>TS</t>
  </si>
  <si>
    <t>Thuế TNDN</t>
  </si>
  <si>
    <t>Miễn giảm</t>
  </si>
  <si>
    <t>Số thuế phải nộp</t>
  </si>
  <si>
    <t>Địa bàn không ưu đãi</t>
  </si>
  <si>
    <t>Tổng cộng</t>
  </si>
  <si>
    <t>GIÁM ĐỐC</t>
  </si>
  <si>
    <t>CTY CP Công Trình Đô Thị Trà Vinh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</si>
  <si>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</si>
  <si>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</si>
  <si>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</si>
  <si>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</si>
  <si>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THỦY LỢI NỘI ĐỒNG</t>
  </si>
  <si>
    <t>BẢNG XÁC ĐỊNH THU NHẬP CHỊU THUẾ TNDN NĂM 2019</t>
  </si>
  <si>
    <t>DOANH THU CHỊU THUẾ</t>
  </si>
  <si>
    <t>CÔNG TRÌNH NẠO VÉT (5%)</t>
  </si>
  <si>
    <t xml:space="preserve">CÔNG TRÌNH </t>
  </si>
  <si>
    <t>BẢNG KÊ DOANH THU CÁC CÔNG TRÌNH NĂM 2019</t>
  </si>
  <si>
    <t>Trà Vinh, ngày 31 tháng 12 năm 2019</t>
  </si>
  <si>
    <t>LỢI NHUẬN</t>
  </si>
  <si>
    <t>GIÁ VỐN</t>
  </si>
  <si>
    <t>CHI PHÍ QL</t>
  </si>
  <si>
    <t>  2019_Thuỷ lợi nội đồng đợt 3 trên địa bàn huyện Châu Thành (HĐ 05/2019)</t>
  </si>
  <si>
    <t>BÁO CÁO KINH TẾ KỸ THUẬT</t>
  </si>
  <si>
    <t> Lập BC KTKT KS đường đan liên ấp Đại Thôn - Rạch Vồn (xuất toán KL)</t>
  </si>
  <si>
    <t>đường dẫn Bến Phà Bãi Vàng đén đê bao Hưng Mỹ (xuất toán KL)</t>
  </si>
  <si>
    <t> 2019_Tư vấn khảo sát và lập BC KTKT XDCT Xây dựng nhà kho 
hợp tác xã nông nghiệp phát tài ( HĐ 01/2019/HĐ-BCKTKT ngày 01/10/2019)</t>
  </si>
  <si>
    <t>CÔNG TRÌNH GIAO THÔNG</t>
  </si>
  <si>
    <t>2016-CT đường nhựa GTNT ấp Đa Cần, xã Hòa Thuận</t>
  </si>
  <si>
    <t>2015_Di dân khẩn cấp vùng ven biển xã Trường Long Hòa</t>
  </si>
  <si>
    <t>2018_Đường GTNT ấp Giồng Lức, xã Đa Lộc (từ Kênh sau chùa đến Kênh Sóc Cục) (HĐ 14/2018)</t>
  </si>
  <si>
    <t>2018_đường GTNT ấp Đại Thôn, xã Phước Hảo (Đa Hậu - Hương Lộ 15) (HĐ 13/2018</t>
  </si>
  <si>
    <t>2019_Đường đal ấp Cổ Tháp A, B xã Nguyệt Hoá (HĐ 03/2019)</t>
  </si>
  <si>
    <t>2019_Lắp đặt biển báo giao thông đường bộ trên địa bàn huyện CL (HĐ 08/HĐTC/2019 ngày 20/11/2019)</t>
  </si>
  <si>
    <t>2019_Duy tu bảo dưỡng các công trình GTNT năm 2019 (HĐ 06/2019)</t>
  </si>
  <si>
    <t>2019_Đường GTNT Thanh Nguyên B, xã Mý Chánh</t>
  </si>
  <si>
    <t>CÔNG TRÌNH XÂY DỰNG</t>
  </si>
  <si>
    <t>2018_Cải tạo nhà văn hóa - khu thể thao ấp 4 xã Tân An Luông</t>
  </si>
  <si>
    <t>2018_XD CT nhà vệ sinh trụ sở làm việc UBND xã Tân An Luông</t>
  </si>
  <si>
    <t>2018_Sửa chửa nâng cấp Cửa Hàng Xăng Dầu số 2 PETEC Trà Vinh (HĐ 21/2018)</t>
  </si>
  <si>
    <t>2018_Cải tạo nhà văn hóa - khu thể thao các ấp trên địa bàn xã Tân An Luông</t>
  </si>
  <si>
    <t>2019_Đường GTNT kênh Đa Hoà, xã Hoà Thuận (Vĩnh Lợi, Vĩnh Trường)</t>
  </si>
  <si>
    <t>2019_SC nhà vệ sinh xã Mỹ Chánh (HĐ 07/2019)</t>
  </si>
  <si>
    <t>2019_Sửa chữa đường nhựa liên ấp 5-6-8, xã Mỹ Cẩm huyện Càng Long (HĐ 07/HĐTC/2019 ngày 20/11/2019</t>
  </si>
  <si>
    <t>2019_Cải tạo, sửa chữa sân đường và hội trường Đảng uỷ xã Mỹ Chánh (HĐ 09/HDXD/2019 ngày 19/11/2019)</t>
  </si>
  <si>
    <t>2019_Cải tạo, sửa chữa sân đường và hội trường Đảng uỷ xã Mỹ Chánh (HĐ 10/HDXD/2019 ngày 19/11/2019)</t>
  </si>
  <si>
    <t>I</t>
  </si>
  <si>
    <t>II</t>
  </si>
  <si>
    <t>2019_Cải tạo SC bộ phận 1 cửa và 1 số phòng làm việc của UBND xã Đa Lộc (HĐ 06/2019)</t>
  </si>
  <si>
    <t>2019_NCSC trường THCS Thanh Mỹ, xãThanh Mỹ (HĐ 02/2019)</t>
  </si>
  <si>
    <t>A</t>
  </si>
  <si>
    <t>B</t>
  </si>
  <si>
    <t>III</t>
  </si>
  <si>
    <t>GIÁ THÀNH</t>
  </si>
  <si>
    <t>2019_Xây dựng đường đal ấp Thanh Trì B,xã Đa Lộc 
 (từ Đầu Giồng đến giáp kênh Thanh Nguyên) nối tiếp (HĐ 01/HĐTC/2019 ngày 15/5/2019</t>
  </si>
  <si>
    <t>2019_Xây lắp bọng thoát nước trên địa bàn xã Hoà Lợi, Lương Hoà, Hoà Thuận và Hưng Mỹ,
huyện Châu Thành (HĐ 07/HĐTC/2019 ngày 24/06/2019)</t>
  </si>
  <si>
    <t>2019_Đưòng nhựa QL54 đến giáp đường nhựa dự án IMPP, ấp Hương Phụ B, C, xã Đa Lộc (HĐ 01/2019)</t>
  </si>
  <si>
    <t>TỔNG CỘNG (A+B)</t>
  </si>
  <si>
    <t>CHI PHÍ KHÁC</t>
  </si>
  <si>
    <t>Chênh lệch 17%</t>
  </si>
  <si>
    <t>TN khác</t>
  </si>
  <si>
    <t>CÔNG TY TNHH MTV XÂY DỰNG PHÚ THỊNH</t>
  </si>
  <si>
    <t>MST: 2100469504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</si>
</sst>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  <numFmt numFmtId="167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9" fontId="2" fillId="0" borderId="0" xfId="2" applyFont="1"/>
    <xf numFmtId="166" fontId="2" fillId="0" borderId="0" xfId="1" applyNumberFormat="1" applyFont="1"/>
    <xf numFmtId="0" fontId="3" fillId="0" borderId="0" xfId="0" applyFont="1"/>
    <xf numFmtId="9" fontId="3" fillId="0" borderId="0" xfId="2" applyFont="1"/>
    <xf numFmtId="166" fontId="3" fillId="0" borderId="0" xfId="1" applyNumberFormat="1" applyFont="1"/>
    <xf numFmtId="166" fontId="4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6" fontId="2" fillId="0" borderId="1" xfId="1" applyNumberFormat="1" applyFont="1" applyBorder="1"/>
    <xf numFmtId="166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6" fontId="3" fillId="0" borderId="1" xfId="1" applyNumberFormat="1" applyFont="1" applyBorder="1"/>
    <xf numFmtId="9" fontId="3" fillId="0" borderId="1" xfId="2" applyNumberFormat="1" applyFont="1" applyBorder="1"/>
    <xf numFmtId="0" fontId="2" fillId="3" borderId="1" xfId="0" applyFont="1" applyFill="1" applyBorder="1"/>
    <xf numFmtId="0" fontId="2" fillId="4" borderId="1" xfId="0" applyFont="1" applyFill="1" applyBorder="1"/>
    <xf numFmtId="166" fontId="3" fillId="0" borderId="0" xfId="0" applyNumberFormat="1" applyFont="1"/>
    <xf numFmtId="0" fontId="4" fillId="0" borderId="0" xfId="0" applyFont="1" applyFill="1"/>
    <xf numFmtId="0" fontId="6" fillId="0" borderId="0" xfId="0" applyFont="1" applyFill="1"/>
    <xf numFmtId="0" fontId="5" fillId="0" borderId="1" xfId="0" applyFont="1" applyFill="1" applyBorder="1"/>
    <xf numFmtId="0" fontId="5" fillId="0" borderId="0" xfId="0" applyFont="1" applyFill="1"/>
    <xf numFmtId="166" fontId="3" fillId="0" borderId="0" xfId="1" applyNumberFormat="1" applyFont="1" applyAlignment="1"/>
    <xf numFmtId="165" fontId="4" fillId="0" borderId="0" xfId="1" applyNumberFormat="1" applyFont="1" applyFill="1"/>
    <xf numFmtId="165" fontId="5" fillId="0" borderId="0" xfId="1" applyNumberFormat="1" applyFont="1" applyFill="1"/>
    <xf numFmtId="165" fontId="6" fillId="0" borderId="0" xfId="1" applyNumberFormat="1" applyFont="1" applyFill="1"/>
    <xf numFmtId="0" fontId="7" fillId="0" borderId="1" xfId="0" applyFont="1" applyFill="1" applyBorder="1"/>
    <xf numFmtId="165" fontId="7" fillId="0" borderId="1" xfId="1" applyNumberFormat="1" applyFont="1" applyFill="1" applyBorder="1" applyAlignment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6" fontId="2" fillId="0" borderId="0" xfId="1" applyNumberFormat="1" applyFont="1" applyAlignment="1"/>
    <xf numFmtId="0" fontId="8" fillId="0" borderId="1" xfId="0" applyFont="1" applyBorder="1" applyAlignment="1">
      <alignment horizontal="left"/>
    </xf>
    <xf numFmtId="165" fontId="7" fillId="0" borderId="1" xfId="1" applyNumberFormat="1" applyFont="1" applyFill="1" applyBorder="1" applyAlignment="1">
      <alignment horizontal="left"/>
    </xf>
    <xf numFmtId="165" fontId="5" fillId="0" borderId="1" xfId="1" applyNumberFormat="1" applyFont="1" applyFill="1" applyBorder="1"/>
    <xf numFmtId="0" fontId="7" fillId="0" borderId="1" xfId="0" applyFont="1" applyFill="1" applyBorder="1" applyAlignment="1">
      <alignment horizontal="left"/>
    </xf>
    <xf numFmtId="166" fontId="3" fillId="0" borderId="0" xfId="1" applyNumberFormat="1" applyFont="1" applyAlignment="1">
      <alignment horizontal="right"/>
    </xf>
    <xf numFmtId="0" fontId="5" fillId="0" borderId="2" xfId="0" applyFont="1" applyFill="1" applyBorder="1"/>
    <xf numFmtId="0" fontId="5" fillId="0" borderId="4" xfId="0" applyFont="1" applyFill="1" applyBorder="1"/>
    <xf numFmtId="0" fontId="9" fillId="0" borderId="1" xfId="0" applyFont="1" applyBorder="1"/>
    <xf numFmtId="3" fontId="10" fillId="0" borderId="1" xfId="0" applyNumberFormat="1" applyFont="1" applyBorder="1" applyAlignment="1">
      <alignment horizontal="right" vertical="center" wrapText="1"/>
    </xf>
    <xf numFmtId="3" fontId="9" fillId="0" borderId="1" xfId="0" applyNumberFormat="1" applyFont="1" applyBorder="1"/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165" fontId="5" fillId="0" borderId="3" xfId="1" applyNumberFormat="1" applyFont="1" applyFill="1" applyBorder="1"/>
    <xf numFmtId="0" fontId="5" fillId="0" borderId="6" xfId="0" applyFont="1" applyFill="1" applyBorder="1"/>
    <xf numFmtId="0" fontId="4" fillId="0" borderId="0" xfId="0" applyFont="1" applyFill="1" applyAlignment="1">
      <alignment horizontal="left"/>
    </xf>
    <xf numFmtId="0" fontId="9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0" fontId="11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166" fontId="3" fillId="0" borderId="0" xfId="1" applyNumberFormat="1" applyFont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4" fillId="0" borderId="0" xfId="0" applyFont="1" applyFill="1" applyAlignment="1">
      <alignment horizontal="right"/>
    </xf>
    <xf numFmtId="165" fontId="7" fillId="0" borderId="1" xfId="1" applyNumberFormat="1" applyFont="1" applyFill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167" fontId="1" fillId="0" borderId="1" xfId="1" applyNumberFormat="1" applyBorder="1" applyAlignment="1">
      <alignment horizontal="right"/>
    </xf>
    <xf numFmtId="165" fontId="5" fillId="0" borderId="1" xfId="1" applyNumberFormat="1" applyFont="1" applyFill="1" applyBorder="1" applyAlignment="1">
      <alignment horizontal="right"/>
    </xf>
    <xf numFmtId="165" fontId="5" fillId="0" borderId="0" xfId="1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166" fontId="2" fillId="0" borderId="0" xfId="1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6" fillId="0" borderId="0" xfId="1" applyNumberFormat="1" applyFont="1" applyFill="1" applyAlignment="1">
      <alignment horizontal="right"/>
    </xf>
    <xf numFmtId="0" fontId="6" fillId="0" borderId="0" xfId="0" applyFont="1" applyFill="1" applyAlignment="1">
      <alignment horizontal="right"/>
    </xf>
    <xf numFmtId="165" fontId="7" fillId="0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65" fontId="3" fillId="0" borderId="0" xfId="1" applyNumberFormat="1" applyFont="1"/>
    <xf numFmtId="9" fontId="3" fillId="0" borderId="1" xfId="2" applyFont="1" applyBorder="1" applyAlignment="1">
      <alignment horizontal="center"/>
    </xf>
    <xf numFmtId="166" fontId="2" fillId="5" borderId="1" xfId="1" applyNumberFormat="1" applyFont="1" applyFill="1" applyBorder="1"/>
    <xf numFmtId="166" fontId="2" fillId="0" borderId="0" xfId="1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7" fillId="0" borderId="1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166" fontId="3" fillId="0" borderId="0" xfId="1" applyNumberFormat="1" applyFont="1" applyAlignment="1">
      <alignment horizontal="right"/>
    </xf>
    <xf numFmtId="0" fontId="4" fillId="0" borderId="0" xfId="0" applyFont="1" applyAlignment="1">
      <alignment horizontal="center"/>
    </xf>
    <xf numFmtId="166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3" fontId="9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8"/>
  <sheetViews>
    <sheetView topLeftCell="A22" workbookViewId="0">
      <selection activeCell="E31" sqref="E31"/>
    </sheetView>
  </sheetViews>
  <sheetFormatPr defaultColWidth="8" defaultRowHeight="15" x14ac:dyDescent="0.25"/>
  <cols>
    <col min="1" max="1" width="8" style="27"/>
    <col min="2" max="2" width="32.140625" style="27" hidden="1" customWidth="1"/>
    <col min="3" max="3" width="94.85546875" style="62" customWidth="1"/>
    <col min="4" max="4" width="20.42578125" style="75" customWidth="1"/>
    <col min="5" max="5" width="20" style="76" customWidth="1"/>
    <col min="6" max="6" width="22.5703125" style="33" customWidth="1"/>
    <col min="7" max="16384" width="8" style="27"/>
  </cols>
  <sheetData>
    <row r="1" spans="1:6" s="26" customFormat="1" ht="20.25" x14ac:dyDescent="0.3">
      <c r="A1" s="84" t="s">
        <v>21</v>
      </c>
      <c r="B1" s="84"/>
      <c r="C1" s="84"/>
      <c r="D1" s="84"/>
      <c r="E1" s="66"/>
      <c r="F1" s="31"/>
    </row>
    <row r="2" spans="1:6" s="26" customFormat="1" ht="20.25" x14ac:dyDescent="0.3">
      <c r="B2" s="38"/>
      <c r="C2" s="55"/>
      <c r="D2" s="66"/>
      <c r="E2" s="66"/>
      <c r="F2" s="31"/>
    </row>
    <row r="3" spans="1:6" s="36" customFormat="1" ht="25.5" customHeight="1" x14ac:dyDescent="0.25">
      <c r="A3" s="34" t="s">
        <v>12</v>
      </c>
      <c r="B3" s="34"/>
      <c r="C3" s="44" t="s">
        <v>13</v>
      </c>
      <c r="D3" s="77" t="s">
        <v>14</v>
      </c>
      <c r="E3" s="64" t="s">
        <v>57</v>
      </c>
      <c r="F3" s="77" t="s">
        <v>23</v>
      </c>
    </row>
    <row r="4" spans="1:6" s="37" customFormat="1" ht="19.5" customHeight="1" x14ac:dyDescent="0.25">
      <c r="A4" s="64" t="s">
        <v>54</v>
      </c>
      <c r="B4" s="85" t="s">
        <v>19</v>
      </c>
      <c r="C4" s="85"/>
      <c r="D4" s="67">
        <f>SUM(D5:D6)</f>
        <v>595472381</v>
      </c>
      <c r="E4" s="67">
        <f>SUM(E5:E6)</f>
        <v>517131854</v>
      </c>
      <c r="F4" s="35">
        <f>SUM(F5:F6)</f>
        <v>0</v>
      </c>
    </row>
    <row r="5" spans="1:6" s="37" customFormat="1" ht="19.5" customHeight="1" x14ac:dyDescent="0.25">
      <c r="A5" s="63">
        <v>1</v>
      </c>
      <c r="B5" s="44"/>
      <c r="C5" s="56" t="s">
        <v>26</v>
      </c>
      <c r="D5" s="49">
        <v>595472381</v>
      </c>
      <c r="E5" s="68">
        <v>517131854</v>
      </c>
      <c r="F5" s="42"/>
    </row>
    <row r="6" spans="1:6" s="37" customFormat="1" ht="19.5" customHeight="1" x14ac:dyDescent="0.25">
      <c r="A6" s="63"/>
      <c r="B6" s="44"/>
      <c r="C6" s="41"/>
      <c r="D6" s="69"/>
      <c r="E6" s="67"/>
      <c r="F6" s="42"/>
    </row>
    <row r="7" spans="1:6" s="37" customFormat="1" ht="19.5" customHeight="1" x14ac:dyDescent="0.25">
      <c r="A7" s="64" t="s">
        <v>55</v>
      </c>
      <c r="B7" s="85" t="s">
        <v>20</v>
      </c>
      <c r="C7" s="85"/>
      <c r="D7" s="67">
        <f>D8+D12+D22</f>
        <v>13109097909</v>
      </c>
      <c r="E7" s="67">
        <f>E8+E12+E22</f>
        <v>12057390082</v>
      </c>
      <c r="F7" s="35">
        <f t="shared" ref="F7" si="0">+SUM(F8:F11)</f>
        <v>0</v>
      </c>
    </row>
    <row r="8" spans="1:6" s="29" customFormat="1" ht="19.5" customHeight="1" x14ac:dyDescent="0.25">
      <c r="A8" s="64" t="s">
        <v>50</v>
      </c>
      <c r="B8" s="46" t="s">
        <v>11</v>
      </c>
      <c r="C8" s="57" t="s">
        <v>27</v>
      </c>
      <c r="D8" s="67">
        <f>SUM(D9:D11)</f>
        <v>-8005318</v>
      </c>
      <c r="E8" s="67">
        <f>SUM(E9:E11)</f>
        <v>2251157</v>
      </c>
      <c r="F8" s="43"/>
    </row>
    <row r="9" spans="1:6" s="29" customFormat="1" ht="19.5" customHeight="1" x14ac:dyDescent="0.25">
      <c r="A9" s="63">
        <v>1</v>
      </c>
      <c r="B9" s="46"/>
      <c r="C9" s="56" t="s">
        <v>28</v>
      </c>
      <c r="D9" s="68">
        <v>-33884409</v>
      </c>
      <c r="E9" s="70"/>
      <c r="F9" s="43"/>
    </row>
    <row r="10" spans="1:6" s="29" customFormat="1" ht="19.5" customHeight="1" x14ac:dyDescent="0.25">
      <c r="A10" s="63">
        <v>2</v>
      </c>
      <c r="B10" s="46"/>
      <c r="C10" s="56" t="s">
        <v>29</v>
      </c>
      <c r="D10" s="68">
        <v>-909091</v>
      </c>
      <c r="E10" s="70"/>
      <c r="F10" s="43"/>
    </row>
    <row r="11" spans="1:6" s="29" customFormat="1" ht="34.5" customHeight="1" x14ac:dyDescent="0.25">
      <c r="A11" s="63">
        <v>3</v>
      </c>
      <c r="B11" s="46"/>
      <c r="C11" s="58" t="s">
        <v>30</v>
      </c>
      <c r="D11" s="68">
        <v>26788182</v>
      </c>
      <c r="E11" s="68">
        <v>2251157</v>
      </c>
      <c r="F11" s="43"/>
    </row>
    <row r="12" spans="1:6" s="29" customFormat="1" ht="19.5" customHeight="1" x14ac:dyDescent="0.25">
      <c r="A12" s="64" t="s">
        <v>51</v>
      </c>
      <c r="B12" s="47"/>
      <c r="C12" s="59" t="s">
        <v>31</v>
      </c>
      <c r="D12" s="67">
        <f>SUM(D13:D21)</f>
        <v>8093106469</v>
      </c>
      <c r="E12" s="67">
        <f>SUM(E13:E21)</f>
        <v>7525110361</v>
      </c>
      <c r="F12" s="53"/>
    </row>
    <row r="13" spans="1:6" s="29" customFormat="1" ht="19.5" customHeight="1" x14ac:dyDescent="0.25">
      <c r="A13" s="63">
        <v>1</v>
      </c>
      <c r="B13" s="46"/>
      <c r="C13" s="56" t="s">
        <v>32</v>
      </c>
      <c r="D13" s="68">
        <v>-56802363</v>
      </c>
      <c r="E13" s="70"/>
      <c r="F13" s="53"/>
    </row>
    <row r="14" spans="1:6" s="29" customFormat="1" ht="19.5" customHeight="1" x14ac:dyDescent="0.25">
      <c r="A14" s="63">
        <v>2</v>
      </c>
      <c r="B14" s="46"/>
      <c r="C14" s="56" t="s">
        <v>33</v>
      </c>
      <c r="D14" s="49">
        <v>1099186328</v>
      </c>
      <c r="E14" s="68">
        <v>1011591747</v>
      </c>
      <c r="F14" s="53"/>
    </row>
    <row r="15" spans="1:6" s="29" customFormat="1" ht="19.5" customHeight="1" x14ac:dyDescent="0.25">
      <c r="A15" s="63">
        <v>3</v>
      </c>
      <c r="B15" s="46"/>
      <c r="C15" s="56" t="s">
        <v>34</v>
      </c>
      <c r="D15" s="68">
        <v>1498077273</v>
      </c>
      <c r="E15" s="68">
        <v>1447854175</v>
      </c>
      <c r="F15" s="53"/>
    </row>
    <row r="16" spans="1:6" s="29" customFormat="1" ht="19.5" customHeight="1" x14ac:dyDescent="0.25">
      <c r="A16" s="63">
        <v>4</v>
      </c>
      <c r="B16" s="46"/>
      <c r="C16" s="56" t="s">
        <v>35</v>
      </c>
      <c r="D16" s="49">
        <v>1090909091</v>
      </c>
      <c r="E16" s="68">
        <v>1038916160</v>
      </c>
      <c r="F16" s="53"/>
    </row>
    <row r="17" spans="1:6" s="29" customFormat="1" ht="19.5" customHeight="1" x14ac:dyDescent="0.25">
      <c r="A17" s="63">
        <v>5</v>
      </c>
      <c r="B17" s="46"/>
      <c r="C17" s="56" t="s">
        <v>36</v>
      </c>
      <c r="D17" s="68">
        <v>871265455</v>
      </c>
      <c r="E17" s="93">
        <v>789489597</v>
      </c>
      <c r="F17" s="53"/>
    </row>
    <row r="18" spans="1:6" s="29" customFormat="1" ht="19.5" customHeight="1" x14ac:dyDescent="0.25">
      <c r="A18" s="63">
        <v>6</v>
      </c>
      <c r="B18" s="46"/>
      <c r="C18" s="56" t="s">
        <v>37</v>
      </c>
      <c r="D18" s="49">
        <v>177181818</v>
      </c>
      <c r="E18" s="49">
        <v>139168305</v>
      </c>
      <c r="F18" s="53"/>
    </row>
    <row r="19" spans="1:6" s="29" customFormat="1" ht="19.5" customHeight="1" x14ac:dyDescent="0.25">
      <c r="A19" s="63">
        <v>7</v>
      </c>
      <c r="B19" s="46"/>
      <c r="C19" s="52" t="s">
        <v>45</v>
      </c>
      <c r="D19" s="68">
        <v>1127963636</v>
      </c>
      <c r="E19" s="93">
        <v>1057418356</v>
      </c>
      <c r="F19" s="53"/>
    </row>
    <row r="20" spans="1:6" s="29" customFormat="1" ht="19.5" customHeight="1" x14ac:dyDescent="0.25">
      <c r="A20" s="63">
        <v>8</v>
      </c>
      <c r="B20" s="46"/>
      <c r="C20" s="56" t="s">
        <v>38</v>
      </c>
      <c r="D20" s="49">
        <v>1523307086</v>
      </c>
      <c r="E20" s="93">
        <v>1427988743</v>
      </c>
      <c r="F20" s="53"/>
    </row>
    <row r="21" spans="1:6" s="29" customFormat="1" ht="19.5" customHeight="1" x14ac:dyDescent="0.25">
      <c r="A21" s="63">
        <v>9</v>
      </c>
      <c r="B21" s="46"/>
      <c r="C21" s="56" t="s">
        <v>39</v>
      </c>
      <c r="D21" s="68">
        <v>762018145</v>
      </c>
      <c r="E21" s="93">
        <v>612683278</v>
      </c>
      <c r="F21" s="53"/>
    </row>
    <row r="22" spans="1:6" s="29" customFormat="1" ht="19.5" customHeight="1" x14ac:dyDescent="0.25">
      <c r="A22" s="65" t="s">
        <v>56</v>
      </c>
      <c r="B22" s="54"/>
      <c r="C22" s="57" t="s">
        <v>40</v>
      </c>
      <c r="D22" s="67">
        <f>SUM(D23:D35)</f>
        <v>5023996758</v>
      </c>
      <c r="E22" s="67">
        <f>SUM(E23:E35)</f>
        <v>4530028564</v>
      </c>
      <c r="F22" s="53"/>
    </row>
    <row r="23" spans="1:6" s="29" customFormat="1" ht="19.5" customHeight="1" x14ac:dyDescent="0.25">
      <c r="A23" s="63">
        <v>1</v>
      </c>
      <c r="B23" s="46"/>
      <c r="C23" s="56" t="s">
        <v>41</v>
      </c>
      <c r="D23" s="50">
        <v>123981818</v>
      </c>
      <c r="E23" s="50">
        <v>124662366</v>
      </c>
      <c r="F23" s="43"/>
    </row>
    <row r="24" spans="1:6" s="29" customFormat="1" ht="19.5" customHeight="1" x14ac:dyDescent="0.25">
      <c r="A24" s="63">
        <v>2</v>
      </c>
      <c r="B24" s="46"/>
      <c r="C24" s="56" t="s">
        <v>44</v>
      </c>
      <c r="D24" s="50">
        <v>173305455</v>
      </c>
      <c r="E24" s="49">
        <v>182348011</v>
      </c>
      <c r="F24" s="43"/>
    </row>
    <row r="25" spans="1:6" s="29" customFormat="1" ht="19.5" customHeight="1" x14ac:dyDescent="0.25">
      <c r="A25" s="63">
        <v>3</v>
      </c>
      <c r="B25" s="46"/>
      <c r="C25" s="56" t="s">
        <v>42</v>
      </c>
      <c r="D25" s="49">
        <v>151709091</v>
      </c>
      <c r="E25" s="68">
        <v>147850445</v>
      </c>
      <c r="F25" s="43"/>
    </row>
    <row r="26" spans="1:6" s="29" customFormat="1" ht="19.5" customHeight="1" x14ac:dyDescent="0.25">
      <c r="A26" s="63">
        <v>4</v>
      </c>
      <c r="B26" s="46"/>
      <c r="C26" s="56" t="s">
        <v>43</v>
      </c>
      <c r="D26" s="68">
        <v>536045454</v>
      </c>
      <c r="E26" s="93">
        <v>534490553</v>
      </c>
      <c r="F26" s="43"/>
    </row>
    <row r="27" spans="1:6" s="29" customFormat="1" ht="19.5" customHeight="1" x14ac:dyDescent="0.25">
      <c r="A27" s="63">
        <v>5</v>
      </c>
      <c r="B27" s="46"/>
      <c r="C27" s="52" t="s">
        <v>52</v>
      </c>
      <c r="D27" s="68">
        <v>79520000</v>
      </c>
      <c r="E27" s="68">
        <v>45796562</v>
      </c>
      <c r="F27" s="43"/>
    </row>
    <row r="28" spans="1:6" s="29" customFormat="1" ht="19.5" customHeight="1" x14ac:dyDescent="0.25">
      <c r="A28" s="63">
        <v>6</v>
      </c>
      <c r="B28" s="46"/>
      <c r="C28" s="48" t="s">
        <v>53</v>
      </c>
      <c r="D28" s="49">
        <v>876440725</v>
      </c>
      <c r="E28" s="93">
        <v>742145594</v>
      </c>
      <c r="F28" s="43"/>
    </row>
    <row r="29" spans="1:6" s="29" customFormat="1" ht="19.5" customHeight="1" x14ac:dyDescent="0.25">
      <c r="A29" s="63">
        <v>7</v>
      </c>
      <c r="B29" s="46"/>
      <c r="C29" s="48" t="s">
        <v>46</v>
      </c>
      <c r="D29" s="68">
        <v>11930909</v>
      </c>
      <c r="E29" s="68">
        <v>5946637</v>
      </c>
      <c r="F29" s="43"/>
    </row>
    <row r="30" spans="1:6" s="29" customFormat="1" ht="19.5" customHeight="1" x14ac:dyDescent="0.25">
      <c r="A30" s="63">
        <v>8</v>
      </c>
      <c r="B30" s="46"/>
      <c r="C30" s="48" t="s">
        <v>60</v>
      </c>
      <c r="D30" s="68">
        <v>829479130</v>
      </c>
      <c r="E30" s="93">
        <v>753505390</v>
      </c>
      <c r="F30" s="43"/>
    </row>
    <row r="31" spans="1:6" s="29" customFormat="1" ht="30" x14ac:dyDescent="0.25">
      <c r="A31" s="63">
        <v>9</v>
      </c>
      <c r="B31" s="46"/>
      <c r="C31" s="51" t="s">
        <v>58</v>
      </c>
      <c r="D31" s="68">
        <v>1272727273</v>
      </c>
      <c r="E31" s="50">
        <v>1131395876</v>
      </c>
      <c r="F31" s="43"/>
    </row>
    <row r="32" spans="1:6" s="29" customFormat="1" ht="30" x14ac:dyDescent="0.25">
      <c r="A32" s="63">
        <v>10</v>
      </c>
      <c r="B32" s="46"/>
      <c r="C32" s="51" t="s">
        <v>59</v>
      </c>
      <c r="D32" s="68">
        <v>423019630</v>
      </c>
      <c r="E32" s="68">
        <v>382080305</v>
      </c>
      <c r="F32" s="43"/>
    </row>
    <row r="33" spans="1:6" s="29" customFormat="1" ht="19.5" customHeight="1" x14ac:dyDescent="0.25">
      <c r="A33" s="63">
        <v>11</v>
      </c>
      <c r="B33" s="46"/>
      <c r="C33" s="48" t="s">
        <v>47</v>
      </c>
      <c r="D33" s="68">
        <v>322047273</v>
      </c>
      <c r="E33" s="50">
        <v>292783709</v>
      </c>
      <c r="F33" s="43"/>
    </row>
    <row r="34" spans="1:6" s="29" customFormat="1" ht="19.5" customHeight="1" x14ac:dyDescent="0.25">
      <c r="A34" s="63">
        <v>12</v>
      </c>
      <c r="B34" s="46"/>
      <c r="C34" s="48" t="s">
        <v>48</v>
      </c>
      <c r="D34" s="68">
        <v>28363636</v>
      </c>
      <c r="E34" s="68">
        <v>12289719</v>
      </c>
      <c r="F34" s="53"/>
    </row>
    <row r="35" spans="1:6" s="29" customFormat="1" ht="19.5" customHeight="1" x14ac:dyDescent="0.25">
      <c r="A35" s="63">
        <v>13</v>
      </c>
      <c r="B35" s="46"/>
      <c r="C35" s="48" t="s">
        <v>49</v>
      </c>
      <c r="D35" s="68">
        <v>195426364</v>
      </c>
      <c r="E35" s="49">
        <v>174733397</v>
      </c>
      <c r="F35" s="53"/>
    </row>
    <row r="36" spans="1:6" s="29" customFormat="1" ht="19.5" customHeight="1" x14ac:dyDescent="0.25">
      <c r="A36" s="28"/>
      <c r="B36" s="46"/>
      <c r="C36" s="56"/>
      <c r="D36" s="70"/>
      <c r="E36" s="70"/>
      <c r="F36" s="43"/>
    </row>
    <row r="37" spans="1:6" s="36" customFormat="1" ht="19.5" customHeight="1" x14ac:dyDescent="0.25">
      <c r="A37" s="34"/>
      <c r="B37" s="86" t="s">
        <v>61</v>
      </c>
      <c r="C37" s="87"/>
      <c r="D37" s="67">
        <f>+D4+D7</f>
        <v>13704570290</v>
      </c>
      <c r="E37" s="67">
        <f>+E4+E7</f>
        <v>12574521936</v>
      </c>
      <c r="F37" s="35">
        <f>+F7+F4</f>
        <v>0</v>
      </c>
    </row>
    <row r="38" spans="1:6" s="29" customFormat="1" ht="19.5" customHeight="1" x14ac:dyDescent="0.25">
      <c r="C38" s="60"/>
      <c r="D38" s="71"/>
      <c r="E38" s="72"/>
      <c r="F38" s="32"/>
    </row>
    <row r="39" spans="1:6" s="29" customFormat="1" ht="19.5" customHeight="1" x14ac:dyDescent="0.25">
      <c r="C39" s="88" t="s">
        <v>22</v>
      </c>
      <c r="D39" s="88"/>
      <c r="E39" s="45"/>
      <c r="F39" s="32"/>
    </row>
    <row r="40" spans="1:6" s="29" customFormat="1" ht="19.5" customHeight="1" x14ac:dyDescent="0.25">
      <c r="C40" s="83" t="s">
        <v>15</v>
      </c>
      <c r="D40" s="83"/>
      <c r="E40" s="73"/>
      <c r="F40" s="32"/>
    </row>
    <row r="41" spans="1:6" s="29" customFormat="1" ht="19.5" customHeight="1" x14ac:dyDescent="0.25">
      <c r="C41" s="61"/>
      <c r="D41" s="74"/>
      <c r="E41" s="74"/>
      <c r="F41" s="32"/>
    </row>
    <row r="42" spans="1:6" s="29" customFormat="1" ht="19.5" customHeight="1" x14ac:dyDescent="0.25">
      <c r="C42" s="61"/>
      <c r="D42" s="74"/>
      <c r="E42" s="74"/>
      <c r="F42" s="32"/>
    </row>
    <row r="43" spans="1:6" s="29" customFormat="1" ht="19.5" customHeight="1" x14ac:dyDescent="0.25">
      <c r="C43" s="61"/>
      <c r="D43" s="74"/>
      <c r="E43" s="74"/>
      <c r="F43" s="32"/>
    </row>
    <row r="44" spans="1:6" s="29" customFormat="1" ht="19.5" customHeight="1" x14ac:dyDescent="0.25">
      <c r="C44" s="61"/>
      <c r="D44" s="74"/>
      <c r="E44" s="74"/>
      <c r="F44" s="32"/>
    </row>
    <row r="45" spans="1:6" s="29" customFormat="1" ht="19.5" customHeight="1" x14ac:dyDescent="0.25">
      <c r="C45" s="61"/>
      <c r="D45" s="74"/>
      <c r="E45" s="74"/>
      <c r="F45" s="32"/>
    </row>
    <row r="46" spans="1:6" s="29" customFormat="1" ht="19.5" customHeight="1" x14ac:dyDescent="0.25">
      <c r="C46" s="61"/>
      <c r="D46" s="74"/>
      <c r="E46" s="74"/>
      <c r="F46" s="32"/>
    </row>
    <row r="47" spans="1:6" s="29" customFormat="1" ht="19.5" customHeight="1" x14ac:dyDescent="0.25">
      <c r="C47" s="83"/>
      <c r="D47" s="83"/>
      <c r="E47" s="73"/>
      <c r="F47" s="32"/>
    </row>
    <row r="48" spans="1:6" s="29" customFormat="1" ht="19.5" customHeight="1" x14ac:dyDescent="0.25">
      <c r="C48" s="60"/>
      <c r="D48" s="71"/>
      <c r="E48" s="72"/>
      <c r="F48" s="32"/>
    </row>
    <row r="49" spans="3:6" s="29" customFormat="1" ht="19.5" customHeight="1" x14ac:dyDescent="0.25">
      <c r="C49" s="60"/>
      <c r="D49" s="71"/>
      <c r="E49" s="72"/>
      <c r="F49" s="32"/>
    </row>
    <row r="50" spans="3:6" s="29" customFormat="1" ht="19.5" customHeight="1" x14ac:dyDescent="0.25">
      <c r="C50" s="60"/>
      <c r="D50" s="71"/>
      <c r="E50" s="72"/>
      <c r="F50" s="32"/>
    </row>
    <row r="51" spans="3:6" s="29" customFormat="1" ht="19.5" customHeight="1" x14ac:dyDescent="0.25">
      <c r="C51" s="60"/>
      <c r="D51" s="71"/>
      <c r="E51" s="72"/>
      <c r="F51" s="32"/>
    </row>
    <row r="52" spans="3:6" s="29" customFormat="1" ht="19.5" customHeight="1" x14ac:dyDescent="0.25">
      <c r="C52" s="60"/>
      <c r="D52" s="71"/>
      <c r="E52" s="72"/>
      <c r="F52" s="32"/>
    </row>
    <row r="53" spans="3:6" ht="19.5" customHeight="1" x14ac:dyDescent="0.25"/>
    <row r="54" spans="3:6" ht="19.5" customHeight="1" x14ac:dyDescent="0.25"/>
    <row r="55" spans="3:6" ht="19.5" customHeight="1" x14ac:dyDescent="0.25"/>
    <row r="56" spans="3:6" ht="19.5" customHeight="1" x14ac:dyDescent="0.25"/>
    <row r="57" spans="3:6" ht="19.5" customHeight="1" x14ac:dyDescent="0.25"/>
    <row r="58" spans="3:6" ht="19.5" customHeight="1" x14ac:dyDescent="0.25"/>
    <row r="59" spans="3:6" ht="19.5" customHeight="1" x14ac:dyDescent="0.25"/>
    <row r="60" spans="3:6" ht="19.5" customHeight="1" x14ac:dyDescent="0.25"/>
    <row r="61" spans="3:6" ht="19.5" customHeight="1" x14ac:dyDescent="0.25"/>
    <row r="62" spans="3:6" ht="19.5" customHeight="1" x14ac:dyDescent="0.25"/>
    <row r="63" spans="3:6" ht="19.5" customHeight="1" x14ac:dyDescent="0.25"/>
    <row r="64" spans="3:6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  <row r="196" ht="19.5" customHeight="1" x14ac:dyDescent="0.25"/>
    <row r="197" ht="19.5" customHeight="1" x14ac:dyDescent="0.25"/>
    <row r="198" ht="19.5" customHeight="1" x14ac:dyDescent="0.25"/>
    <row r="199" ht="19.5" customHeight="1" x14ac:dyDescent="0.25"/>
    <row r="200" ht="19.5" customHeight="1" x14ac:dyDescent="0.25"/>
    <row r="201" ht="19.5" customHeight="1" x14ac:dyDescent="0.25"/>
    <row r="202" ht="19.5" customHeight="1" x14ac:dyDescent="0.25"/>
    <row r="203" ht="19.5" customHeight="1" x14ac:dyDescent="0.25"/>
    <row r="204" ht="19.5" customHeight="1" x14ac:dyDescent="0.25"/>
    <row r="205" ht="19.5" customHeight="1" x14ac:dyDescent="0.25"/>
    <row r="206" ht="19.5" customHeight="1" x14ac:dyDescent="0.25"/>
    <row r="207" ht="19.5" customHeight="1" x14ac:dyDescent="0.25"/>
    <row r="208" ht="19.5" customHeight="1" x14ac:dyDescent="0.25"/>
  </sheetData>
  <mergeCells count="7">
    <mergeCell ref="C47:D47"/>
    <mergeCell ref="A1:D1"/>
    <mergeCell ref="B4:C4"/>
    <mergeCell ref="B7:C7"/>
    <mergeCell ref="B37:C37"/>
    <mergeCell ref="C39:D39"/>
    <mergeCell ref="C40:D40"/>
  </mergeCells>
  <pageMargins left="0.70866141732283472" right="0.70866141732283472" top="0" bottom="0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37"/>
  <sheetViews>
    <sheetView tabSelected="1" zoomScale="80" zoomScaleNormal="80" workbookViewId="0">
      <selection activeCell="E22" sqref="E22"/>
    </sheetView>
  </sheetViews>
  <sheetFormatPr defaultRowHeight="16.5" x14ac:dyDescent="0.25"/>
  <cols>
    <col min="1" max="1" width="30.140625" style="4" customWidth="1"/>
    <col min="2" max="2" width="11.140625" style="5" bestFit="1" customWidth="1"/>
    <col min="3" max="3" width="18.7109375" style="6" customWidth="1"/>
    <col min="4" max="4" width="19.28515625" style="6" bestFit="1" customWidth="1"/>
    <col min="5" max="5" width="18.7109375" style="6" customWidth="1"/>
    <col min="6" max="6" width="20" style="6" bestFit="1" customWidth="1"/>
    <col min="7" max="7" width="18.7109375" style="6" customWidth="1"/>
    <col min="8" max="8" width="19.7109375" style="4" bestFit="1" customWidth="1"/>
    <col min="9" max="9" width="6.85546875" style="5" customWidth="1"/>
    <col min="10" max="10" width="15.85546875" style="6" bestFit="1" customWidth="1"/>
    <col min="11" max="11" width="15.85546875" style="4" bestFit="1" customWidth="1"/>
    <col min="12" max="12" width="19" style="4" customWidth="1"/>
    <col min="13" max="13" width="18.42578125" style="4" customWidth="1"/>
    <col min="14" max="14" width="17.85546875" style="6" hidden="1" customWidth="1"/>
    <col min="15" max="258" width="9.140625" style="4"/>
    <col min="259" max="259" width="28.85546875" style="4" customWidth="1"/>
    <col min="260" max="260" width="11" style="4" customWidth="1"/>
    <col min="261" max="261" width="18.7109375" style="4" customWidth="1"/>
    <col min="262" max="262" width="20.85546875" style="4" customWidth="1"/>
    <col min="263" max="263" width="0" style="4" hidden="1" customWidth="1"/>
    <col min="264" max="264" width="17" style="4" customWidth="1"/>
    <col min="265" max="265" width="15.7109375" style="4" customWidth="1"/>
    <col min="266" max="266" width="6.85546875" style="4" customWidth="1"/>
    <col min="267" max="268" width="15.28515625" style="4" customWidth="1"/>
    <col min="269" max="269" width="18.42578125" style="4" customWidth="1"/>
    <col min="270" max="270" width="0" style="4" hidden="1" customWidth="1"/>
    <col min="271" max="514" width="9.140625" style="4"/>
    <col min="515" max="515" width="28.85546875" style="4" customWidth="1"/>
    <col min="516" max="516" width="11" style="4" customWidth="1"/>
    <col min="517" max="517" width="18.7109375" style="4" customWidth="1"/>
    <col min="518" max="518" width="20.85546875" style="4" customWidth="1"/>
    <col min="519" max="519" width="0" style="4" hidden="1" customWidth="1"/>
    <col min="520" max="520" width="17" style="4" customWidth="1"/>
    <col min="521" max="521" width="15.7109375" style="4" customWidth="1"/>
    <col min="522" max="522" width="6.85546875" style="4" customWidth="1"/>
    <col min="523" max="524" width="15.28515625" style="4" customWidth="1"/>
    <col min="525" max="525" width="18.42578125" style="4" customWidth="1"/>
    <col min="526" max="526" width="0" style="4" hidden="1" customWidth="1"/>
    <col min="527" max="770" width="9.140625" style="4"/>
    <col min="771" max="771" width="28.85546875" style="4" customWidth="1"/>
    <col min="772" max="772" width="11" style="4" customWidth="1"/>
    <col min="773" max="773" width="18.7109375" style="4" customWidth="1"/>
    <col min="774" max="774" width="20.85546875" style="4" customWidth="1"/>
    <col min="775" max="775" width="0" style="4" hidden="1" customWidth="1"/>
    <col min="776" max="776" width="17" style="4" customWidth="1"/>
    <col min="777" max="777" width="15.7109375" style="4" customWidth="1"/>
    <col min="778" max="778" width="6.85546875" style="4" customWidth="1"/>
    <col min="779" max="780" width="15.28515625" style="4" customWidth="1"/>
    <col min="781" max="781" width="18.42578125" style="4" customWidth="1"/>
    <col min="782" max="782" width="0" style="4" hidden="1" customWidth="1"/>
    <col min="783" max="1026" width="9.140625" style="4"/>
    <col min="1027" max="1027" width="28.85546875" style="4" customWidth="1"/>
    <col min="1028" max="1028" width="11" style="4" customWidth="1"/>
    <col min="1029" max="1029" width="18.7109375" style="4" customWidth="1"/>
    <col min="1030" max="1030" width="20.85546875" style="4" customWidth="1"/>
    <col min="1031" max="1031" width="0" style="4" hidden="1" customWidth="1"/>
    <col min="1032" max="1032" width="17" style="4" customWidth="1"/>
    <col min="1033" max="1033" width="15.7109375" style="4" customWidth="1"/>
    <col min="1034" max="1034" width="6.85546875" style="4" customWidth="1"/>
    <col min="1035" max="1036" width="15.28515625" style="4" customWidth="1"/>
    <col min="1037" max="1037" width="18.42578125" style="4" customWidth="1"/>
    <col min="1038" max="1038" width="0" style="4" hidden="1" customWidth="1"/>
    <col min="1039" max="1282" width="9.140625" style="4"/>
    <col min="1283" max="1283" width="28.85546875" style="4" customWidth="1"/>
    <col min="1284" max="1284" width="11" style="4" customWidth="1"/>
    <col min="1285" max="1285" width="18.7109375" style="4" customWidth="1"/>
    <col min="1286" max="1286" width="20.85546875" style="4" customWidth="1"/>
    <col min="1287" max="1287" width="0" style="4" hidden="1" customWidth="1"/>
    <col min="1288" max="1288" width="17" style="4" customWidth="1"/>
    <col min="1289" max="1289" width="15.7109375" style="4" customWidth="1"/>
    <col min="1290" max="1290" width="6.85546875" style="4" customWidth="1"/>
    <col min="1291" max="1292" width="15.28515625" style="4" customWidth="1"/>
    <col min="1293" max="1293" width="18.42578125" style="4" customWidth="1"/>
    <col min="1294" max="1294" width="0" style="4" hidden="1" customWidth="1"/>
    <col min="1295" max="1538" width="9.140625" style="4"/>
    <col min="1539" max="1539" width="28.85546875" style="4" customWidth="1"/>
    <col min="1540" max="1540" width="11" style="4" customWidth="1"/>
    <col min="1541" max="1541" width="18.7109375" style="4" customWidth="1"/>
    <col min="1542" max="1542" width="20.85546875" style="4" customWidth="1"/>
    <col min="1543" max="1543" width="0" style="4" hidden="1" customWidth="1"/>
    <col min="1544" max="1544" width="17" style="4" customWidth="1"/>
    <col min="1545" max="1545" width="15.7109375" style="4" customWidth="1"/>
    <col min="1546" max="1546" width="6.85546875" style="4" customWidth="1"/>
    <col min="1547" max="1548" width="15.28515625" style="4" customWidth="1"/>
    <col min="1549" max="1549" width="18.42578125" style="4" customWidth="1"/>
    <col min="1550" max="1550" width="0" style="4" hidden="1" customWidth="1"/>
    <col min="1551" max="1794" width="9.140625" style="4"/>
    <col min="1795" max="1795" width="28.85546875" style="4" customWidth="1"/>
    <col min="1796" max="1796" width="11" style="4" customWidth="1"/>
    <col min="1797" max="1797" width="18.7109375" style="4" customWidth="1"/>
    <col min="1798" max="1798" width="20.85546875" style="4" customWidth="1"/>
    <col min="1799" max="1799" width="0" style="4" hidden="1" customWidth="1"/>
    <col min="1800" max="1800" width="17" style="4" customWidth="1"/>
    <col min="1801" max="1801" width="15.7109375" style="4" customWidth="1"/>
    <col min="1802" max="1802" width="6.85546875" style="4" customWidth="1"/>
    <col min="1803" max="1804" width="15.28515625" style="4" customWidth="1"/>
    <col min="1805" max="1805" width="18.42578125" style="4" customWidth="1"/>
    <col min="1806" max="1806" width="0" style="4" hidden="1" customWidth="1"/>
    <col min="1807" max="2050" width="9.140625" style="4"/>
    <col min="2051" max="2051" width="28.85546875" style="4" customWidth="1"/>
    <col min="2052" max="2052" width="11" style="4" customWidth="1"/>
    <col min="2053" max="2053" width="18.7109375" style="4" customWidth="1"/>
    <col min="2054" max="2054" width="20.85546875" style="4" customWidth="1"/>
    <col min="2055" max="2055" width="0" style="4" hidden="1" customWidth="1"/>
    <col min="2056" max="2056" width="17" style="4" customWidth="1"/>
    <col min="2057" max="2057" width="15.7109375" style="4" customWidth="1"/>
    <col min="2058" max="2058" width="6.85546875" style="4" customWidth="1"/>
    <col min="2059" max="2060" width="15.28515625" style="4" customWidth="1"/>
    <col min="2061" max="2061" width="18.42578125" style="4" customWidth="1"/>
    <col min="2062" max="2062" width="0" style="4" hidden="1" customWidth="1"/>
    <col min="2063" max="2306" width="9.140625" style="4"/>
    <col min="2307" max="2307" width="28.85546875" style="4" customWidth="1"/>
    <col min="2308" max="2308" width="11" style="4" customWidth="1"/>
    <col min="2309" max="2309" width="18.7109375" style="4" customWidth="1"/>
    <col min="2310" max="2310" width="20.85546875" style="4" customWidth="1"/>
    <col min="2311" max="2311" width="0" style="4" hidden="1" customWidth="1"/>
    <col min="2312" max="2312" width="17" style="4" customWidth="1"/>
    <col min="2313" max="2313" width="15.7109375" style="4" customWidth="1"/>
    <col min="2314" max="2314" width="6.85546875" style="4" customWidth="1"/>
    <col min="2315" max="2316" width="15.28515625" style="4" customWidth="1"/>
    <col min="2317" max="2317" width="18.42578125" style="4" customWidth="1"/>
    <col min="2318" max="2318" width="0" style="4" hidden="1" customWidth="1"/>
    <col min="2319" max="2562" width="9.140625" style="4"/>
    <col min="2563" max="2563" width="28.85546875" style="4" customWidth="1"/>
    <col min="2564" max="2564" width="11" style="4" customWidth="1"/>
    <col min="2565" max="2565" width="18.7109375" style="4" customWidth="1"/>
    <col min="2566" max="2566" width="20.85546875" style="4" customWidth="1"/>
    <col min="2567" max="2567" width="0" style="4" hidden="1" customWidth="1"/>
    <col min="2568" max="2568" width="17" style="4" customWidth="1"/>
    <col min="2569" max="2569" width="15.7109375" style="4" customWidth="1"/>
    <col min="2570" max="2570" width="6.85546875" style="4" customWidth="1"/>
    <col min="2571" max="2572" width="15.28515625" style="4" customWidth="1"/>
    <col min="2573" max="2573" width="18.42578125" style="4" customWidth="1"/>
    <col min="2574" max="2574" width="0" style="4" hidden="1" customWidth="1"/>
    <col min="2575" max="2818" width="9.140625" style="4"/>
    <col min="2819" max="2819" width="28.85546875" style="4" customWidth="1"/>
    <col min="2820" max="2820" width="11" style="4" customWidth="1"/>
    <col min="2821" max="2821" width="18.7109375" style="4" customWidth="1"/>
    <col min="2822" max="2822" width="20.85546875" style="4" customWidth="1"/>
    <col min="2823" max="2823" width="0" style="4" hidden="1" customWidth="1"/>
    <col min="2824" max="2824" width="17" style="4" customWidth="1"/>
    <col min="2825" max="2825" width="15.7109375" style="4" customWidth="1"/>
    <col min="2826" max="2826" width="6.85546875" style="4" customWidth="1"/>
    <col min="2827" max="2828" width="15.28515625" style="4" customWidth="1"/>
    <col min="2829" max="2829" width="18.42578125" style="4" customWidth="1"/>
    <col min="2830" max="2830" width="0" style="4" hidden="1" customWidth="1"/>
    <col min="2831" max="3074" width="9.140625" style="4"/>
    <col min="3075" max="3075" width="28.85546875" style="4" customWidth="1"/>
    <col min="3076" max="3076" width="11" style="4" customWidth="1"/>
    <col min="3077" max="3077" width="18.7109375" style="4" customWidth="1"/>
    <col min="3078" max="3078" width="20.85546875" style="4" customWidth="1"/>
    <col min="3079" max="3079" width="0" style="4" hidden="1" customWidth="1"/>
    <col min="3080" max="3080" width="17" style="4" customWidth="1"/>
    <col min="3081" max="3081" width="15.7109375" style="4" customWidth="1"/>
    <col min="3082" max="3082" width="6.85546875" style="4" customWidth="1"/>
    <col min="3083" max="3084" width="15.28515625" style="4" customWidth="1"/>
    <col min="3085" max="3085" width="18.42578125" style="4" customWidth="1"/>
    <col min="3086" max="3086" width="0" style="4" hidden="1" customWidth="1"/>
    <col min="3087" max="3330" width="9.140625" style="4"/>
    <col min="3331" max="3331" width="28.85546875" style="4" customWidth="1"/>
    <col min="3332" max="3332" width="11" style="4" customWidth="1"/>
    <col min="3333" max="3333" width="18.7109375" style="4" customWidth="1"/>
    <col min="3334" max="3334" width="20.85546875" style="4" customWidth="1"/>
    <col min="3335" max="3335" width="0" style="4" hidden="1" customWidth="1"/>
    <col min="3336" max="3336" width="17" style="4" customWidth="1"/>
    <col min="3337" max="3337" width="15.7109375" style="4" customWidth="1"/>
    <col min="3338" max="3338" width="6.85546875" style="4" customWidth="1"/>
    <col min="3339" max="3340" width="15.28515625" style="4" customWidth="1"/>
    <col min="3341" max="3341" width="18.42578125" style="4" customWidth="1"/>
    <col min="3342" max="3342" width="0" style="4" hidden="1" customWidth="1"/>
    <col min="3343" max="3586" width="9.140625" style="4"/>
    <col min="3587" max="3587" width="28.85546875" style="4" customWidth="1"/>
    <col min="3588" max="3588" width="11" style="4" customWidth="1"/>
    <col min="3589" max="3589" width="18.7109375" style="4" customWidth="1"/>
    <col min="3590" max="3590" width="20.85546875" style="4" customWidth="1"/>
    <col min="3591" max="3591" width="0" style="4" hidden="1" customWidth="1"/>
    <col min="3592" max="3592" width="17" style="4" customWidth="1"/>
    <col min="3593" max="3593" width="15.7109375" style="4" customWidth="1"/>
    <col min="3594" max="3594" width="6.85546875" style="4" customWidth="1"/>
    <col min="3595" max="3596" width="15.28515625" style="4" customWidth="1"/>
    <col min="3597" max="3597" width="18.42578125" style="4" customWidth="1"/>
    <col min="3598" max="3598" width="0" style="4" hidden="1" customWidth="1"/>
    <col min="3599" max="3842" width="9.140625" style="4"/>
    <col min="3843" max="3843" width="28.85546875" style="4" customWidth="1"/>
    <col min="3844" max="3844" width="11" style="4" customWidth="1"/>
    <col min="3845" max="3845" width="18.7109375" style="4" customWidth="1"/>
    <col min="3846" max="3846" width="20.85546875" style="4" customWidth="1"/>
    <col min="3847" max="3847" width="0" style="4" hidden="1" customWidth="1"/>
    <col min="3848" max="3848" width="17" style="4" customWidth="1"/>
    <col min="3849" max="3849" width="15.7109375" style="4" customWidth="1"/>
    <col min="3850" max="3850" width="6.85546875" style="4" customWidth="1"/>
    <col min="3851" max="3852" width="15.28515625" style="4" customWidth="1"/>
    <col min="3853" max="3853" width="18.42578125" style="4" customWidth="1"/>
    <col min="3854" max="3854" width="0" style="4" hidden="1" customWidth="1"/>
    <col min="3855" max="4098" width="9.140625" style="4"/>
    <col min="4099" max="4099" width="28.85546875" style="4" customWidth="1"/>
    <col min="4100" max="4100" width="11" style="4" customWidth="1"/>
    <col min="4101" max="4101" width="18.7109375" style="4" customWidth="1"/>
    <col min="4102" max="4102" width="20.85546875" style="4" customWidth="1"/>
    <col min="4103" max="4103" width="0" style="4" hidden="1" customWidth="1"/>
    <col min="4104" max="4104" width="17" style="4" customWidth="1"/>
    <col min="4105" max="4105" width="15.7109375" style="4" customWidth="1"/>
    <col min="4106" max="4106" width="6.85546875" style="4" customWidth="1"/>
    <col min="4107" max="4108" width="15.28515625" style="4" customWidth="1"/>
    <col min="4109" max="4109" width="18.42578125" style="4" customWidth="1"/>
    <col min="4110" max="4110" width="0" style="4" hidden="1" customWidth="1"/>
    <col min="4111" max="4354" width="9.140625" style="4"/>
    <col min="4355" max="4355" width="28.85546875" style="4" customWidth="1"/>
    <col min="4356" max="4356" width="11" style="4" customWidth="1"/>
    <col min="4357" max="4357" width="18.7109375" style="4" customWidth="1"/>
    <col min="4358" max="4358" width="20.85546875" style="4" customWidth="1"/>
    <col min="4359" max="4359" width="0" style="4" hidden="1" customWidth="1"/>
    <col min="4360" max="4360" width="17" style="4" customWidth="1"/>
    <col min="4361" max="4361" width="15.7109375" style="4" customWidth="1"/>
    <col min="4362" max="4362" width="6.85546875" style="4" customWidth="1"/>
    <col min="4363" max="4364" width="15.28515625" style="4" customWidth="1"/>
    <col min="4365" max="4365" width="18.42578125" style="4" customWidth="1"/>
    <col min="4366" max="4366" width="0" style="4" hidden="1" customWidth="1"/>
    <col min="4367" max="4610" width="9.140625" style="4"/>
    <col min="4611" max="4611" width="28.85546875" style="4" customWidth="1"/>
    <col min="4612" max="4612" width="11" style="4" customWidth="1"/>
    <col min="4613" max="4613" width="18.7109375" style="4" customWidth="1"/>
    <col min="4614" max="4614" width="20.85546875" style="4" customWidth="1"/>
    <col min="4615" max="4615" width="0" style="4" hidden="1" customWidth="1"/>
    <col min="4616" max="4616" width="17" style="4" customWidth="1"/>
    <col min="4617" max="4617" width="15.7109375" style="4" customWidth="1"/>
    <col min="4618" max="4618" width="6.85546875" style="4" customWidth="1"/>
    <col min="4619" max="4620" width="15.28515625" style="4" customWidth="1"/>
    <col min="4621" max="4621" width="18.42578125" style="4" customWidth="1"/>
    <col min="4622" max="4622" width="0" style="4" hidden="1" customWidth="1"/>
    <col min="4623" max="4866" width="9.140625" style="4"/>
    <col min="4867" max="4867" width="28.85546875" style="4" customWidth="1"/>
    <col min="4868" max="4868" width="11" style="4" customWidth="1"/>
    <col min="4869" max="4869" width="18.7109375" style="4" customWidth="1"/>
    <col min="4870" max="4870" width="20.85546875" style="4" customWidth="1"/>
    <col min="4871" max="4871" width="0" style="4" hidden="1" customWidth="1"/>
    <col min="4872" max="4872" width="17" style="4" customWidth="1"/>
    <col min="4873" max="4873" width="15.7109375" style="4" customWidth="1"/>
    <col min="4874" max="4874" width="6.85546875" style="4" customWidth="1"/>
    <col min="4875" max="4876" width="15.28515625" style="4" customWidth="1"/>
    <col min="4877" max="4877" width="18.42578125" style="4" customWidth="1"/>
    <col min="4878" max="4878" width="0" style="4" hidden="1" customWidth="1"/>
    <col min="4879" max="5122" width="9.140625" style="4"/>
    <col min="5123" max="5123" width="28.85546875" style="4" customWidth="1"/>
    <col min="5124" max="5124" width="11" style="4" customWidth="1"/>
    <col min="5125" max="5125" width="18.7109375" style="4" customWidth="1"/>
    <col min="5126" max="5126" width="20.85546875" style="4" customWidth="1"/>
    <col min="5127" max="5127" width="0" style="4" hidden="1" customWidth="1"/>
    <col min="5128" max="5128" width="17" style="4" customWidth="1"/>
    <col min="5129" max="5129" width="15.7109375" style="4" customWidth="1"/>
    <col min="5130" max="5130" width="6.85546875" style="4" customWidth="1"/>
    <col min="5131" max="5132" width="15.28515625" style="4" customWidth="1"/>
    <col min="5133" max="5133" width="18.42578125" style="4" customWidth="1"/>
    <col min="5134" max="5134" width="0" style="4" hidden="1" customWidth="1"/>
    <col min="5135" max="5378" width="9.140625" style="4"/>
    <col min="5379" max="5379" width="28.85546875" style="4" customWidth="1"/>
    <col min="5380" max="5380" width="11" style="4" customWidth="1"/>
    <col min="5381" max="5381" width="18.7109375" style="4" customWidth="1"/>
    <col min="5382" max="5382" width="20.85546875" style="4" customWidth="1"/>
    <col min="5383" max="5383" width="0" style="4" hidden="1" customWidth="1"/>
    <col min="5384" max="5384" width="17" style="4" customWidth="1"/>
    <col min="5385" max="5385" width="15.7109375" style="4" customWidth="1"/>
    <col min="5386" max="5386" width="6.85546875" style="4" customWidth="1"/>
    <col min="5387" max="5388" width="15.28515625" style="4" customWidth="1"/>
    <col min="5389" max="5389" width="18.42578125" style="4" customWidth="1"/>
    <col min="5390" max="5390" width="0" style="4" hidden="1" customWidth="1"/>
    <col min="5391" max="5634" width="9.140625" style="4"/>
    <col min="5635" max="5635" width="28.85546875" style="4" customWidth="1"/>
    <col min="5636" max="5636" width="11" style="4" customWidth="1"/>
    <col min="5637" max="5637" width="18.7109375" style="4" customWidth="1"/>
    <col min="5638" max="5638" width="20.85546875" style="4" customWidth="1"/>
    <col min="5639" max="5639" width="0" style="4" hidden="1" customWidth="1"/>
    <col min="5640" max="5640" width="17" style="4" customWidth="1"/>
    <col min="5641" max="5641" width="15.7109375" style="4" customWidth="1"/>
    <col min="5642" max="5642" width="6.85546875" style="4" customWidth="1"/>
    <col min="5643" max="5644" width="15.28515625" style="4" customWidth="1"/>
    <col min="5645" max="5645" width="18.42578125" style="4" customWidth="1"/>
    <col min="5646" max="5646" width="0" style="4" hidden="1" customWidth="1"/>
    <col min="5647" max="5890" width="9.140625" style="4"/>
    <col min="5891" max="5891" width="28.85546875" style="4" customWidth="1"/>
    <col min="5892" max="5892" width="11" style="4" customWidth="1"/>
    <col min="5893" max="5893" width="18.7109375" style="4" customWidth="1"/>
    <col min="5894" max="5894" width="20.85546875" style="4" customWidth="1"/>
    <col min="5895" max="5895" width="0" style="4" hidden="1" customWidth="1"/>
    <col min="5896" max="5896" width="17" style="4" customWidth="1"/>
    <col min="5897" max="5897" width="15.7109375" style="4" customWidth="1"/>
    <col min="5898" max="5898" width="6.85546875" style="4" customWidth="1"/>
    <col min="5899" max="5900" width="15.28515625" style="4" customWidth="1"/>
    <col min="5901" max="5901" width="18.42578125" style="4" customWidth="1"/>
    <col min="5902" max="5902" width="0" style="4" hidden="1" customWidth="1"/>
    <col min="5903" max="6146" width="9.140625" style="4"/>
    <col min="6147" max="6147" width="28.85546875" style="4" customWidth="1"/>
    <col min="6148" max="6148" width="11" style="4" customWidth="1"/>
    <col min="6149" max="6149" width="18.7109375" style="4" customWidth="1"/>
    <col min="6150" max="6150" width="20.85546875" style="4" customWidth="1"/>
    <col min="6151" max="6151" width="0" style="4" hidden="1" customWidth="1"/>
    <col min="6152" max="6152" width="17" style="4" customWidth="1"/>
    <col min="6153" max="6153" width="15.7109375" style="4" customWidth="1"/>
    <col min="6154" max="6154" width="6.85546875" style="4" customWidth="1"/>
    <col min="6155" max="6156" width="15.28515625" style="4" customWidth="1"/>
    <col min="6157" max="6157" width="18.42578125" style="4" customWidth="1"/>
    <col min="6158" max="6158" width="0" style="4" hidden="1" customWidth="1"/>
    <col min="6159" max="6402" width="9.140625" style="4"/>
    <col min="6403" max="6403" width="28.85546875" style="4" customWidth="1"/>
    <col min="6404" max="6404" width="11" style="4" customWidth="1"/>
    <col min="6405" max="6405" width="18.7109375" style="4" customWidth="1"/>
    <col min="6406" max="6406" width="20.85546875" style="4" customWidth="1"/>
    <col min="6407" max="6407" width="0" style="4" hidden="1" customWidth="1"/>
    <col min="6408" max="6408" width="17" style="4" customWidth="1"/>
    <col min="6409" max="6409" width="15.7109375" style="4" customWidth="1"/>
    <col min="6410" max="6410" width="6.85546875" style="4" customWidth="1"/>
    <col min="6411" max="6412" width="15.28515625" style="4" customWidth="1"/>
    <col min="6413" max="6413" width="18.42578125" style="4" customWidth="1"/>
    <col min="6414" max="6414" width="0" style="4" hidden="1" customWidth="1"/>
    <col min="6415" max="6658" width="9.140625" style="4"/>
    <col min="6659" max="6659" width="28.85546875" style="4" customWidth="1"/>
    <col min="6660" max="6660" width="11" style="4" customWidth="1"/>
    <col min="6661" max="6661" width="18.7109375" style="4" customWidth="1"/>
    <col min="6662" max="6662" width="20.85546875" style="4" customWidth="1"/>
    <col min="6663" max="6663" width="0" style="4" hidden="1" customWidth="1"/>
    <col min="6664" max="6664" width="17" style="4" customWidth="1"/>
    <col min="6665" max="6665" width="15.7109375" style="4" customWidth="1"/>
    <col min="6666" max="6666" width="6.85546875" style="4" customWidth="1"/>
    <col min="6667" max="6668" width="15.28515625" style="4" customWidth="1"/>
    <col min="6669" max="6669" width="18.42578125" style="4" customWidth="1"/>
    <col min="6670" max="6670" width="0" style="4" hidden="1" customWidth="1"/>
    <col min="6671" max="6914" width="9.140625" style="4"/>
    <col min="6915" max="6915" width="28.85546875" style="4" customWidth="1"/>
    <col min="6916" max="6916" width="11" style="4" customWidth="1"/>
    <col min="6917" max="6917" width="18.7109375" style="4" customWidth="1"/>
    <col min="6918" max="6918" width="20.85546875" style="4" customWidth="1"/>
    <col min="6919" max="6919" width="0" style="4" hidden="1" customWidth="1"/>
    <col min="6920" max="6920" width="17" style="4" customWidth="1"/>
    <col min="6921" max="6921" width="15.7109375" style="4" customWidth="1"/>
    <col min="6922" max="6922" width="6.85546875" style="4" customWidth="1"/>
    <col min="6923" max="6924" width="15.28515625" style="4" customWidth="1"/>
    <col min="6925" max="6925" width="18.42578125" style="4" customWidth="1"/>
    <col min="6926" max="6926" width="0" style="4" hidden="1" customWidth="1"/>
    <col min="6927" max="7170" width="9.140625" style="4"/>
    <col min="7171" max="7171" width="28.85546875" style="4" customWidth="1"/>
    <col min="7172" max="7172" width="11" style="4" customWidth="1"/>
    <col min="7173" max="7173" width="18.7109375" style="4" customWidth="1"/>
    <col min="7174" max="7174" width="20.85546875" style="4" customWidth="1"/>
    <col min="7175" max="7175" width="0" style="4" hidden="1" customWidth="1"/>
    <col min="7176" max="7176" width="17" style="4" customWidth="1"/>
    <col min="7177" max="7177" width="15.7109375" style="4" customWidth="1"/>
    <col min="7178" max="7178" width="6.85546875" style="4" customWidth="1"/>
    <col min="7179" max="7180" width="15.28515625" style="4" customWidth="1"/>
    <col min="7181" max="7181" width="18.42578125" style="4" customWidth="1"/>
    <col min="7182" max="7182" width="0" style="4" hidden="1" customWidth="1"/>
    <col min="7183" max="7426" width="9.140625" style="4"/>
    <col min="7427" max="7427" width="28.85546875" style="4" customWidth="1"/>
    <col min="7428" max="7428" width="11" style="4" customWidth="1"/>
    <col min="7429" max="7429" width="18.7109375" style="4" customWidth="1"/>
    <col min="7430" max="7430" width="20.85546875" style="4" customWidth="1"/>
    <col min="7431" max="7431" width="0" style="4" hidden="1" customWidth="1"/>
    <col min="7432" max="7432" width="17" style="4" customWidth="1"/>
    <col min="7433" max="7433" width="15.7109375" style="4" customWidth="1"/>
    <col min="7434" max="7434" width="6.85546875" style="4" customWidth="1"/>
    <col min="7435" max="7436" width="15.28515625" style="4" customWidth="1"/>
    <col min="7437" max="7437" width="18.42578125" style="4" customWidth="1"/>
    <col min="7438" max="7438" width="0" style="4" hidden="1" customWidth="1"/>
    <col min="7439" max="7682" width="9.140625" style="4"/>
    <col min="7683" max="7683" width="28.85546875" style="4" customWidth="1"/>
    <col min="7684" max="7684" width="11" style="4" customWidth="1"/>
    <col min="7685" max="7685" width="18.7109375" style="4" customWidth="1"/>
    <col min="7686" max="7686" width="20.85546875" style="4" customWidth="1"/>
    <col min="7687" max="7687" width="0" style="4" hidden="1" customWidth="1"/>
    <col min="7688" max="7688" width="17" style="4" customWidth="1"/>
    <col min="7689" max="7689" width="15.7109375" style="4" customWidth="1"/>
    <col min="7690" max="7690" width="6.85546875" style="4" customWidth="1"/>
    <col min="7691" max="7692" width="15.28515625" style="4" customWidth="1"/>
    <col min="7693" max="7693" width="18.42578125" style="4" customWidth="1"/>
    <col min="7694" max="7694" width="0" style="4" hidden="1" customWidth="1"/>
    <col min="7695" max="7938" width="9.140625" style="4"/>
    <col min="7939" max="7939" width="28.85546875" style="4" customWidth="1"/>
    <col min="7940" max="7940" width="11" style="4" customWidth="1"/>
    <col min="7941" max="7941" width="18.7109375" style="4" customWidth="1"/>
    <col min="7942" max="7942" width="20.85546875" style="4" customWidth="1"/>
    <col min="7943" max="7943" width="0" style="4" hidden="1" customWidth="1"/>
    <col min="7944" max="7944" width="17" style="4" customWidth="1"/>
    <col min="7945" max="7945" width="15.7109375" style="4" customWidth="1"/>
    <col min="7946" max="7946" width="6.85546875" style="4" customWidth="1"/>
    <col min="7947" max="7948" width="15.28515625" style="4" customWidth="1"/>
    <col min="7949" max="7949" width="18.42578125" style="4" customWidth="1"/>
    <col min="7950" max="7950" width="0" style="4" hidden="1" customWidth="1"/>
    <col min="7951" max="8194" width="9.140625" style="4"/>
    <col min="8195" max="8195" width="28.85546875" style="4" customWidth="1"/>
    <col min="8196" max="8196" width="11" style="4" customWidth="1"/>
    <col min="8197" max="8197" width="18.7109375" style="4" customWidth="1"/>
    <col min="8198" max="8198" width="20.85546875" style="4" customWidth="1"/>
    <col min="8199" max="8199" width="0" style="4" hidden="1" customWidth="1"/>
    <col min="8200" max="8200" width="17" style="4" customWidth="1"/>
    <col min="8201" max="8201" width="15.7109375" style="4" customWidth="1"/>
    <col min="8202" max="8202" width="6.85546875" style="4" customWidth="1"/>
    <col min="8203" max="8204" width="15.28515625" style="4" customWidth="1"/>
    <col min="8205" max="8205" width="18.42578125" style="4" customWidth="1"/>
    <col min="8206" max="8206" width="0" style="4" hidden="1" customWidth="1"/>
    <col min="8207" max="8450" width="9.140625" style="4"/>
    <col min="8451" max="8451" width="28.85546875" style="4" customWidth="1"/>
    <col min="8452" max="8452" width="11" style="4" customWidth="1"/>
    <col min="8453" max="8453" width="18.7109375" style="4" customWidth="1"/>
    <col min="8454" max="8454" width="20.85546875" style="4" customWidth="1"/>
    <col min="8455" max="8455" width="0" style="4" hidden="1" customWidth="1"/>
    <col min="8456" max="8456" width="17" style="4" customWidth="1"/>
    <col min="8457" max="8457" width="15.7109375" style="4" customWidth="1"/>
    <col min="8458" max="8458" width="6.85546875" style="4" customWidth="1"/>
    <col min="8459" max="8460" width="15.28515625" style="4" customWidth="1"/>
    <col min="8461" max="8461" width="18.42578125" style="4" customWidth="1"/>
    <col min="8462" max="8462" width="0" style="4" hidden="1" customWidth="1"/>
    <col min="8463" max="8706" width="9.140625" style="4"/>
    <col min="8707" max="8707" width="28.85546875" style="4" customWidth="1"/>
    <col min="8708" max="8708" width="11" style="4" customWidth="1"/>
    <col min="8709" max="8709" width="18.7109375" style="4" customWidth="1"/>
    <col min="8710" max="8710" width="20.85546875" style="4" customWidth="1"/>
    <col min="8711" max="8711" width="0" style="4" hidden="1" customWidth="1"/>
    <col min="8712" max="8712" width="17" style="4" customWidth="1"/>
    <col min="8713" max="8713" width="15.7109375" style="4" customWidth="1"/>
    <col min="8714" max="8714" width="6.85546875" style="4" customWidth="1"/>
    <col min="8715" max="8716" width="15.28515625" style="4" customWidth="1"/>
    <col min="8717" max="8717" width="18.42578125" style="4" customWidth="1"/>
    <col min="8718" max="8718" width="0" style="4" hidden="1" customWidth="1"/>
    <col min="8719" max="8962" width="9.140625" style="4"/>
    <col min="8963" max="8963" width="28.85546875" style="4" customWidth="1"/>
    <col min="8964" max="8964" width="11" style="4" customWidth="1"/>
    <col min="8965" max="8965" width="18.7109375" style="4" customWidth="1"/>
    <col min="8966" max="8966" width="20.85546875" style="4" customWidth="1"/>
    <col min="8967" max="8967" width="0" style="4" hidden="1" customWidth="1"/>
    <col min="8968" max="8968" width="17" style="4" customWidth="1"/>
    <col min="8969" max="8969" width="15.7109375" style="4" customWidth="1"/>
    <col min="8970" max="8970" width="6.85546875" style="4" customWidth="1"/>
    <col min="8971" max="8972" width="15.28515625" style="4" customWidth="1"/>
    <col min="8973" max="8973" width="18.42578125" style="4" customWidth="1"/>
    <col min="8974" max="8974" width="0" style="4" hidden="1" customWidth="1"/>
    <col min="8975" max="9218" width="9.140625" style="4"/>
    <col min="9219" max="9219" width="28.85546875" style="4" customWidth="1"/>
    <col min="9220" max="9220" width="11" style="4" customWidth="1"/>
    <col min="9221" max="9221" width="18.7109375" style="4" customWidth="1"/>
    <col min="9222" max="9222" width="20.85546875" style="4" customWidth="1"/>
    <col min="9223" max="9223" width="0" style="4" hidden="1" customWidth="1"/>
    <col min="9224" max="9224" width="17" style="4" customWidth="1"/>
    <col min="9225" max="9225" width="15.7109375" style="4" customWidth="1"/>
    <col min="9226" max="9226" width="6.85546875" style="4" customWidth="1"/>
    <col min="9227" max="9228" width="15.28515625" style="4" customWidth="1"/>
    <col min="9229" max="9229" width="18.42578125" style="4" customWidth="1"/>
    <col min="9230" max="9230" width="0" style="4" hidden="1" customWidth="1"/>
    <col min="9231" max="9474" width="9.140625" style="4"/>
    <col min="9475" max="9475" width="28.85546875" style="4" customWidth="1"/>
    <col min="9476" max="9476" width="11" style="4" customWidth="1"/>
    <col min="9477" max="9477" width="18.7109375" style="4" customWidth="1"/>
    <col min="9478" max="9478" width="20.85546875" style="4" customWidth="1"/>
    <col min="9479" max="9479" width="0" style="4" hidden="1" customWidth="1"/>
    <col min="9480" max="9480" width="17" style="4" customWidth="1"/>
    <col min="9481" max="9481" width="15.7109375" style="4" customWidth="1"/>
    <col min="9482" max="9482" width="6.85546875" style="4" customWidth="1"/>
    <col min="9483" max="9484" width="15.28515625" style="4" customWidth="1"/>
    <col min="9485" max="9485" width="18.42578125" style="4" customWidth="1"/>
    <col min="9486" max="9486" width="0" style="4" hidden="1" customWidth="1"/>
    <col min="9487" max="9730" width="9.140625" style="4"/>
    <col min="9731" max="9731" width="28.85546875" style="4" customWidth="1"/>
    <col min="9732" max="9732" width="11" style="4" customWidth="1"/>
    <col min="9733" max="9733" width="18.7109375" style="4" customWidth="1"/>
    <col min="9734" max="9734" width="20.85546875" style="4" customWidth="1"/>
    <col min="9735" max="9735" width="0" style="4" hidden="1" customWidth="1"/>
    <col min="9736" max="9736" width="17" style="4" customWidth="1"/>
    <col min="9737" max="9737" width="15.7109375" style="4" customWidth="1"/>
    <col min="9738" max="9738" width="6.85546875" style="4" customWidth="1"/>
    <col min="9739" max="9740" width="15.28515625" style="4" customWidth="1"/>
    <col min="9741" max="9741" width="18.42578125" style="4" customWidth="1"/>
    <col min="9742" max="9742" width="0" style="4" hidden="1" customWidth="1"/>
    <col min="9743" max="9986" width="9.140625" style="4"/>
    <col min="9987" max="9987" width="28.85546875" style="4" customWidth="1"/>
    <col min="9988" max="9988" width="11" style="4" customWidth="1"/>
    <col min="9989" max="9989" width="18.7109375" style="4" customWidth="1"/>
    <col min="9990" max="9990" width="20.85546875" style="4" customWidth="1"/>
    <col min="9991" max="9991" width="0" style="4" hidden="1" customWidth="1"/>
    <col min="9992" max="9992" width="17" style="4" customWidth="1"/>
    <col min="9993" max="9993" width="15.7109375" style="4" customWidth="1"/>
    <col min="9994" max="9994" width="6.85546875" style="4" customWidth="1"/>
    <col min="9995" max="9996" width="15.28515625" style="4" customWidth="1"/>
    <col min="9997" max="9997" width="18.42578125" style="4" customWidth="1"/>
    <col min="9998" max="9998" width="0" style="4" hidden="1" customWidth="1"/>
    <col min="9999" max="10242" width="9.140625" style="4"/>
    <col min="10243" max="10243" width="28.85546875" style="4" customWidth="1"/>
    <col min="10244" max="10244" width="11" style="4" customWidth="1"/>
    <col min="10245" max="10245" width="18.7109375" style="4" customWidth="1"/>
    <col min="10246" max="10246" width="20.85546875" style="4" customWidth="1"/>
    <col min="10247" max="10247" width="0" style="4" hidden="1" customWidth="1"/>
    <col min="10248" max="10248" width="17" style="4" customWidth="1"/>
    <col min="10249" max="10249" width="15.7109375" style="4" customWidth="1"/>
    <col min="10250" max="10250" width="6.85546875" style="4" customWidth="1"/>
    <col min="10251" max="10252" width="15.28515625" style="4" customWidth="1"/>
    <col min="10253" max="10253" width="18.42578125" style="4" customWidth="1"/>
    <col min="10254" max="10254" width="0" style="4" hidden="1" customWidth="1"/>
    <col min="10255" max="10498" width="9.140625" style="4"/>
    <col min="10499" max="10499" width="28.85546875" style="4" customWidth="1"/>
    <col min="10500" max="10500" width="11" style="4" customWidth="1"/>
    <col min="10501" max="10501" width="18.7109375" style="4" customWidth="1"/>
    <col min="10502" max="10502" width="20.85546875" style="4" customWidth="1"/>
    <col min="10503" max="10503" width="0" style="4" hidden="1" customWidth="1"/>
    <col min="10504" max="10504" width="17" style="4" customWidth="1"/>
    <col min="10505" max="10505" width="15.7109375" style="4" customWidth="1"/>
    <col min="10506" max="10506" width="6.85546875" style="4" customWidth="1"/>
    <col min="10507" max="10508" width="15.28515625" style="4" customWidth="1"/>
    <col min="10509" max="10509" width="18.42578125" style="4" customWidth="1"/>
    <col min="10510" max="10510" width="0" style="4" hidden="1" customWidth="1"/>
    <col min="10511" max="10754" width="9.140625" style="4"/>
    <col min="10755" max="10755" width="28.85546875" style="4" customWidth="1"/>
    <col min="10756" max="10756" width="11" style="4" customWidth="1"/>
    <col min="10757" max="10757" width="18.7109375" style="4" customWidth="1"/>
    <col min="10758" max="10758" width="20.85546875" style="4" customWidth="1"/>
    <col min="10759" max="10759" width="0" style="4" hidden="1" customWidth="1"/>
    <col min="10760" max="10760" width="17" style="4" customWidth="1"/>
    <col min="10761" max="10761" width="15.7109375" style="4" customWidth="1"/>
    <col min="10762" max="10762" width="6.85546875" style="4" customWidth="1"/>
    <col min="10763" max="10764" width="15.28515625" style="4" customWidth="1"/>
    <col min="10765" max="10765" width="18.42578125" style="4" customWidth="1"/>
    <col min="10766" max="10766" width="0" style="4" hidden="1" customWidth="1"/>
    <col min="10767" max="11010" width="9.140625" style="4"/>
    <col min="11011" max="11011" width="28.85546875" style="4" customWidth="1"/>
    <col min="11012" max="11012" width="11" style="4" customWidth="1"/>
    <col min="11013" max="11013" width="18.7109375" style="4" customWidth="1"/>
    <col min="11014" max="11014" width="20.85546875" style="4" customWidth="1"/>
    <col min="11015" max="11015" width="0" style="4" hidden="1" customWidth="1"/>
    <col min="11016" max="11016" width="17" style="4" customWidth="1"/>
    <col min="11017" max="11017" width="15.7109375" style="4" customWidth="1"/>
    <col min="11018" max="11018" width="6.85546875" style="4" customWidth="1"/>
    <col min="11019" max="11020" width="15.28515625" style="4" customWidth="1"/>
    <col min="11021" max="11021" width="18.42578125" style="4" customWidth="1"/>
    <col min="11022" max="11022" width="0" style="4" hidden="1" customWidth="1"/>
    <col min="11023" max="11266" width="9.140625" style="4"/>
    <col min="11267" max="11267" width="28.85546875" style="4" customWidth="1"/>
    <col min="11268" max="11268" width="11" style="4" customWidth="1"/>
    <col min="11269" max="11269" width="18.7109375" style="4" customWidth="1"/>
    <col min="11270" max="11270" width="20.85546875" style="4" customWidth="1"/>
    <col min="11271" max="11271" width="0" style="4" hidden="1" customWidth="1"/>
    <col min="11272" max="11272" width="17" style="4" customWidth="1"/>
    <col min="11273" max="11273" width="15.7109375" style="4" customWidth="1"/>
    <col min="11274" max="11274" width="6.85546875" style="4" customWidth="1"/>
    <col min="11275" max="11276" width="15.28515625" style="4" customWidth="1"/>
    <col min="11277" max="11277" width="18.42578125" style="4" customWidth="1"/>
    <col min="11278" max="11278" width="0" style="4" hidden="1" customWidth="1"/>
    <col min="11279" max="11522" width="9.140625" style="4"/>
    <col min="11523" max="11523" width="28.85546875" style="4" customWidth="1"/>
    <col min="11524" max="11524" width="11" style="4" customWidth="1"/>
    <col min="11525" max="11525" width="18.7109375" style="4" customWidth="1"/>
    <col min="11526" max="11526" width="20.85546875" style="4" customWidth="1"/>
    <col min="11527" max="11527" width="0" style="4" hidden="1" customWidth="1"/>
    <col min="11528" max="11528" width="17" style="4" customWidth="1"/>
    <col min="11529" max="11529" width="15.7109375" style="4" customWidth="1"/>
    <col min="11530" max="11530" width="6.85546875" style="4" customWidth="1"/>
    <col min="11531" max="11532" width="15.28515625" style="4" customWidth="1"/>
    <col min="11533" max="11533" width="18.42578125" style="4" customWidth="1"/>
    <col min="11534" max="11534" width="0" style="4" hidden="1" customWidth="1"/>
    <col min="11535" max="11778" width="9.140625" style="4"/>
    <col min="11779" max="11779" width="28.85546875" style="4" customWidth="1"/>
    <col min="11780" max="11780" width="11" style="4" customWidth="1"/>
    <col min="11781" max="11781" width="18.7109375" style="4" customWidth="1"/>
    <col min="11782" max="11782" width="20.85546875" style="4" customWidth="1"/>
    <col min="11783" max="11783" width="0" style="4" hidden="1" customWidth="1"/>
    <col min="11784" max="11784" width="17" style="4" customWidth="1"/>
    <col min="11785" max="11785" width="15.7109375" style="4" customWidth="1"/>
    <col min="11786" max="11786" width="6.85546875" style="4" customWidth="1"/>
    <col min="11787" max="11788" width="15.28515625" style="4" customWidth="1"/>
    <col min="11789" max="11789" width="18.42578125" style="4" customWidth="1"/>
    <col min="11790" max="11790" width="0" style="4" hidden="1" customWidth="1"/>
    <col min="11791" max="12034" width="9.140625" style="4"/>
    <col min="12035" max="12035" width="28.85546875" style="4" customWidth="1"/>
    <col min="12036" max="12036" width="11" style="4" customWidth="1"/>
    <col min="12037" max="12037" width="18.7109375" style="4" customWidth="1"/>
    <col min="12038" max="12038" width="20.85546875" style="4" customWidth="1"/>
    <col min="12039" max="12039" width="0" style="4" hidden="1" customWidth="1"/>
    <col min="12040" max="12040" width="17" style="4" customWidth="1"/>
    <col min="12041" max="12041" width="15.7109375" style="4" customWidth="1"/>
    <col min="12042" max="12042" width="6.85546875" style="4" customWidth="1"/>
    <col min="12043" max="12044" width="15.28515625" style="4" customWidth="1"/>
    <col min="12045" max="12045" width="18.42578125" style="4" customWidth="1"/>
    <col min="12046" max="12046" width="0" style="4" hidden="1" customWidth="1"/>
    <col min="12047" max="12290" width="9.140625" style="4"/>
    <col min="12291" max="12291" width="28.85546875" style="4" customWidth="1"/>
    <col min="12292" max="12292" width="11" style="4" customWidth="1"/>
    <col min="12293" max="12293" width="18.7109375" style="4" customWidth="1"/>
    <col min="12294" max="12294" width="20.85546875" style="4" customWidth="1"/>
    <col min="12295" max="12295" width="0" style="4" hidden="1" customWidth="1"/>
    <col min="12296" max="12296" width="17" style="4" customWidth="1"/>
    <col min="12297" max="12297" width="15.7109375" style="4" customWidth="1"/>
    <col min="12298" max="12298" width="6.85546875" style="4" customWidth="1"/>
    <col min="12299" max="12300" width="15.28515625" style="4" customWidth="1"/>
    <col min="12301" max="12301" width="18.42578125" style="4" customWidth="1"/>
    <col min="12302" max="12302" width="0" style="4" hidden="1" customWidth="1"/>
    <col min="12303" max="12546" width="9.140625" style="4"/>
    <col min="12547" max="12547" width="28.85546875" style="4" customWidth="1"/>
    <col min="12548" max="12548" width="11" style="4" customWidth="1"/>
    <col min="12549" max="12549" width="18.7109375" style="4" customWidth="1"/>
    <col min="12550" max="12550" width="20.85546875" style="4" customWidth="1"/>
    <col min="12551" max="12551" width="0" style="4" hidden="1" customWidth="1"/>
    <col min="12552" max="12552" width="17" style="4" customWidth="1"/>
    <col min="12553" max="12553" width="15.7109375" style="4" customWidth="1"/>
    <col min="12554" max="12554" width="6.85546875" style="4" customWidth="1"/>
    <col min="12555" max="12556" width="15.28515625" style="4" customWidth="1"/>
    <col min="12557" max="12557" width="18.42578125" style="4" customWidth="1"/>
    <col min="12558" max="12558" width="0" style="4" hidden="1" customWidth="1"/>
    <col min="12559" max="12802" width="9.140625" style="4"/>
    <col min="12803" max="12803" width="28.85546875" style="4" customWidth="1"/>
    <col min="12804" max="12804" width="11" style="4" customWidth="1"/>
    <col min="12805" max="12805" width="18.7109375" style="4" customWidth="1"/>
    <col min="12806" max="12806" width="20.85546875" style="4" customWidth="1"/>
    <col min="12807" max="12807" width="0" style="4" hidden="1" customWidth="1"/>
    <col min="12808" max="12808" width="17" style="4" customWidth="1"/>
    <col min="12809" max="12809" width="15.7109375" style="4" customWidth="1"/>
    <col min="12810" max="12810" width="6.85546875" style="4" customWidth="1"/>
    <col min="12811" max="12812" width="15.28515625" style="4" customWidth="1"/>
    <col min="12813" max="12813" width="18.42578125" style="4" customWidth="1"/>
    <col min="12814" max="12814" width="0" style="4" hidden="1" customWidth="1"/>
    <col min="12815" max="13058" width="9.140625" style="4"/>
    <col min="13059" max="13059" width="28.85546875" style="4" customWidth="1"/>
    <col min="13060" max="13060" width="11" style="4" customWidth="1"/>
    <col min="13061" max="13061" width="18.7109375" style="4" customWidth="1"/>
    <col min="13062" max="13062" width="20.85546875" style="4" customWidth="1"/>
    <col min="13063" max="13063" width="0" style="4" hidden="1" customWidth="1"/>
    <col min="13064" max="13064" width="17" style="4" customWidth="1"/>
    <col min="13065" max="13065" width="15.7109375" style="4" customWidth="1"/>
    <col min="13066" max="13066" width="6.85546875" style="4" customWidth="1"/>
    <col min="13067" max="13068" width="15.28515625" style="4" customWidth="1"/>
    <col min="13069" max="13069" width="18.42578125" style="4" customWidth="1"/>
    <col min="13070" max="13070" width="0" style="4" hidden="1" customWidth="1"/>
    <col min="13071" max="13314" width="9.140625" style="4"/>
    <col min="13315" max="13315" width="28.85546875" style="4" customWidth="1"/>
    <col min="13316" max="13316" width="11" style="4" customWidth="1"/>
    <col min="13317" max="13317" width="18.7109375" style="4" customWidth="1"/>
    <col min="13318" max="13318" width="20.85546875" style="4" customWidth="1"/>
    <col min="13319" max="13319" width="0" style="4" hidden="1" customWidth="1"/>
    <col min="13320" max="13320" width="17" style="4" customWidth="1"/>
    <col min="13321" max="13321" width="15.7109375" style="4" customWidth="1"/>
    <col min="13322" max="13322" width="6.85546875" style="4" customWidth="1"/>
    <col min="13323" max="13324" width="15.28515625" style="4" customWidth="1"/>
    <col min="13325" max="13325" width="18.42578125" style="4" customWidth="1"/>
    <col min="13326" max="13326" width="0" style="4" hidden="1" customWidth="1"/>
    <col min="13327" max="13570" width="9.140625" style="4"/>
    <col min="13571" max="13571" width="28.85546875" style="4" customWidth="1"/>
    <col min="13572" max="13572" width="11" style="4" customWidth="1"/>
    <col min="13573" max="13573" width="18.7109375" style="4" customWidth="1"/>
    <col min="13574" max="13574" width="20.85546875" style="4" customWidth="1"/>
    <col min="13575" max="13575" width="0" style="4" hidden="1" customWidth="1"/>
    <col min="13576" max="13576" width="17" style="4" customWidth="1"/>
    <col min="13577" max="13577" width="15.7109375" style="4" customWidth="1"/>
    <col min="13578" max="13578" width="6.85546875" style="4" customWidth="1"/>
    <col min="13579" max="13580" width="15.28515625" style="4" customWidth="1"/>
    <col min="13581" max="13581" width="18.42578125" style="4" customWidth="1"/>
    <col min="13582" max="13582" width="0" style="4" hidden="1" customWidth="1"/>
    <col min="13583" max="13826" width="9.140625" style="4"/>
    <col min="13827" max="13827" width="28.85546875" style="4" customWidth="1"/>
    <col min="13828" max="13828" width="11" style="4" customWidth="1"/>
    <col min="13829" max="13829" width="18.7109375" style="4" customWidth="1"/>
    <col min="13830" max="13830" width="20.85546875" style="4" customWidth="1"/>
    <col min="13831" max="13831" width="0" style="4" hidden="1" customWidth="1"/>
    <col min="13832" max="13832" width="17" style="4" customWidth="1"/>
    <col min="13833" max="13833" width="15.7109375" style="4" customWidth="1"/>
    <col min="13834" max="13834" width="6.85546875" style="4" customWidth="1"/>
    <col min="13835" max="13836" width="15.28515625" style="4" customWidth="1"/>
    <col min="13837" max="13837" width="18.42578125" style="4" customWidth="1"/>
    <col min="13838" max="13838" width="0" style="4" hidden="1" customWidth="1"/>
    <col min="13839" max="14082" width="9.140625" style="4"/>
    <col min="14083" max="14083" width="28.85546875" style="4" customWidth="1"/>
    <col min="14084" max="14084" width="11" style="4" customWidth="1"/>
    <col min="14085" max="14085" width="18.7109375" style="4" customWidth="1"/>
    <col min="14086" max="14086" width="20.85546875" style="4" customWidth="1"/>
    <col min="14087" max="14087" width="0" style="4" hidden="1" customWidth="1"/>
    <col min="14088" max="14088" width="17" style="4" customWidth="1"/>
    <col min="14089" max="14089" width="15.7109375" style="4" customWidth="1"/>
    <col min="14090" max="14090" width="6.85546875" style="4" customWidth="1"/>
    <col min="14091" max="14092" width="15.28515625" style="4" customWidth="1"/>
    <col min="14093" max="14093" width="18.42578125" style="4" customWidth="1"/>
    <col min="14094" max="14094" width="0" style="4" hidden="1" customWidth="1"/>
    <col min="14095" max="14338" width="9.140625" style="4"/>
    <col min="14339" max="14339" width="28.85546875" style="4" customWidth="1"/>
    <col min="14340" max="14340" width="11" style="4" customWidth="1"/>
    <col min="14341" max="14341" width="18.7109375" style="4" customWidth="1"/>
    <col min="14342" max="14342" width="20.85546875" style="4" customWidth="1"/>
    <col min="14343" max="14343" width="0" style="4" hidden="1" customWidth="1"/>
    <col min="14344" max="14344" width="17" style="4" customWidth="1"/>
    <col min="14345" max="14345" width="15.7109375" style="4" customWidth="1"/>
    <col min="14346" max="14346" width="6.85546875" style="4" customWidth="1"/>
    <col min="14347" max="14348" width="15.28515625" style="4" customWidth="1"/>
    <col min="14349" max="14349" width="18.42578125" style="4" customWidth="1"/>
    <col min="14350" max="14350" width="0" style="4" hidden="1" customWidth="1"/>
    <col min="14351" max="14594" width="9.140625" style="4"/>
    <col min="14595" max="14595" width="28.85546875" style="4" customWidth="1"/>
    <col min="14596" max="14596" width="11" style="4" customWidth="1"/>
    <col min="14597" max="14597" width="18.7109375" style="4" customWidth="1"/>
    <col min="14598" max="14598" width="20.85546875" style="4" customWidth="1"/>
    <col min="14599" max="14599" width="0" style="4" hidden="1" customWidth="1"/>
    <col min="14600" max="14600" width="17" style="4" customWidth="1"/>
    <col min="14601" max="14601" width="15.7109375" style="4" customWidth="1"/>
    <col min="14602" max="14602" width="6.85546875" style="4" customWidth="1"/>
    <col min="14603" max="14604" width="15.28515625" style="4" customWidth="1"/>
    <col min="14605" max="14605" width="18.42578125" style="4" customWidth="1"/>
    <col min="14606" max="14606" width="0" style="4" hidden="1" customWidth="1"/>
    <col min="14607" max="14850" width="9.140625" style="4"/>
    <col min="14851" max="14851" width="28.85546875" style="4" customWidth="1"/>
    <col min="14852" max="14852" width="11" style="4" customWidth="1"/>
    <col min="14853" max="14853" width="18.7109375" style="4" customWidth="1"/>
    <col min="14854" max="14854" width="20.85546875" style="4" customWidth="1"/>
    <col min="14855" max="14855" width="0" style="4" hidden="1" customWidth="1"/>
    <col min="14856" max="14856" width="17" style="4" customWidth="1"/>
    <col min="14857" max="14857" width="15.7109375" style="4" customWidth="1"/>
    <col min="14858" max="14858" width="6.85546875" style="4" customWidth="1"/>
    <col min="14859" max="14860" width="15.28515625" style="4" customWidth="1"/>
    <col min="14861" max="14861" width="18.42578125" style="4" customWidth="1"/>
    <col min="14862" max="14862" width="0" style="4" hidden="1" customWidth="1"/>
    <col min="14863" max="15106" width="9.140625" style="4"/>
    <col min="15107" max="15107" width="28.85546875" style="4" customWidth="1"/>
    <col min="15108" max="15108" width="11" style="4" customWidth="1"/>
    <col min="15109" max="15109" width="18.7109375" style="4" customWidth="1"/>
    <col min="15110" max="15110" width="20.85546875" style="4" customWidth="1"/>
    <col min="15111" max="15111" width="0" style="4" hidden="1" customWidth="1"/>
    <col min="15112" max="15112" width="17" style="4" customWidth="1"/>
    <col min="15113" max="15113" width="15.7109375" style="4" customWidth="1"/>
    <col min="15114" max="15114" width="6.85546875" style="4" customWidth="1"/>
    <col min="15115" max="15116" width="15.28515625" style="4" customWidth="1"/>
    <col min="15117" max="15117" width="18.42578125" style="4" customWidth="1"/>
    <col min="15118" max="15118" width="0" style="4" hidden="1" customWidth="1"/>
    <col min="15119" max="15362" width="9.140625" style="4"/>
    <col min="15363" max="15363" width="28.85546875" style="4" customWidth="1"/>
    <col min="15364" max="15364" width="11" style="4" customWidth="1"/>
    <col min="15365" max="15365" width="18.7109375" style="4" customWidth="1"/>
    <col min="15366" max="15366" width="20.85546875" style="4" customWidth="1"/>
    <col min="15367" max="15367" width="0" style="4" hidden="1" customWidth="1"/>
    <col min="15368" max="15368" width="17" style="4" customWidth="1"/>
    <col min="15369" max="15369" width="15.7109375" style="4" customWidth="1"/>
    <col min="15370" max="15370" width="6.85546875" style="4" customWidth="1"/>
    <col min="15371" max="15372" width="15.28515625" style="4" customWidth="1"/>
    <col min="15373" max="15373" width="18.42578125" style="4" customWidth="1"/>
    <col min="15374" max="15374" width="0" style="4" hidden="1" customWidth="1"/>
    <col min="15375" max="15618" width="9.140625" style="4"/>
    <col min="15619" max="15619" width="28.85546875" style="4" customWidth="1"/>
    <col min="15620" max="15620" width="11" style="4" customWidth="1"/>
    <col min="15621" max="15621" width="18.7109375" style="4" customWidth="1"/>
    <col min="15622" max="15622" width="20.85546875" style="4" customWidth="1"/>
    <col min="15623" max="15623" width="0" style="4" hidden="1" customWidth="1"/>
    <col min="15624" max="15624" width="17" style="4" customWidth="1"/>
    <col min="15625" max="15625" width="15.7109375" style="4" customWidth="1"/>
    <col min="15626" max="15626" width="6.85546875" style="4" customWidth="1"/>
    <col min="15627" max="15628" width="15.28515625" style="4" customWidth="1"/>
    <col min="15629" max="15629" width="18.42578125" style="4" customWidth="1"/>
    <col min="15630" max="15630" width="0" style="4" hidden="1" customWidth="1"/>
    <col min="15631" max="15874" width="9.140625" style="4"/>
    <col min="15875" max="15875" width="28.85546875" style="4" customWidth="1"/>
    <col min="15876" max="15876" width="11" style="4" customWidth="1"/>
    <col min="15877" max="15877" width="18.7109375" style="4" customWidth="1"/>
    <col min="15878" max="15878" width="20.85546875" style="4" customWidth="1"/>
    <col min="15879" max="15879" width="0" style="4" hidden="1" customWidth="1"/>
    <col min="15880" max="15880" width="17" style="4" customWidth="1"/>
    <col min="15881" max="15881" width="15.7109375" style="4" customWidth="1"/>
    <col min="15882" max="15882" width="6.85546875" style="4" customWidth="1"/>
    <col min="15883" max="15884" width="15.28515625" style="4" customWidth="1"/>
    <col min="15885" max="15885" width="18.42578125" style="4" customWidth="1"/>
    <col min="15886" max="15886" width="0" style="4" hidden="1" customWidth="1"/>
    <col min="15887" max="16130" width="9.140625" style="4"/>
    <col min="16131" max="16131" width="28.85546875" style="4" customWidth="1"/>
    <col min="16132" max="16132" width="11" style="4" customWidth="1"/>
    <col min="16133" max="16133" width="18.7109375" style="4" customWidth="1"/>
    <col min="16134" max="16134" width="20.85546875" style="4" customWidth="1"/>
    <col min="16135" max="16135" width="0" style="4" hidden="1" customWidth="1"/>
    <col min="16136" max="16136" width="17" style="4" customWidth="1"/>
    <col min="16137" max="16137" width="15.7109375" style="4" customWidth="1"/>
    <col min="16138" max="16138" width="6.85546875" style="4" customWidth="1"/>
    <col min="16139" max="16140" width="15.28515625" style="4" customWidth="1"/>
    <col min="16141" max="16141" width="18.42578125" style="4" customWidth="1"/>
    <col min="16142" max="16142" width="0" style="4" hidden="1" customWidth="1"/>
    <col min="16143" max="16384" width="9.140625" style="4"/>
  </cols>
  <sheetData>
    <row r="1" spans="1:14" s="1" customFormat="1" x14ac:dyDescent="0.25">
      <c r="A1" s="1" t="s">
        <v>65</v>
      </c>
      <c r="B1" s="2"/>
      <c r="C1" s="3"/>
      <c r="D1" s="3"/>
      <c r="E1" s="3"/>
      <c r="F1" s="3"/>
      <c r="G1" s="3"/>
      <c r="I1" s="2"/>
      <c r="J1" s="3"/>
      <c r="N1" s="3"/>
    </row>
    <row r="2" spans="1:14" s="1" customFormat="1" x14ac:dyDescent="0.25">
      <c r="A2" s="1" t="s">
        <v>66</v>
      </c>
      <c r="B2" s="2"/>
      <c r="C2" s="3"/>
      <c r="D2" s="3"/>
      <c r="E2" s="3"/>
      <c r="F2" s="3"/>
      <c r="G2" s="3"/>
      <c r="I2" s="2"/>
      <c r="J2" s="3"/>
      <c r="N2" s="3"/>
    </row>
    <row r="4" spans="1:14" s="8" customFormat="1" ht="20.25" x14ac:dyDescent="0.3">
      <c r="A4" s="89" t="s">
        <v>17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7">
        <f>+H7-N5</f>
        <v>-57371177.777777776</v>
      </c>
    </row>
    <row r="5" spans="1:14" x14ac:dyDescent="0.25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6">
        <f>+N7/N6</f>
        <v>57371177.777777776</v>
      </c>
    </row>
    <row r="6" spans="1:14" s="39" customFormat="1" x14ac:dyDescent="0.25">
      <c r="A6" s="9" t="s">
        <v>1</v>
      </c>
      <c r="B6" s="10" t="s">
        <v>2</v>
      </c>
      <c r="C6" s="11" t="s">
        <v>0</v>
      </c>
      <c r="D6" s="11" t="s">
        <v>24</v>
      </c>
      <c r="E6" s="11" t="s">
        <v>25</v>
      </c>
      <c r="F6" s="11" t="s">
        <v>62</v>
      </c>
      <c r="G6" s="11" t="s">
        <v>64</v>
      </c>
      <c r="H6" s="9" t="s">
        <v>3</v>
      </c>
      <c r="I6" s="10" t="s">
        <v>4</v>
      </c>
      <c r="J6" s="11" t="s">
        <v>5</v>
      </c>
      <c r="K6" s="9" t="s">
        <v>6</v>
      </c>
      <c r="L6" s="9" t="s">
        <v>63</v>
      </c>
      <c r="M6" s="9" t="s">
        <v>7</v>
      </c>
      <c r="N6" s="12">
        <v>0.22500000000000001</v>
      </c>
    </row>
    <row r="7" spans="1:14" s="1" customFormat="1" hidden="1" x14ac:dyDescent="0.25">
      <c r="A7" s="13" t="s">
        <v>8</v>
      </c>
      <c r="B7" s="14">
        <f>C7/C15</f>
        <v>0</v>
      </c>
      <c r="C7" s="15">
        <f>+C8</f>
        <v>0</v>
      </c>
      <c r="D7" s="15"/>
      <c r="E7" s="15"/>
      <c r="F7" s="15"/>
      <c r="G7" s="15"/>
      <c r="H7" s="16">
        <f>+B7*H15</f>
        <v>0</v>
      </c>
      <c r="I7" s="17">
        <v>0.2</v>
      </c>
      <c r="J7" s="15">
        <f>+I7*H7</f>
        <v>0</v>
      </c>
      <c r="K7" s="18">
        <v>0</v>
      </c>
      <c r="L7" s="18"/>
      <c r="M7" s="16">
        <f>+J7-K7</f>
        <v>0</v>
      </c>
      <c r="N7" s="3">
        <v>12908515</v>
      </c>
    </row>
    <row r="8" spans="1:14" hidden="1" x14ac:dyDescent="0.25">
      <c r="A8" s="19">
        <v>5112</v>
      </c>
      <c r="B8" s="20"/>
      <c r="C8" s="21">
        <v>0</v>
      </c>
      <c r="D8" s="21"/>
      <c r="E8" s="21"/>
      <c r="F8" s="21"/>
      <c r="G8" s="21"/>
      <c r="H8" s="19"/>
      <c r="I8" s="22"/>
      <c r="J8" s="21"/>
      <c r="K8" s="19"/>
      <c r="L8" s="19"/>
      <c r="M8" s="19"/>
    </row>
    <row r="9" spans="1:14" s="1" customFormat="1" x14ac:dyDescent="0.25">
      <c r="A9" s="23" t="s">
        <v>16</v>
      </c>
      <c r="B9" s="10">
        <f>C9/C15</f>
        <v>4.3449759931302477E-2</v>
      </c>
      <c r="C9" s="15">
        <f>+C10</f>
        <v>595472381</v>
      </c>
      <c r="D9" s="15">
        <f>'BANG KE DOANH THU CT 2019'!E4</f>
        <v>517131854</v>
      </c>
      <c r="E9" s="15">
        <f>E15*B9</f>
        <v>42908193.216317937</v>
      </c>
      <c r="F9" s="15">
        <f>+F15*B9</f>
        <v>89940.568560196814</v>
      </c>
      <c r="G9" s="15"/>
      <c r="H9" s="16">
        <f>C9-D9-E9-F9</f>
        <v>35342393.215121865</v>
      </c>
      <c r="I9" s="17">
        <v>0</v>
      </c>
      <c r="J9" s="15">
        <f>H9*I9</f>
        <v>0</v>
      </c>
      <c r="K9" s="16">
        <f>+J9</f>
        <v>0</v>
      </c>
      <c r="L9" s="16"/>
      <c r="M9" s="16">
        <f>+J9-K9</f>
        <v>0</v>
      </c>
      <c r="N9" s="3"/>
    </row>
    <row r="10" spans="1:14" x14ac:dyDescent="0.25">
      <c r="A10" s="19">
        <v>5112</v>
      </c>
      <c r="B10" s="81"/>
      <c r="C10" s="21">
        <f>+'BANG KE DOANH THU CT 2019'!D4</f>
        <v>595472381</v>
      </c>
      <c r="D10" s="21"/>
      <c r="E10" s="21"/>
      <c r="F10" s="21"/>
      <c r="G10" s="21"/>
      <c r="H10" s="19"/>
      <c r="I10" s="22"/>
      <c r="J10" s="21"/>
      <c r="K10" s="19"/>
      <c r="L10" s="19"/>
      <c r="M10" s="19"/>
    </row>
    <row r="11" spans="1:14" s="1" customFormat="1" x14ac:dyDescent="0.25">
      <c r="A11" s="24" t="s">
        <v>18</v>
      </c>
      <c r="B11" s="10">
        <f>C11/C15</f>
        <v>0.95655024006869749</v>
      </c>
      <c r="C11" s="15">
        <f>+C12+C14+C13</f>
        <v>13109376206</v>
      </c>
      <c r="D11" s="15">
        <f>'BANG KE DOANH THU CT 2019'!E7</f>
        <v>12057390082</v>
      </c>
      <c r="E11" s="15">
        <f>E15*B11</f>
        <v>944627601.78368199</v>
      </c>
      <c r="F11" s="15">
        <f>+F15*B11</f>
        <v>1980049.4314398032</v>
      </c>
      <c r="G11" s="15">
        <f>+G15</f>
        <v>238307835</v>
      </c>
      <c r="H11" s="16">
        <f>C11-D11-E11-F11+G11</f>
        <v>343686307.78487819</v>
      </c>
      <c r="I11" s="17">
        <v>0.2</v>
      </c>
      <c r="J11" s="15">
        <f>+I11*H11</f>
        <v>68737261.556975648</v>
      </c>
      <c r="K11" s="16"/>
      <c r="L11" s="16">
        <f>+J11-M11</f>
        <v>10310589.233546354</v>
      </c>
      <c r="M11" s="16">
        <f>+H11*17%</f>
        <v>58426672.323429294</v>
      </c>
      <c r="N11" s="3"/>
    </row>
    <row r="12" spans="1:14" x14ac:dyDescent="0.25">
      <c r="A12" s="78">
        <v>5112</v>
      </c>
      <c r="B12" s="81"/>
      <c r="C12" s="21">
        <f>+'BANG KE DOANH THU CT 2019'!D12+'BANG KE DOANH THU CT 2019'!D22</f>
        <v>13117103227</v>
      </c>
      <c r="D12" s="21"/>
      <c r="E12" s="21"/>
      <c r="F12" s="21"/>
      <c r="G12" s="21"/>
      <c r="H12" s="19"/>
      <c r="I12" s="22"/>
      <c r="J12" s="21"/>
      <c r="K12" s="19"/>
      <c r="L12" s="19"/>
      <c r="M12" s="19"/>
    </row>
    <row r="13" spans="1:14" x14ac:dyDescent="0.25">
      <c r="A13" s="78">
        <v>5113</v>
      </c>
      <c r="B13" s="81"/>
      <c r="C13" s="21">
        <f>+'BANG KE DOANH THU CT 2019'!D8</f>
        <v>-8005318</v>
      </c>
      <c r="D13" s="21"/>
      <c r="E13" s="21"/>
      <c r="F13" s="21"/>
      <c r="G13" s="21"/>
      <c r="H13" s="19"/>
      <c r="I13" s="22"/>
      <c r="J13" s="21"/>
      <c r="K13" s="19"/>
      <c r="L13" s="19"/>
      <c r="M13" s="19"/>
    </row>
    <row r="14" spans="1:14" x14ac:dyDescent="0.25">
      <c r="A14" s="19">
        <v>5151</v>
      </c>
      <c r="B14" s="20"/>
      <c r="C14" s="21">
        <v>278297</v>
      </c>
      <c r="D14" s="21"/>
      <c r="E14" s="21"/>
      <c r="F14" s="21"/>
      <c r="G14" s="21"/>
      <c r="H14" s="19"/>
      <c r="I14" s="22"/>
      <c r="J14" s="21"/>
      <c r="K14" s="19"/>
      <c r="L14" s="19"/>
      <c r="M14" s="19"/>
    </row>
    <row r="15" spans="1:14" s="1" customFormat="1" x14ac:dyDescent="0.25">
      <c r="A15" s="79" t="s">
        <v>9</v>
      </c>
      <c r="B15" s="14"/>
      <c r="C15" s="15">
        <f>+C11+C9</f>
        <v>13704848587</v>
      </c>
      <c r="D15" s="15">
        <f>+D11+D9</f>
        <v>12574521936</v>
      </c>
      <c r="E15" s="15">
        <v>987535795</v>
      </c>
      <c r="F15" s="15">
        <f>10555123-8485133</f>
        <v>2069990</v>
      </c>
      <c r="G15" s="15">
        <v>238307835</v>
      </c>
      <c r="H15" s="15">
        <f>H9+H11</f>
        <v>379028701.00000006</v>
      </c>
      <c r="I15" s="15"/>
      <c r="J15" s="15">
        <f>J11+J9+J7</f>
        <v>68737261.556975648</v>
      </c>
      <c r="K15" s="15">
        <f>K11+K9+K7</f>
        <v>0</v>
      </c>
      <c r="L15" s="15"/>
      <c r="M15" s="82">
        <f>M11+M9+M7</f>
        <v>58426672.323429294</v>
      </c>
      <c r="N15" s="3"/>
    </row>
    <row r="16" spans="1:14" hidden="1" x14ac:dyDescent="0.25">
      <c r="H16" s="25" t="e">
        <f>+C15-#REF!-#REF!-#REF!</f>
        <v>#REF!</v>
      </c>
    </row>
    <row r="17" spans="1:14" hidden="1" x14ac:dyDescent="0.25">
      <c r="C17" s="6">
        <v>10793007946</v>
      </c>
      <c r="H17" s="6">
        <v>720227155</v>
      </c>
      <c r="K17" s="4">
        <v>74441349</v>
      </c>
    </row>
    <row r="18" spans="1:14" hidden="1" x14ac:dyDescent="0.25">
      <c r="C18" s="6">
        <v>454939007</v>
      </c>
      <c r="H18" s="25">
        <f>H17-H15</f>
        <v>341198453.99999994</v>
      </c>
      <c r="K18" s="25">
        <f>+K17-M15</f>
        <v>16014676.676570706</v>
      </c>
      <c r="L18" s="25"/>
    </row>
    <row r="19" spans="1:14" hidden="1" x14ac:dyDescent="0.25">
      <c r="C19" s="6">
        <v>781954</v>
      </c>
      <c r="J19" s="6">
        <v>54680132</v>
      </c>
    </row>
    <row r="20" spans="1:14" hidden="1" x14ac:dyDescent="0.25">
      <c r="C20" s="6">
        <f>+C19+C18+C17</f>
        <v>11248728907</v>
      </c>
      <c r="H20" s="6"/>
      <c r="J20" s="6">
        <f>+J19-J7</f>
        <v>54680132</v>
      </c>
    </row>
    <row r="21" spans="1:14" x14ac:dyDescent="0.25">
      <c r="H21" s="25"/>
      <c r="I21" s="30"/>
      <c r="J21" s="90" t="s">
        <v>22</v>
      </c>
      <c r="K21" s="90"/>
      <c r="L21" s="90"/>
      <c r="M21" s="90"/>
    </row>
    <row r="22" spans="1:14" x14ac:dyDescent="0.25">
      <c r="A22" s="91"/>
      <c r="B22" s="91"/>
      <c r="H22" s="25"/>
      <c r="J22" s="83" t="s">
        <v>10</v>
      </c>
      <c r="K22" s="83"/>
      <c r="L22" s="83"/>
      <c r="M22" s="83"/>
    </row>
    <row r="23" spans="1:14" x14ac:dyDescent="0.25">
      <c r="H23" s="6"/>
    </row>
    <row r="24" spans="1:14" x14ac:dyDescent="0.25">
      <c r="H24" s="6"/>
    </row>
    <row r="25" spans="1:14" x14ac:dyDescent="0.25">
      <c r="H25" s="5"/>
      <c r="I25" s="6"/>
      <c r="J25" s="4"/>
      <c r="M25" s="6"/>
      <c r="N25" s="4"/>
    </row>
    <row r="26" spans="1:14" x14ac:dyDescent="0.25">
      <c r="H26" s="5"/>
      <c r="I26" s="6"/>
      <c r="J26" s="4"/>
      <c r="M26" s="6"/>
      <c r="N26" s="4"/>
    </row>
    <row r="27" spans="1:14" x14ac:dyDescent="0.25">
      <c r="H27" s="5"/>
      <c r="I27" s="6"/>
      <c r="J27" s="4"/>
      <c r="M27" s="6"/>
      <c r="N27" s="4"/>
    </row>
    <row r="28" spans="1:14" x14ac:dyDescent="0.25">
      <c r="H28" s="5"/>
      <c r="I28" s="6"/>
      <c r="J28" s="4"/>
      <c r="M28" s="6"/>
      <c r="N28" s="4"/>
    </row>
    <row r="29" spans="1:14" s="1" customFormat="1" x14ac:dyDescent="0.25">
      <c r="B29" s="2"/>
      <c r="C29" s="3"/>
      <c r="D29" s="3"/>
      <c r="E29" s="3"/>
      <c r="F29" s="3"/>
      <c r="G29" s="6"/>
      <c r="H29" s="6"/>
      <c r="I29" s="2"/>
      <c r="J29" s="40"/>
      <c r="K29" s="40"/>
      <c r="L29" s="40"/>
      <c r="M29" s="40"/>
      <c r="N29" s="3"/>
    </row>
    <row r="30" spans="1:14" x14ac:dyDescent="0.25">
      <c r="H30" s="6"/>
      <c r="I30" s="2"/>
    </row>
    <row r="31" spans="1:14" x14ac:dyDescent="0.25">
      <c r="H31" s="6"/>
    </row>
    <row r="32" spans="1:14" x14ac:dyDescent="0.25">
      <c r="H32" s="6"/>
      <c r="K32" s="25"/>
    </row>
    <row r="33" spans="8:8" x14ac:dyDescent="0.25">
      <c r="H33" s="6"/>
    </row>
    <row r="34" spans="8:8" x14ac:dyDescent="0.25">
      <c r="H34" s="25"/>
    </row>
    <row r="36" spans="8:8" x14ac:dyDescent="0.25">
      <c r="H36" s="80"/>
    </row>
    <row r="37" spans="8:8" x14ac:dyDescent="0.25">
      <c r="H37" s="80"/>
    </row>
  </sheetData>
  <mergeCells count="5">
    <mergeCell ref="A4:M4"/>
    <mergeCell ref="J21:M21"/>
    <mergeCell ref="A22:B22"/>
    <mergeCell ref="J22:M22"/>
    <mergeCell ref="A5:M5"/>
  </mergeCells>
  <pageMargins left="0" right="0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2019</vt:lpstr>
      <vt:lpstr>TINH THUE TNDN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2021-03-22T10:33:19Z</dcterms:modified>
</cp:coreProperties>
</file>