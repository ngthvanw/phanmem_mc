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HUONG\TO KHAI 2023\"/>
    </mc:Choice>
  </mc:AlternateContent>
  <bookViews>
    <workbookView xWindow="0" yWindow="0" windowWidth="20490" windowHeight="7050"/>
  </bookViews>
  <sheets>
    <sheet name="TinhthueTNDN" sheetId="8" r:id="rId1"/>
    <sheet name="BCQT2022" sheetId="11" r:id="rId2"/>
    <sheet name="5112" sheetId="12" r:id="rId3"/>
  </sheets>
  <calcPr calcId="162913"/>
</workbook>
</file>

<file path=xl/calcChain.xml><?xml version="1.0" encoding="utf-8"?>
<calcChain xmlns="http://schemas.openxmlformats.org/spreadsheetml/2006/main">
  <c r="K15" i="8" l="1"/>
  <c r="K16" i="8"/>
  <c r="K17" i="8"/>
  <c r="K14" i="8"/>
  <c r="K18" i="8"/>
  <c r="I18" i="8"/>
  <c r="H18" i="8"/>
  <c r="H14" i="8"/>
  <c r="H16" i="8"/>
  <c r="H17" i="8"/>
  <c r="H15" i="8"/>
  <c r="H11" i="8"/>
  <c r="H13" i="8"/>
  <c r="H12" i="8"/>
  <c r="H11" i="12"/>
  <c r="H12" i="12"/>
  <c r="H13" i="12"/>
  <c r="H10" i="12"/>
  <c r="G11" i="11"/>
  <c r="C4" i="11"/>
  <c r="D4" i="11"/>
  <c r="E4" i="11"/>
  <c r="F4" i="11"/>
  <c r="F14" i="11" s="1"/>
  <c r="G5" i="11"/>
  <c r="G4" i="11" s="1"/>
  <c r="G14" i="11" s="1"/>
  <c r="F7" i="11"/>
  <c r="D9" i="11"/>
  <c r="D10" i="11"/>
  <c r="D11" i="11"/>
  <c r="D8" i="11"/>
  <c r="C5" i="11"/>
  <c r="D5" i="11"/>
  <c r="I9" i="12" l="1"/>
  <c r="J9" i="12"/>
  <c r="K9" i="12"/>
  <c r="L9" i="12"/>
  <c r="M9" i="12"/>
  <c r="N9" i="12"/>
  <c r="O9" i="12"/>
  <c r="P9" i="12"/>
  <c r="C9" i="12"/>
  <c r="Q11" i="12"/>
  <c r="Q12" i="12"/>
  <c r="Q13" i="12"/>
  <c r="F11" i="12"/>
  <c r="F12" i="12"/>
  <c r="G12" i="12" s="1"/>
  <c r="F13" i="12"/>
  <c r="G13" i="12" s="1"/>
  <c r="G9" i="11"/>
  <c r="G7" i="11" s="1"/>
  <c r="G10" i="11"/>
  <c r="C11" i="11"/>
  <c r="C9" i="11"/>
  <c r="C10" i="11"/>
  <c r="D6" i="11"/>
  <c r="R12" i="12" l="1"/>
  <c r="G11" i="12"/>
  <c r="R11" i="12"/>
  <c r="R13" i="12"/>
  <c r="D14" i="8" l="1"/>
  <c r="D7" i="8"/>
  <c r="D11" i="8"/>
  <c r="K14" i="12" l="1"/>
  <c r="L14" i="12"/>
  <c r="M14" i="12"/>
  <c r="M16" i="12" s="1"/>
  <c r="N14" i="12"/>
  <c r="O14" i="12"/>
  <c r="Q10" i="12"/>
  <c r="Q9" i="12" s="1"/>
  <c r="F10" i="12"/>
  <c r="E7" i="11"/>
  <c r="G8" i="11"/>
  <c r="C8" i="11"/>
  <c r="E12" i="11"/>
  <c r="F12" i="11"/>
  <c r="D12" i="11"/>
  <c r="G12" i="11"/>
  <c r="F9" i="12" l="1"/>
  <c r="D9" i="12"/>
  <c r="O16" i="12"/>
  <c r="L16" i="12"/>
  <c r="K16" i="12"/>
  <c r="C7" i="11"/>
  <c r="C12" i="11"/>
  <c r="G6" i="11"/>
  <c r="G10" i="12" l="1"/>
  <c r="H9" i="12"/>
  <c r="R10" i="12"/>
  <c r="R9" i="12" s="1"/>
  <c r="D9" i="8"/>
  <c r="D18" i="8" s="1"/>
  <c r="C7" i="8"/>
  <c r="D14" i="12"/>
  <c r="E14" i="12"/>
  <c r="F14" i="12"/>
  <c r="G14" i="12"/>
  <c r="H14" i="12"/>
  <c r="I14" i="12"/>
  <c r="J14" i="12"/>
  <c r="P14" i="12"/>
  <c r="C14" i="12"/>
  <c r="H16" i="12"/>
  <c r="C9" i="8"/>
  <c r="C11" i="8"/>
  <c r="C14" i="8"/>
  <c r="D7" i="11"/>
  <c r="G9" i="12" l="1"/>
  <c r="G16" i="12" s="1"/>
  <c r="E9" i="12"/>
  <c r="E16" i="12" s="1"/>
  <c r="F16" i="12"/>
  <c r="I16" i="12"/>
  <c r="C16" i="12"/>
  <c r="D16" i="12"/>
  <c r="C18" i="8"/>
  <c r="J16" i="12"/>
  <c r="P16" i="12"/>
  <c r="B16" i="8" l="1"/>
  <c r="E16" i="8" s="1"/>
  <c r="F16" i="8" s="1"/>
  <c r="B15" i="8"/>
  <c r="E15" i="8" s="1"/>
  <c r="B10" i="8"/>
  <c r="E10" i="8" s="1"/>
  <c r="B17" i="8"/>
  <c r="E17" i="8" s="1"/>
  <c r="F17" i="8" s="1"/>
  <c r="B13" i="8"/>
  <c r="B8" i="8"/>
  <c r="E8" i="8" s="1"/>
  <c r="B12" i="8"/>
  <c r="E12" i="8" s="1"/>
  <c r="B7" i="8"/>
  <c r="E13" i="8" l="1"/>
  <c r="F13" i="8" s="1"/>
  <c r="E9" i="8"/>
  <c r="F10" i="8"/>
  <c r="F9" i="8" s="1"/>
  <c r="F12" i="8"/>
  <c r="E7" i="8"/>
  <c r="F8" i="8"/>
  <c r="F7" i="8" s="1"/>
  <c r="F15" i="8"/>
  <c r="E14" i="8"/>
  <c r="D14" i="11"/>
  <c r="E14" i="11"/>
  <c r="Q14" i="12"/>
  <c r="E11" i="8" l="1"/>
  <c r="Q16" i="12"/>
  <c r="F11" i="8"/>
  <c r="R14" i="12"/>
  <c r="I12" i="8" l="1"/>
  <c r="R16" i="12"/>
  <c r="C6" i="11"/>
  <c r="K12" i="8" l="1"/>
  <c r="C14" i="11"/>
  <c r="I16" i="8"/>
  <c r="H10" i="8"/>
  <c r="I10" i="8" s="1"/>
  <c r="B11" i="8" l="1"/>
  <c r="B9" i="8"/>
  <c r="B14" i="8"/>
  <c r="H9" i="8" l="1"/>
  <c r="J9" i="8" s="1"/>
  <c r="J18" i="8" s="1"/>
  <c r="K9" i="8" l="1"/>
  <c r="F14" i="8"/>
  <c r="F18" i="8" l="1"/>
  <c r="I15" i="8" l="1"/>
  <c r="I17" i="8"/>
  <c r="I14" i="8"/>
  <c r="I13" i="8" l="1"/>
  <c r="K13" i="8" l="1"/>
  <c r="I11" i="8"/>
  <c r="K11" i="8" l="1"/>
</calcChain>
</file>

<file path=xl/sharedStrings.xml><?xml version="1.0" encoding="utf-8"?>
<sst xmlns="http://schemas.openxmlformats.org/spreadsheetml/2006/main" count="86" uniqueCount="72">
  <si>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</si>
  <si>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</si>
  <si>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</si>
  <si>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</si>
  <si>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</si>
  <si>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</si>
  <si>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</si>
  <si>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</si>
  <si>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</si>
  <si>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</si>
  <si>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</si>
  <si>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</si>
  <si>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</si>
  <si>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</si>
  <si>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</si>
  <si>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</si>
  <si>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</si>
  <si>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</si>
  <si>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</si>
  <si>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</si>
  <si>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</si>
  <si>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</si>
  <si>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</si>
  <si>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</si>
  <si>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</si>
  <si>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</si>
  <si>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</si>
  <si>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</si>
  <si>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</si>
  <si>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</si>
  <si>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</si>
  <si>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</si>
  <si>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</si>
  <si>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</si>
  <si>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Sở GTVT tỉnh Trà Vinh</t>
  </si>
  <si>
    <t>33,36</t>
  </si>
  <si>
    <t>Châu Thành</t>
  </si>
  <si>
    <t>TỔNG CỘNG</t>
  </si>
  <si>
    <t>Hoàn thành</t>
  </si>
  <si>
    <t>Địa bàn không ưu đãi</t>
  </si>
  <si>
    <t>Càng Long</t>
  </si>
  <si>
    <t>Cầu Ngang</t>
  </si>
  <si>
    <t>Nạo vét</t>
  </si>
  <si>
    <t>Giá Vốn</t>
  </si>
  <si>
    <t>CP Quản lý DN</t>
  </si>
  <si>
    <t>Ca máy</t>
  </si>
  <si>
    <t>Khoán</t>
  </si>
  <si>
    <t>TP Trà Vinh</t>
  </si>
  <si>
    <t>CÔNG TY TNHH TV-TK-XD THƯƠNG MẠI THUẬN HƯƠNG</t>
  </si>
  <si>
    <t>MST: 2100635085</t>
  </si>
  <si>
    <t>Giảm 30%
 do dịch</t>
  </si>
  <si>
    <t>TTTK-010</t>
  </si>
  <si>
    <r>
      <t xml:space="preserve"> </t>
    </r>
    <r>
      <rPr>
        <sz val="11"/>
        <rFont val="Times New Roman"/>
        <family val="1"/>
      </rPr>
      <t>2023_Tư vấn thẩm tra TKBV thi công và dự toán công trình thuộc công trình San lấp mặt bằng nhà văn hóa ấp
 Rạch Kinh, theo hợp đồng số 07/HĐ-TT.2023</t>
    </r>
  </si>
  <si>
    <t>SC1020-009</t>
  </si>
  <si>
    <t> 2023_Sửa chữa Trường Tiểu học Mỹ Chánh A và Trường Tiểu học Lương Hòa C; Hạng mục: Trường tiểu học Lương Hòa C (Điểm chính), theo Hợp đồng số 09/2023/HĐXD ngày 17/10/2023</t>
  </si>
  <si>
    <t>SC1020-006</t>
  </si>
  <si>
    <t>2023_Thi công sửa chữa nhà vệ sinh cơ quan xã Mỹ Cẩm, theo HĐ số 01/2023/HDXD ngày 22/06/2023</t>
  </si>
  <si>
    <t xml:space="preserve"> SC1020-007</t>
  </si>
  <si>
    <t>2023_Cung cấp, lắp đặt cửa sổ bậc nhôm kính tại tòa nhà E3 Trường Ngôn Ngữ - Văn hóa - Nghệ thuật Khmer Nam Bộ và Nhân Văn, Trường ĐH Trà VInh khu 1, theo HĐ số 01/KĐKT/2023 ngày 27/07/2023</t>
  </si>
  <si>
    <t>SC1020-008</t>
  </si>
  <si>
    <t>  2023_Thi công chống dột Công ty CP Cắt may Sofa Hoa Sen, theo Hợp đồng số 06/2023/HDXD</t>
  </si>
  <si>
    <t>TVGS-008</t>
  </si>
  <si>
    <t> 2023_Gói thầu số 07: Tư vấn giám sát thi công xây dựng công trình Sửa chữa UBND thị trấn Mỹ Long, theo hợp đồng số 06/2023/HĐ-GS ngày 14/07/2023</t>
  </si>
  <si>
    <t>2023_Thi công sửa chữa nhà vệ sinh cơ quan xã Mỹ Cẩm, theo HĐ số 
01/2023/HDXD ngày 22/06/2023</t>
  </si>
  <si>
    <t>2023_Cung cấp, lắp đặt cửa sổ bậc nhôm kính tại tòa nhà E3 Trường Ngôn Ngữ - Văn hóa - Nghệ thuật Khmer Nam Bộ và Nhân Văn, Trường ĐH Trà VInh khu 1, 
theo HĐ số 01/KĐKT/2023 ngày 27/07/2023</t>
  </si>
  <si>
    <t>  2023_Thi công chống dột Công ty CP Cắt may Sofa Hoa Sen, theo Hợp 
đồng số 06/2023/HDXD</t>
  </si>
  <si>
    <t>Trà Vinh, ngày 31 tháng 12 năm 2023</t>
  </si>
  <si>
    <t>Tp Trà Vinh</t>
  </si>
  <si>
    <t>Châu Thành, ngày 31 tháng 12 năm 2023</t>
  </si>
  <si>
    <t>BÁO CÁO QUYẾT TOÁN NĂM 2023</t>
  </si>
  <si>
    <t>BẢNG XÁC ĐỊNH THU NHẬP CHỊU THUẾ TNDN NĂM 2023</t>
  </si>
  <si>
    <t>BÁO CÁO QUYẾT TOÁN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</si>
</sst>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3" fontId="2" fillId="0" borderId="2" xfId="0" applyNumberFormat="1" applyFont="1" applyBorder="1" applyAlignment="1">
      <alignment wrapText="1"/>
    </xf>
    <xf numFmtId="0" fontId="9" fillId="0" borderId="2" xfId="0" applyFont="1" applyFill="1" applyBorder="1" applyAlignment="1">
      <alignment horizontal="left" vertical="center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  <xf numFmtId="164" fontId="15" fillId="0" borderId="2" xfId="1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2" xfId="0" applyFont="1" applyFill="1" applyBorder="1" applyAlignment="1">
      <alignment wrapText="1"/>
    </xf>
    <xf numFmtId="0" fontId="14" fillId="0" borderId="2" xfId="0" applyFont="1" applyBorder="1" applyAlignment="1">
      <alignment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43" fontId="6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A4" workbookViewId="0">
      <selection activeCell="E15" sqref="E15"/>
    </sheetView>
  </sheetViews>
  <sheetFormatPr defaultRowHeight="16.5" x14ac:dyDescent="0.25"/>
  <cols>
    <col min="1" max="1" width="29.6640625" style="5" customWidth="1"/>
    <col min="2" max="2" width="11" style="3" bestFit="1" customWidth="1"/>
    <col min="3" max="3" width="16.6640625" style="4" customWidth="1"/>
    <col min="4" max="4" width="17.1640625" style="4" customWidth="1"/>
    <col min="5" max="5" width="18" style="4" customWidth="1"/>
    <col min="6" max="6" width="18.33203125" style="5" customWidth="1"/>
    <col min="7" max="7" width="6.83203125" style="3" bestFit="1" customWidth="1"/>
    <col min="8" max="8" width="15.83203125" style="4" customWidth="1"/>
    <col min="9" max="9" width="14" style="5" customWidth="1"/>
    <col min="10" max="10" width="14.5" style="5" hidden="1" customWidth="1"/>
    <col min="11" max="11" width="20.5" style="5" customWidth="1"/>
    <col min="12" max="12" width="20.83203125" style="4" bestFit="1" customWidth="1"/>
    <col min="13" max="259" width="9.33203125" style="5"/>
    <col min="260" max="260" width="29.6640625" style="5" customWidth="1"/>
    <col min="261" max="261" width="10.33203125" style="5" bestFit="1" customWidth="1"/>
    <col min="262" max="262" width="22.83203125" style="5" customWidth="1"/>
    <col min="263" max="263" width="24.5" style="5" bestFit="1" customWidth="1"/>
    <col min="264" max="264" width="6.83203125" style="5" bestFit="1" customWidth="1"/>
    <col min="265" max="265" width="18.5" style="5" bestFit="1" customWidth="1"/>
    <col min="266" max="266" width="22.33203125" style="5" bestFit="1" customWidth="1"/>
    <col min="267" max="267" width="20.5" style="5" bestFit="1" customWidth="1"/>
    <col min="268" max="268" width="20.83203125" style="5" bestFit="1" customWidth="1"/>
    <col min="269" max="515" width="9.33203125" style="5"/>
    <col min="516" max="516" width="29.6640625" style="5" customWidth="1"/>
    <col min="517" max="517" width="10.33203125" style="5" bestFit="1" customWidth="1"/>
    <col min="518" max="518" width="22.83203125" style="5" customWidth="1"/>
    <col min="519" max="519" width="24.5" style="5" bestFit="1" customWidth="1"/>
    <col min="520" max="520" width="6.83203125" style="5" bestFit="1" customWidth="1"/>
    <col min="521" max="521" width="18.5" style="5" bestFit="1" customWidth="1"/>
    <col min="522" max="522" width="22.33203125" style="5" bestFit="1" customWidth="1"/>
    <col min="523" max="523" width="20.5" style="5" bestFit="1" customWidth="1"/>
    <col min="524" max="524" width="20.83203125" style="5" bestFit="1" customWidth="1"/>
    <col min="525" max="771" width="9.33203125" style="5"/>
    <col min="772" max="772" width="29.6640625" style="5" customWidth="1"/>
    <col min="773" max="773" width="10.33203125" style="5" bestFit="1" customWidth="1"/>
    <col min="774" max="774" width="22.83203125" style="5" customWidth="1"/>
    <col min="775" max="775" width="24.5" style="5" bestFit="1" customWidth="1"/>
    <col min="776" max="776" width="6.83203125" style="5" bestFit="1" customWidth="1"/>
    <col min="777" max="777" width="18.5" style="5" bestFit="1" customWidth="1"/>
    <col min="778" max="778" width="22.33203125" style="5" bestFit="1" customWidth="1"/>
    <col min="779" max="779" width="20.5" style="5" bestFit="1" customWidth="1"/>
    <col min="780" max="780" width="20.83203125" style="5" bestFit="1" customWidth="1"/>
    <col min="781" max="1027" width="9.33203125" style="5"/>
    <col min="1028" max="1028" width="29.6640625" style="5" customWidth="1"/>
    <col min="1029" max="1029" width="10.33203125" style="5" bestFit="1" customWidth="1"/>
    <col min="1030" max="1030" width="22.83203125" style="5" customWidth="1"/>
    <col min="1031" max="1031" width="24.5" style="5" bestFit="1" customWidth="1"/>
    <col min="1032" max="1032" width="6.83203125" style="5" bestFit="1" customWidth="1"/>
    <col min="1033" max="1033" width="18.5" style="5" bestFit="1" customWidth="1"/>
    <col min="1034" max="1034" width="22.33203125" style="5" bestFit="1" customWidth="1"/>
    <col min="1035" max="1035" width="20.5" style="5" bestFit="1" customWidth="1"/>
    <col min="1036" max="1036" width="20.83203125" style="5" bestFit="1" customWidth="1"/>
    <col min="1037" max="1283" width="9.33203125" style="5"/>
    <col min="1284" max="1284" width="29.6640625" style="5" customWidth="1"/>
    <col min="1285" max="1285" width="10.33203125" style="5" bestFit="1" customWidth="1"/>
    <col min="1286" max="1286" width="22.83203125" style="5" customWidth="1"/>
    <col min="1287" max="1287" width="24.5" style="5" bestFit="1" customWidth="1"/>
    <col min="1288" max="1288" width="6.83203125" style="5" bestFit="1" customWidth="1"/>
    <col min="1289" max="1289" width="18.5" style="5" bestFit="1" customWidth="1"/>
    <col min="1290" max="1290" width="22.33203125" style="5" bestFit="1" customWidth="1"/>
    <col min="1291" max="1291" width="20.5" style="5" bestFit="1" customWidth="1"/>
    <col min="1292" max="1292" width="20.83203125" style="5" bestFit="1" customWidth="1"/>
    <col min="1293" max="1539" width="9.33203125" style="5"/>
    <col min="1540" max="1540" width="29.6640625" style="5" customWidth="1"/>
    <col min="1541" max="1541" width="10.33203125" style="5" bestFit="1" customWidth="1"/>
    <col min="1542" max="1542" width="22.83203125" style="5" customWidth="1"/>
    <col min="1543" max="1543" width="24.5" style="5" bestFit="1" customWidth="1"/>
    <col min="1544" max="1544" width="6.83203125" style="5" bestFit="1" customWidth="1"/>
    <col min="1545" max="1545" width="18.5" style="5" bestFit="1" customWidth="1"/>
    <col min="1546" max="1546" width="22.33203125" style="5" bestFit="1" customWidth="1"/>
    <col min="1547" max="1547" width="20.5" style="5" bestFit="1" customWidth="1"/>
    <col min="1548" max="1548" width="20.83203125" style="5" bestFit="1" customWidth="1"/>
    <col min="1549" max="1795" width="9.33203125" style="5"/>
    <col min="1796" max="1796" width="29.6640625" style="5" customWidth="1"/>
    <col min="1797" max="1797" width="10.33203125" style="5" bestFit="1" customWidth="1"/>
    <col min="1798" max="1798" width="22.83203125" style="5" customWidth="1"/>
    <col min="1799" max="1799" width="24.5" style="5" bestFit="1" customWidth="1"/>
    <col min="1800" max="1800" width="6.83203125" style="5" bestFit="1" customWidth="1"/>
    <col min="1801" max="1801" width="18.5" style="5" bestFit="1" customWidth="1"/>
    <col min="1802" max="1802" width="22.33203125" style="5" bestFit="1" customWidth="1"/>
    <col min="1803" max="1803" width="20.5" style="5" bestFit="1" customWidth="1"/>
    <col min="1804" max="1804" width="20.83203125" style="5" bestFit="1" customWidth="1"/>
    <col min="1805" max="2051" width="9.33203125" style="5"/>
    <col min="2052" max="2052" width="29.6640625" style="5" customWidth="1"/>
    <col min="2053" max="2053" width="10.33203125" style="5" bestFit="1" customWidth="1"/>
    <col min="2054" max="2054" width="22.83203125" style="5" customWidth="1"/>
    <col min="2055" max="2055" width="24.5" style="5" bestFit="1" customWidth="1"/>
    <col min="2056" max="2056" width="6.83203125" style="5" bestFit="1" customWidth="1"/>
    <col min="2057" max="2057" width="18.5" style="5" bestFit="1" customWidth="1"/>
    <col min="2058" max="2058" width="22.33203125" style="5" bestFit="1" customWidth="1"/>
    <col min="2059" max="2059" width="20.5" style="5" bestFit="1" customWidth="1"/>
    <col min="2060" max="2060" width="20.83203125" style="5" bestFit="1" customWidth="1"/>
    <col min="2061" max="2307" width="9.33203125" style="5"/>
    <col min="2308" max="2308" width="29.6640625" style="5" customWidth="1"/>
    <col min="2309" max="2309" width="10.33203125" style="5" bestFit="1" customWidth="1"/>
    <col min="2310" max="2310" width="22.83203125" style="5" customWidth="1"/>
    <col min="2311" max="2311" width="24.5" style="5" bestFit="1" customWidth="1"/>
    <col min="2312" max="2312" width="6.83203125" style="5" bestFit="1" customWidth="1"/>
    <col min="2313" max="2313" width="18.5" style="5" bestFit="1" customWidth="1"/>
    <col min="2314" max="2314" width="22.33203125" style="5" bestFit="1" customWidth="1"/>
    <col min="2315" max="2315" width="20.5" style="5" bestFit="1" customWidth="1"/>
    <col min="2316" max="2316" width="20.83203125" style="5" bestFit="1" customWidth="1"/>
    <col min="2317" max="2563" width="9.33203125" style="5"/>
    <col min="2564" max="2564" width="29.6640625" style="5" customWidth="1"/>
    <col min="2565" max="2565" width="10.33203125" style="5" bestFit="1" customWidth="1"/>
    <col min="2566" max="2566" width="22.83203125" style="5" customWidth="1"/>
    <col min="2567" max="2567" width="24.5" style="5" bestFit="1" customWidth="1"/>
    <col min="2568" max="2568" width="6.83203125" style="5" bestFit="1" customWidth="1"/>
    <col min="2569" max="2569" width="18.5" style="5" bestFit="1" customWidth="1"/>
    <col min="2570" max="2570" width="22.33203125" style="5" bestFit="1" customWidth="1"/>
    <col min="2571" max="2571" width="20.5" style="5" bestFit="1" customWidth="1"/>
    <col min="2572" max="2572" width="20.83203125" style="5" bestFit="1" customWidth="1"/>
    <col min="2573" max="2819" width="9.33203125" style="5"/>
    <col min="2820" max="2820" width="29.6640625" style="5" customWidth="1"/>
    <col min="2821" max="2821" width="10.33203125" style="5" bestFit="1" customWidth="1"/>
    <col min="2822" max="2822" width="22.83203125" style="5" customWidth="1"/>
    <col min="2823" max="2823" width="24.5" style="5" bestFit="1" customWidth="1"/>
    <col min="2824" max="2824" width="6.83203125" style="5" bestFit="1" customWidth="1"/>
    <col min="2825" max="2825" width="18.5" style="5" bestFit="1" customWidth="1"/>
    <col min="2826" max="2826" width="22.33203125" style="5" bestFit="1" customWidth="1"/>
    <col min="2827" max="2827" width="20.5" style="5" bestFit="1" customWidth="1"/>
    <col min="2828" max="2828" width="20.83203125" style="5" bestFit="1" customWidth="1"/>
    <col min="2829" max="3075" width="9.33203125" style="5"/>
    <col min="3076" max="3076" width="29.6640625" style="5" customWidth="1"/>
    <col min="3077" max="3077" width="10.33203125" style="5" bestFit="1" customWidth="1"/>
    <col min="3078" max="3078" width="22.83203125" style="5" customWidth="1"/>
    <col min="3079" max="3079" width="24.5" style="5" bestFit="1" customWidth="1"/>
    <col min="3080" max="3080" width="6.83203125" style="5" bestFit="1" customWidth="1"/>
    <col min="3081" max="3081" width="18.5" style="5" bestFit="1" customWidth="1"/>
    <col min="3082" max="3082" width="22.33203125" style="5" bestFit="1" customWidth="1"/>
    <col min="3083" max="3083" width="20.5" style="5" bestFit="1" customWidth="1"/>
    <col min="3084" max="3084" width="20.83203125" style="5" bestFit="1" customWidth="1"/>
    <col min="3085" max="3331" width="9.33203125" style="5"/>
    <col min="3332" max="3332" width="29.6640625" style="5" customWidth="1"/>
    <col min="3333" max="3333" width="10.33203125" style="5" bestFit="1" customWidth="1"/>
    <col min="3334" max="3334" width="22.83203125" style="5" customWidth="1"/>
    <col min="3335" max="3335" width="24.5" style="5" bestFit="1" customWidth="1"/>
    <col min="3336" max="3336" width="6.83203125" style="5" bestFit="1" customWidth="1"/>
    <col min="3337" max="3337" width="18.5" style="5" bestFit="1" customWidth="1"/>
    <col min="3338" max="3338" width="22.33203125" style="5" bestFit="1" customWidth="1"/>
    <col min="3339" max="3339" width="20.5" style="5" bestFit="1" customWidth="1"/>
    <col min="3340" max="3340" width="20.83203125" style="5" bestFit="1" customWidth="1"/>
    <col min="3341" max="3587" width="9.33203125" style="5"/>
    <col min="3588" max="3588" width="29.6640625" style="5" customWidth="1"/>
    <col min="3589" max="3589" width="10.33203125" style="5" bestFit="1" customWidth="1"/>
    <col min="3590" max="3590" width="22.83203125" style="5" customWidth="1"/>
    <col min="3591" max="3591" width="24.5" style="5" bestFit="1" customWidth="1"/>
    <col min="3592" max="3592" width="6.83203125" style="5" bestFit="1" customWidth="1"/>
    <col min="3593" max="3593" width="18.5" style="5" bestFit="1" customWidth="1"/>
    <col min="3594" max="3594" width="22.33203125" style="5" bestFit="1" customWidth="1"/>
    <col min="3595" max="3595" width="20.5" style="5" bestFit="1" customWidth="1"/>
    <col min="3596" max="3596" width="20.83203125" style="5" bestFit="1" customWidth="1"/>
    <col min="3597" max="3843" width="9.33203125" style="5"/>
    <col min="3844" max="3844" width="29.6640625" style="5" customWidth="1"/>
    <col min="3845" max="3845" width="10.33203125" style="5" bestFit="1" customWidth="1"/>
    <col min="3846" max="3846" width="22.83203125" style="5" customWidth="1"/>
    <col min="3847" max="3847" width="24.5" style="5" bestFit="1" customWidth="1"/>
    <col min="3848" max="3848" width="6.83203125" style="5" bestFit="1" customWidth="1"/>
    <col min="3849" max="3849" width="18.5" style="5" bestFit="1" customWidth="1"/>
    <col min="3850" max="3850" width="22.33203125" style="5" bestFit="1" customWidth="1"/>
    <col min="3851" max="3851" width="20.5" style="5" bestFit="1" customWidth="1"/>
    <col min="3852" max="3852" width="20.83203125" style="5" bestFit="1" customWidth="1"/>
    <col min="3853" max="4099" width="9.33203125" style="5"/>
    <col min="4100" max="4100" width="29.6640625" style="5" customWidth="1"/>
    <col min="4101" max="4101" width="10.33203125" style="5" bestFit="1" customWidth="1"/>
    <col min="4102" max="4102" width="22.83203125" style="5" customWidth="1"/>
    <col min="4103" max="4103" width="24.5" style="5" bestFit="1" customWidth="1"/>
    <col min="4104" max="4104" width="6.83203125" style="5" bestFit="1" customWidth="1"/>
    <col min="4105" max="4105" width="18.5" style="5" bestFit="1" customWidth="1"/>
    <col min="4106" max="4106" width="22.33203125" style="5" bestFit="1" customWidth="1"/>
    <col min="4107" max="4107" width="20.5" style="5" bestFit="1" customWidth="1"/>
    <col min="4108" max="4108" width="20.83203125" style="5" bestFit="1" customWidth="1"/>
    <col min="4109" max="4355" width="9.33203125" style="5"/>
    <col min="4356" max="4356" width="29.6640625" style="5" customWidth="1"/>
    <col min="4357" max="4357" width="10.33203125" style="5" bestFit="1" customWidth="1"/>
    <col min="4358" max="4358" width="22.83203125" style="5" customWidth="1"/>
    <col min="4359" max="4359" width="24.5" style="5" bestFit="1" customWidth="1"/>
    <col min="4360" max="4360" width="6.83203125" style="5" bestFit="1" customWidth="1"/>
    <col min="4361" max="4361" width="18.5" style="5" bestFit="1" customWidth="1"/>
    <col min="4362" max="4362" width="22.33203125" style="5" bestFit="1" customWidth="1"/>
    <col min="4363" max="4363" width="20.5" style="5" bestFit="1" customWidth="1"/>
    <col min="4364" max="4364" width="20.83203125" style="5" bestFit="1" customWidth="1"/>
    <col min="4365" max="4611" width="9.33203125" style="5"/>
    <col min="4612" max="4612" width="29.6640625" style="5" customWidth="1"/>
    <col min="4613" max="4613" width="10.33203125" style="5" bestFit="1" customWidth="1"/>
    <col min="4614" max="4614" width="22.83203125" style="5" customWidth="1"/>
    <col min="4615" max="4615" width="24.5" style="5" bestFit="1" customWidth="1"/>
    <col min="4616" max="4616" width="6.83203125" style="5" bestFit="1" customWidth="1"/>
    <col min="4617" max="4617" width="18.5" style="5" bestFit="1" customWidth="1"/>
    <col min="4618" max="4618" width="22.33203125" style="5" bestFit="1" customWidth="1"/>
    <col min="4619" max="4619" width="20.5" style="5" bestFit="1" customWidth="1"/>
    <col min="4620" max="4620" width="20.83203125" style="5" bestFit="1" customWidth="1"/>
    <col min="4621" max="4867" width="9.33203125" style="5"/>
    <col min="4868" max="4868" width="29.6640625" style="5" customWidth="1"/>
    <col min="4869" max="4869" width="10.33203125" style="5" bestFit="1" customWidth="1"/>
    <col min="4870" max="4870" width="22.83203125" style="5" customWidth="1"/>
    <col min="4871" max="4871" width="24.5" style="5" bestFit="1" customWidth="1"/>
    <col min="4872" max="4872" width="6.83203125" style="5" bestFit="1" customWidth="1"/>
    <col min="4873" max="4873" width="18.5" style="5" bestFit="1" customWidth="1"/>
    <col min="4874" max="4874" width="22.33203125" style="5" bestFit="1" customWidth="1"/>
    <col min="4875" max="4875" width="20.5" style="5" bestFit="1" customWidth="1"/>
    <col min="4876" max="4876" width="20.83203125" style="5" bestFit="1" customWidth="1"/>
    <col min="4877" max="5123" width="9.33203125" style="5"/>
    <col min="5124" max="5124" width="29.6640625" style="5" customWidth="1"/>
    <col min="5125" max="5125" width="10.33203125" style="5" bestFit="1" customWidth="1"/>
    <col min="5126" max="5126" width="22.83203125" style="5" customWidth="1"/>
    <col min="5127" max="5127" width="24.5" style="5" bestFit="1" customWidth="1"/>
    <col min="5128" max="5128" width="6.83203125" style="5" bestFit="1" customWidth="1"/>
    <col min="5129" max="5129" width="18.5" style="5" bestFit="1" customWidth="1"/>
    <col min="5130" max="5130" width="22.33203125" style="5" bestFit="1" customWidth="1"/>
    <col min="5131" max="5131" width="20.5" style="5" bestFit="1" customWidth="1"/>
    <col min="5132" max="5132" width="20.83203125" style="5" bestFit="1" customWidth="1"/>
    <col min="5133" max="5379" width="9.33203125" style="5"/>
    <col min="5380" max="5380" width="29.6640625" style="5" customWidth="1"/>
    <col min="5381" max="5381" width="10.33203125" style="5" bestFit="1" customWidth="1"/>
    <col min="5382" max="5382" width="22.83203125" style="5" customWidth="1"/>
    <col min="5383" max="5383" width="24.5" style="5" bestFit="1" customWidth="1"/>
    <col min="5384" max="5384" width="6.83203125" style="5" bestFit="1" customWidth="1"/>
    <col min="5385" max="5385" width="18.5" style="5" bestFit="1" customWidth="1"/>
    <col min="5386" max="5386" width="22.33203125" style="5" bestFit="1" customWidth="1"/>
    <col min="5387" max="5387" width="20.5" style="5" bestFit="1" customWidth="1"/>
    <col min="5388" max="5388" width="20.83203125" style="5" bestFit="1" customWidth="1"/>
    <col min="5389" max="5635" width="9.33203125" style="5"/>
    <col min="5636" max="5636" width="29.6640625" style="5" customWidth="1"/>
    <col min="5637" max="5637" width="10.33203125" style="5" bestFit="1" customWidth="1"/>
    <col min="5638" max="5638" width="22.83203125" style="5" customWidth="1"/>
    <col min="5639" max="5639" width="24.5" style="5" bestFit="1" customWidth="1"/>
    <col min="5640" max="5640" width="6.83203125" style="5" bestFit="1" customWidth="1"/>
    <col min="5641" max="5641" width="18.5" style="5" bestFit="1" customWidth="1"/>
    <col min="5642" max="5642" width="22.33203125" style="5" bestFit="1" customWidth="1"/>
    <col min="5643" max="5643" width="20.5" style="5" bestFit="1" customWidth="1"/>
    <col min="5644" max="5644" width="20.83203125" style="5" bestFit="1" customWidth="1"/>
    <col min="5645" max="5891" width="9.33203125" style="5"/>
    <col min="5892" max="5892" width="29.6640625" style="5" customWidth="1"/>
    <col min="5893" max="5893" width="10.33203125" style="5" bestFit="1" customWidth="1"/>
    <col min="5894" max="5894" width="22.83203125" style="5" customWidth="1"/>
    <col min="5895" max="5895" width="24.5" style="5" bestFit="1" customWidth="1"/>
    <col min="5896" max="5896" width="6.83203125" style="5" bestFit="1" customWidth="1"/>
    <col min="5897" max="5897" width="18.5" style="5" bestFit="1" customWidth="1"/>
    <col min="5898" max="5898" width="22.33203125" style="5" bestFit="1" customWidth="1"/>
    <col min="5899" max="5899" width="20.5" style="5" bestFit="1" customWidth="1"/>
    <col min="5900" max="5900" width="20.83203125" style="5" bestFit="1" customWidth="1"/>
    <col min="5901" max="6147" width="9.33203125" style="5"/>
    <col min="6148" max="6148" width="29.6640625" style="5" customWidth="1"/>
    <col min="6149" max="6149" width="10.33203125" style="5" bestFit="1" customWidth="1"/>
    <col min="6150" max="6150" width="22.83203125" style="5" customWidth="1"/>
    <col min="6151" max="6151" width="24.5" style="5" bestFit="1" customWidth="1"/>
    <col min="6152" max="6152" width="6.83203125" style="5" bestFit="1" customWidth="1"/>
    <col min="6153" max="6153" width="18.5" style="5" bestFit="1" customWidth="1"/>
    <col min="6154" max="6154" width="22.33203125" style="5" bestFit="1" customWidth="1"/>
    <col min="6155" max="6155" width="20.5" style="5" bestFit="1" customWidth="1"/>
    <col min="6156" max="6156" width="20.83203125" style="5" bestFit="1" customWidth="1"/>
    <col min="6157" max="6403" width="9.33203125" style="5"/>
    <col min="6404" max="6404" width="29.6640625" style="5" customWidth="1"/>
    <col min="6405" max="6405" width="10.33203125" style="5" bestFit="1" customWidth="1"/>
    <col min="6406" max="6406" width="22.83203125" style="5" customWidth="1"/>
    <col min="6407" max="6407" width="24.5" style="5" bestFit="1" customWidth="1"/>
    <col min="6408" max="6408" width="6.83203125" style="5" bestFit="1" customWidth="1"/>
    <col min="6409" max="6409" width="18.5" style="5" bestFit="1" customWidth="1"/>
    <col min="6410" max="6410" width="22.33203125" style="5" bestFit="1" customWidth="1"/>
    <col min="6411" max="6411" width="20.5" style="5" bestFit="1" customWidth="1"/>
    <col min="6412" max="6412" width="20.83203125" style="5" bestFit="1" customWidth="1"/>
    <col min="6413" max="6659" width="9.33203125" style="5"/>
    <col min="6660" max="6660" width="29.6640625" style="5" customWidth="1"/>
    <col min="6661" max="6661" width="10.33203125" style="5" bestFit="1" customWidth="1"/>
    <col min="6662" max="6662" width="22.83203125" style="5" customWidth="1"/>
    <col min="6663" max="6663" width="24.5" style="5" bestFit="1" customWidth="1"/>
    <col min="6664" max="6664" width="6.83203125" style="5" bestFit="1" customWidth="1"/>
    <col min="6665" max="6665" width="18.5" style="5" bestFit="1" customWidth="1"/>
    <col min="6666" max="6666" width="22.33203125" style="5" bestFit="1" customWidth="1"/>
    <col min="6667" max="6667" width="20.5" style="5" bestFit="1" customWidth="1"/>
    <col min="6668" max="6668" width="20.83203125" style="5" bestFit="1" customWidth="1"/>
    <col min="6669" max="6915" width="9.33203125" style="5"/>
    <col min="6916" max="6916" width="29.6640625" style="5" customWidth="1"/>
    <col min="6917" max="6917" width="10.33203125" style="5" bestFit="1" customWidth="1"/>
    <col min="6918" max="6918" width="22.83203125" style="5" customWidth="1"/>
    <col min="6919" max="6919" width="24.5" style="5" bestFit="1" customWidth="1"/>
    <col min="6920" max="6920" width="6.83203125" style="5" bestFit="1" customWidth="1"/>
    <col min="6921" max="6921" width="18.5" style="5" bestFit="1" customWidth="1"/>
    <col min="6922" max="6922" width="22.33203125" style="5" bestFit="1" customWidth="1"/>
    <col min="6923" max="6923" width="20.5" style="5" bestFit="1" customWidth="1"/>
    <col min="6924" max="6924" width="20.83203125" style="5" bestFit="1" customWidth="1"/>
    <col min="6925" max="7171" width="9.33203125" style="5"/>
    <col min="7172" max="7172" width="29.6640625" style="5" customWidth="1"/>
    <col min="7173" max="7173" width="10.33203125" style="5" bestFit="1" customWidth="1"/>
    <col min="7174" max="7174" width="22.83203125" style="5" customWidth="1"/>
    <col min="7175" max="7175" width="24.5" style="5" bestFit="1" customWidth="1"/>
    <col min="7176" max="7176" width="6.83203125" style="5" bestFit="1" customWidth="1"/>
    <col min="7177" max="7177" width="18.5" style="5" bestFit="1" customWidth="1"/>
    <col min="7178" max="7178" width="22.33203125" style="5" bestFit="1" customWidth="1"/>
    <col min="7179" max="7179" width="20.5" style="5" bestFit="1" customWidth="1"/>
    <col min="7180" max="7180" width="20.83203125" style="5" bestFit="1" customWidth="1"/>
    <col min="7181" max="7427" width="9.33203125" style="5"/>
    <col min="7428" max="7428" width="29.6640625" style="5" customWidth="1"/>
    <col min="7429" max="7429" width="10.33203125" style="5" bestFit="1" customWidth="1"/>
    <col min="7430" max="7430" width="22.83203125" style="5" customWidth="1"/>
    <col min="7431" max="7431" width="24.5" style="5" bestFit="1" customWidth="1"/>
    <col min="7432" max="7432" width="6.83203125" style="5" bestFit="1" customWidth="1"/>
    <col min="7433" max="7433" width="18.5" style="5" bestFit="1" customWidth="1"/>
    <col min="7434" max="7434" width="22.33203125" style="5" bestFit="1" customWidth="1"/>
    <col min="7435" max="7435" width="20.5" style="5" bestFit="1" customWidth="1"/>
    <col min="7436" max="7436" width="20.83203125" style="5" bestFit="1" customWidth="1"/>
    <col min="7437" max="7683" width="9.33203125" style="5"/>
    <col min="7684" max="7684" width="29.6640625" style="5" customWidth="1"/>
    <col min="7685" max="7685" width="10.33203125" style="5" bestFit="1" customWidth="1"/>
    <col min="7686" max="7686" width="22.83203125" style="5" customWidth="1"/>
    <col min="7687" max="7687" width="24.5" style="5" bestFit="1" customWidth="1"/>
    <col min="7688" max="7688" width="6.83203125" style="5" bestFit="1" customWidth="1"/>
    <col min="7689" max="7689" width="18.5" style="5" bestFit="1" customWidth="1"/>
    <col min="7690" max="7690" width="22.33203125" style="5" bestFit="1" customWidth="1"/>
    <col min="7691" max="7691" width="20.5" style="5" bestFit="1" customWidth="1"/>
    <col min="7692" max="7692" width="20.83203125" style="5" bestFit="1" customWidth="1"/>
    <col min="7693" max="7939" width="9.33203125" style="5"/>
    <col min="7940" max="7940" width="29.6640625" style="5" customWidth="1"/>
    <col min="7941" max="7941" width="10.33203125" style="5" bestFit="1" customWidth="1"/>
    <col min="7942" max="7942" width="22.83203125" style="5" customWidth="1"/>
    <col min="7943" max="7943" width="24.5" style="5" bestFit="1" customWidth="1"/>
    <col min="7944" max="7944" width="6.83203125" style="5" bestFit="1" customWidth="1"/>
    <col min="7945" max="7945" width="18.5" style="5" bestFit="1" customWidth="1"/>
    <col min="7946" max="7946" width="22.33203125" style="5" bestFit="1" customWidth="1"/>
    <col min="7947" max="7947" width="20.5" style="5" bestFit="1" customWidth="1"/>
    <col min="7948" max="7948" width="20.83203125" style="5" bestFit="1" customWidth="1"/>
    <col min="7949" max="8195" width="9.33203125" style="5"/>
    <col min="8196" max="8196" width="29.6640625" style="5" customWidth="1"/>
    <col min="8197" max="8197" width="10.33203125" style="5" bestFit="1" customWidth="1"/>
    <col min="8198" max="8198" width="22.83203125" style="5" customWidth="1"/>
    <col min="8199" max="8199" width="24.5" style="5" bestFit="1" customWidth="1"/>
    <col min="8200" max="8200" width="6.83203125" style="5" bestFit="1" customWidth="1"/>
    <col min="8201" max="8201" width="18.5" style="5" bestFit="1" customWidth="1"/>
    <col min="8202" max="8202" width="22.33203125" style="5" bestFit="1" customWidth="1"/>
    <col min="8203" max="8203" width="20.5" style="5" bestFit="1" customWidth="1"/>
    <col min="8204" max="8204" width="20.83203125" style="5" bestFit="1" customWidth="1"/>
    <col min="8205" max="8451" width="9.33203125" style="5"/>
    <col min="8452" max="8452" width="29.6640625" style="5" customWidth="1"/>
    <col min="8453" max="8453" width="10.33203125" style="5" bestFit="1" customWidth="1"/>
    <col min="8454" max="8454" width="22.83203125" style="5" customWidth="1"/>
    <col min="8455" max="8455" width="24.5" style="5" bestFit="1" customWidth="1"/>
    <col min="8456" max="8456" width="6.83203125" style="5" bestFit="1" customWidth="1"/>
    <col min="8457" max="8457" width="18.5" style="5" bestFit="1" customWidth="1"/>
    <col min="8458" max="8458" width="22.33203125" style="5" bestFit="1" customWidth="1"/>
    <col min="8459" max="8459" width="20.5" style="5" bestFit="1" customWidth="1"/>
    <col min="8460" max="8460" width="20.83203125" style="5" bestFit="1" customWidth="1"/>
    <col min="8461" max="8707" width="9.33203125" style="5"/>
    <col min="8708" max="8708" width="29.6640625" style="5" customWidth="1"/>
    <col min="8709" max="8709" width="10.33203125" style="5" bestFit="1" customWidth="1"/>
    <col min="8710" max="8710" width="22.83203125" style="5" customWidth="1"/>
    <col min="8711" max="8711" width="24.5" style="5" bestFit="1" customWidth="1"/>
    <col min="8712" max="8712" width="6.83203125" style="5" bestFit="1" customWidth="1"/>
    <col min="8713" max="8713" width="18.5" style="5" bestFit="1" customWidth="1"/>
    <col min="8714" max="8714" width="22.33203125" style="5" bestFit="1" customWidth="1"/>
    <col min="8715" max="8715" width="20.5" style="5" bestFit="1" customWidth="1"/>
    <col min="8716" max="8716" width="20.83203125" style="5" bestFit="1" customWidth="1"/>
    <col min="8717" max="8963" width="9.33203125" style="5"/>
    <col min="8964" max="8964" width="29.6640625" style="5" customWidth="1"/>
    <col min="8965" max="8965" width="10.33203125" style="5" bestFit="1" customWidth="1"/>
    <col min="8966" max="8966" width="22.83203125" style="5" customWidth="1"/>
    <col min="8967" max="8967" width="24.5" style="5" bestFit="1" customWidth="1"/>
    <col min="8968" max="8968" width="6.83203125" style="5" bestFit="1" customWidth="1"/>
    <col min="8969" max="8969" width="18.5" style="5" bestFit="1" customWidth="1"/>
    <col min="8970" max="8970" width="22.33203125" style="5" bestFit="1" customWidth="1"/>
    <col min="8971" max="8971" width="20.5" style="5" bestFit="1" customWidth="1"/>
    <col min="8972" max="8972" width="20.83203125" style="5" bestFit="1" customWidth="1"/>
    <col min="8973" max="9219" width="9.33203125" style="5"/>
    <col min="9220" max="9220" width="29.6640625" style="5" customWidth="1"/>
    <col min="9221" max="9221" width="10.33203125" style="5" bestFit="1" customWidth="1"/>
    <col min="9222" max="9222" width="22.83203125" style="5" customWidth="1"/>
    <col min="9223" max="9223" width="24.5" style="5" bestFit="1" customWidth="1"/>
    <col min="9224" max="9224" width="6.83203125" style="5" bestFit="1" customWidth="1"/>
    <col min="9225" max="9225" width="18.5" style="5" bestFit="1" customWidth="1"/>
    <col min="9226" max="9226" width="22.33203125" style="5" bestFit="1" customWidth="1"/>
    <col min="9227" max="9227" width="20.5" style="5" bestFit="1" customWidth="1"/>
    <col min="9228" max="9228" width="20.83203125" style="5" bestFit="1" customWidth="1"/>
    <col min="9229" max="9475" width="9.33203125" style="5"/>
    <col min="9476" max="9476" width="29.6640625" style="5" customWidth="1"/>
    <col min="9477" max="9477" width="10.33203125" style="5" bestFit="1" customWidth="1"/>
    <col min="9478" max="9478" width="22.83203125" style="5" customWidth="1"/>
    <col min="9479" max="9479" width="24.5" style="5" bestFit="1" customWidth="1"/>
    <col min="9480" max="9480" width="6.83203125" style="5" bestFit="1" customWidth="1"/>
    <col min="9481" max="9481" width="18.5" style="5" bestFit="1" customWidth="1"/>
    <col min="9482" max="9482" width="22.33203125" style="5" bestFit="1" customWidth="1"/>
    <col min="9483" max="9483" width="20.5" style="5" bestFit="1" customWidth="1"/>
    <col min="9484" max="9484" width="20.83203125" style="5" bestFit="1" customWidth="1"/>
    <col min="9485" max="9731" width="9.33203125" style="5"/>
    <col min="9732" max="9732" width="29.6640625" style="5" customWidth="1"/>
    <col min="9733" max="9733" width="10.33203125" style="5" bestFit="1" customWidth="1"/>
    <col min="9734" max="9734" width="22.83203125" style="5" customWidth="1"/>
    <col min="9735" max="9735" width="24.5" style="5" bestFit="1" customWidth="1"/>
    <col min="9736" max="9736" width="6.83203125" style="5" bestFit="1" customWidth="1"/>
    <col min="9737" max="9737" width="18.5" style="5" bestFit="1" customWidth="1"/>
    <col min="9738" max="9738" width="22.33203125" style="5" bestFit="1" customWidth="1"/>
    <col min="9739" max="9739" width="20.5" style="5" bestFit="1" customWidth="1"/>
    <col min="9740" max="9740" width="20.83203125" style="5" bestFit="1" customWidth="1"/>
    <col min="9741" max="9987" width="9.33203125" style="5"/>
    <col min="9988" max="9988" width="29.6640625" style="5" customWidth="1"/>
    <col min="9989" max="9989" width="10.33203125" style="5" bestFit="1" customWidth="1"/>
    <col min="9990" max="9990" width="22.83203125" style="5" customWidth="1"/>
    <col min="9991" max="9991" width="24.5" style="5" bestFit="1" customWidth="1"/>
    <col min="9992" max="9992" width="6.83203125" style="5" bestFit="1" customWidth="1"/>
    <col min="9993" max="9993" width="18.5" style="5" bestFit="1" customWidth="1"/>
    <col min="9994" max="9994" width="22.33203125" style="5" bestFit="1" customWidth="1"/>
    <col min="9995" max="9995" width="20.5" style="5" bestFit="1" customWidth="1"/>
    <col min="9996" max="9996" width="20.83203125" style="5" bestFit="1" customWidth="1"/>
    <col min="9997" max="10243" width="9.33203125" style="5"/>
    <col min="10244" max="10244" width="29.6640625" style="5" customWidth="1"/>
    <col min="10245" max="10245" width="10.33203125" style="5" bestFit="1" customWidth="1"/>
    <col min="10246" max="10246" width="22.83203125" style="5" customWidth="1"/>
    <col min="10247" max="10247" width="24.5" style="5" bestFit="1" customWidth="1"/>
    <col min="10248" max="10248" width="6.83203125" style="5" bestFit="1" customWidth="1"/>
    <col min="10249" max="10249" width="18.5" style="5" bestFit="1" customWidth="1"/>
    <col min="10250" max="10250" width="22.33203125" style="5" bestFit="1" customWidth="1"/>
    <col min="10251" max="10251" width="20.5" style="5" bestFit="1" customWidth="1"/>
    <col min="10252" max="10252" width="20.83203125" style="5" bestFit="1" customWidth="1"/>
    <col min="10253" max="10499" width="9.33203125" style="5"/>
    <col min="10500" max="10500" width="29.6640625" style="5" customWidth="1"/>
    <col min="10501" max="10501" width="10.33203125" style="5" bestFit="1" customWidth="1"/>
    <col min="10502" max="10502" width="22.83203125" style="5" customWidth="1"/>
    <col min="10503" max="10503" width="24.5" style="5" bestFit="1" customWidth="1"/>
    <col min="10504" max="10504" width="6.83203125" style="5" bestFit="1" customWidth="1"/>
    <col min="10505" max="10505" width="18.5" style="5" bestFit="1" customWidth="1"/>
    <col min="10506" max="10506" width="22.33203125" style="5" bestFit="1" customWidth="1"/>
    <col min="10507" max="10507" width="20.5" style="5" bestFit="1" customWidth="1"/>
    <col min="10508" max="10508" width="20.83203125" style="5" bestFit="1" customWidth="1"/>
    <col min="10509" max="10755" width="9.33203125" style="5"/>
    <col min="10756" max="10756" width="29.6640625" style="5" customWidth="1"/>
    <col min="10757" max="10757" width="10.33203125" style="5" bestFit="1" customWidth="1"/>
    <col min="10758" max="10758" width="22.83203125" style="5" customWidth="1"/>
    <col min="10759" max="10759" width="24.5" style="5" bestFit="1" customWidth="1"/>
    <col min="10760" max="10760" width="6.83203125" style="5" bestFit="1" customWidth="1"/>
    <col min="10761" max="10761" width="18.5" style="5" bestFit="1" customWidth="1"/>
    <col min="10762" max="10762" width="22.33203125" style="5" bestFit="1" customWidth="1"/>
    <col min="10763" max="10763" width="20.5" style="5" bestFit="1" customWidth="1"/>
    <col min="10764" max="10764" width="20.83203125" style="5" bestFit="1" customWidth="1"/>
    <col min="10765" max="11011" width="9.33203125" style="5"/>
    <col min="11012" max="11012" width="29.6640625" style="5" customWidth="1"/>
    <col min="11013" max="11013" width="10.33203125" style="5" bestFit="1" customWidth="1"/>
    <col min="11014" max="11014" width="22.83203125" style="5" customWidth="1"/>
    <col min="11015" max="11015" width="24.5" style="5" bestFit="1" customWidth="1"/>
    <col min="11016" max="11016" width="6.83203125" style="5" bestFit="1" customWidth="1"/>
    <col min="11017" max="11017" width="18.5" style="5" bestFit="1" customWidth="1"/>
    <col min="11018" max="11018" width="22.33203125" style="5" bestFit="1" customWidth="1"/>
    <col min="11019" max="11019" width="20.5" style="5" bestFit="1" customWidth="1"/>
    <col min="11020" max="11020" width="20.83203125" style="5" bestFit="1" customWidth="1"/>
    <col min="11021" max="11267" width="9.33203125" style="5"/>
    <col min="11268" max="11268" width="29.6640625" style="5" customWidth="1"/>
    <col min="11269" max="11269" width="10.33203125" style="5" bestFit="1" customWidth="1"/>
    <col min="11270" max="11270" width="22.83203125" style="5" customWidth="1"/>
    <col min="11271" max="11271" width="24.5" style="5" bestFit="1" customWidth="1"/>
    <col min="11272" max="11272" width="6.83203125" style="5" bestFit="1" customWidth="1"/>
    <col min="11273" max="11273" width="18.5" style="5" bestFit="1" customWidth="1"/>
    <col min="11274" max="11274" width="22.33203125" style="5" bestFit="1" customWidth="1"/>
    <col min="11275" max="11275" width="20.5" style="5" bestFit="1" customWidth="1"/>
    <col min="11276" max="11276" width="20.83203125" style="5" bestFit="1" customWidth="1"/>
    <col min="11277" max="11523" width="9.33203125" style="5"/>
    <col min="11524" max="11524" width="29.6640625" style="5" customWidth="1"/>
    <col min="11525" max="11525" width="10.33203125" style="5" bestFit="1" customWidth="1"/>
    <col min="11526" max="11526" width="22.83203125" style="5" customWidth="1"/>
    <col min="11527" max="11527" width="24.5" style="5" bestFit="1" customWidth="1"/>
    <col min="11528" max="11528" width="6.83203125" style="5" bestFit="1" customWidth="1"/>
    <col min="11529" max="11529" width="18.5" style="5" bestFit="1" customWidth="1"/>
    <col min="11530" max="11530" width="22.33203125" style="5" bestFit="1" customWidth="1"/>
    <col min="11531" max="11531" width="20.5" style="5" bestFit="1" customWidth="1"/>
    <col min="11532" max="11532" width="20.83203125" style="5" bestFit="1" customWidth="1"/>
    <col min="11533" max="11779" width="9.33203125" style="5"/>
    <col min="11780" max="11780" width="29.6640625" style="5" customWidth="1"/>
    <col min="11781" max="11781" width="10.33203125" style="5" bestFit="1" customWidth="1"/>
    <col min="11782" max="11782" width="22.83203125" style="5" customWidth="1"/>
    <col min="11783" max="11783" width="24.5" style="5" bestFit="1" customWidth="1"/>
    <col min="11784" max="11784" width="6.83203125" style="5" bestFit="1" customWidth="1"/>
    <col min="11785" max="11785" width="18.5" style="5" bestFit="1" customWidth="1"/>
    <col min="11786" max="11786" width="22.33203125" style="5" bestFit="1" customWidth="1"/>
    <col min="11787" max="11787" width="20.5" style="5" bestFit="1" customWidth="1"/>
    <col min="11788" max="11788" width="20.83203125" style="5" bestFit="1" customWidth="1"/>
    <col min="11789" max="12035" width="9.33203125" style="5"/>
    <col min="12036" max="12036" width="29.6640625" style="5" customWidth="1"/>
    <col min="12037" max="12037" width="10.33203125" style="5" bestFit="1" customWidth="1"/>
    <col min="12038" max="12038" width="22.83203125" style="5" customWidth="1"/>
    <col min="12039" max="12039" width="24.5" style="5" bestFit="1" customWidth="1"/>
    <col min="12040" max="12040" width="6.83203125" style="5" bestFit="1" customWidth="1"/>
    <col min="12041" max="12041" width="18.5" style="5" bestFit="1" customWidth="1"/>
    <col min="12042" max="12042" width="22.33203125" style="5" bestFit="1" customWidth="1"/>
    <col min="12043" max="12043" width="20.5" style="5" bestFit="1" customWidth="1"/>
    <col min="12044" max="12044" width="20.83203125" style="5" bestFit="1" customWidth="1"/>
    <col min="12045" max="12291" width="9.33203125" style="5"/>
    <col min="12292" max="12292" width="29.6640625" style="5" customWidth="1"/>
    <col min="12293" max="12293" width="10.33203125" style="5" bestFit="1" customWidth="1"/>
    <col min="12294" max="12294" width="22.83203125" style="5" customWidth="1"/>
    <col min="12295" max="12295" width="24.5" style="5" bestFit="1" customWidth="1"/>
    <col min="12296" max="12296" width="6.83203125" style="5" bestFit="1" customWidth="1"/>
    <col min="12297" max="12297" width="18.5" style="5" bestFit="1" customWidth="1"/>
    <col min="12298" max="12298" width="22.33203125" style="5" bestFit="1" customWidth="1"/>
    <col min="12299" max="12299" width="20.5" style="5" bestFit="1" customWidth="1"/>
    <col min="12300" max="12300" width="20.83203125" style="5" bestFit="1" customWidth="1"/>
    <col min="12301" max="12547" width="9.33203125" style="5"/>
    <col min="12548" max="12548" width="29.6640625" style="5" customWidth="1"/>
    <col min="12549" max="12549" width="10.33203125" style="5" bestFit="1" customWidth="1"/>
    <col min="12550" max="12550" width="22.83203125" style="5" customWidth="1"/>
    <col min="12551" max="12551" width="24.5" style="5" bestFit="1" customWidth="1"/>
    <col min="12552" max="12552" width="6.83203125" style="5" bestFit="1" customWidth="1"/>
    <col min="12553" max="12553" width="18.5" style="5" bestFit="1" customWidth="1"/>
    <col min="12554" max="12554" width="22.33203125" style="5" bestFit="1" customWidth="1"/>
    <col min="12555" max="12555" width="20.5" style="5" bestFit="1" customWidth="1"/>
    <col min="12556" max="12556" width="20.83203125" style="5" bestFit="1" customWidth="1"/>
    <col min="12557" max="12803" width="9.33203125" style="5"/>
    <col min="12804" max="12804" width="29.6640625" style="5" customWidth="1"/>
    <col min="12805" max="12805" width="10.33203125" style="5" bestFit="1" customWidth="1"/>
    <col min="12806" max="12806" width="22.83203125" style="5" customWidth="1"/>
    <col min="12807" max="12807" width="24.5" style="5" bestFit="1" customWidth="1"/>
    <col min="12808" max="12808" width="6.83203125" style="5" bestFit="1" customWidth="1"/>
    <col min="12809" max="12809" width="18.5" style="5" bestFit="1" customWidth="1"/>
    <col min="12810" max="12810" width="22.33203125" style="5" bestFit="1" customWidth="1"/>
    <col min="12811" max="12811" width="20.5" style="5" bestFit="1" customWidth="1"/>
    <col min="12812" max="12812" width="20.83203125" style="5" bestFit="1" customWidth="1"/>
    <col min="12813" max="13059" width="9.33203125" style="5"/>
    <col min="13060" max="13060" width="29.6640625" style="5" customWidth="1"/>
    <col min="13061" max="13061" width="10.33203125" style="5" bestFit="1" customWidth="1"/>
    <col min="13062" max="13062" width="22.83203125" style="5" customWidth="1"/>
    <col min="13063" max="13063" width="24.5" style="5" bestFit="1" customWidth="1"/>
    <col min="13064" max="13064" width="6.83203125" style="5" bestFit="1" customWidth="1"/>
    <col min="13065" max="13065" width="18.5" style="5" bestFit="1" customWidth="1"/>
    <col min="13066" max="13066" width="22.33203125" style="5" bestFit="1" customWidth="1"/>
    <col min="13067" max="13067" width="20.5" style="5" bestFit="1" customWidth="1"/>
    <col min="13068" max="13068" width="20.83203125" style="5" bestFit="1" customWidth="1"/>
    <col min="13069" max="13315" width="9.33203125" style="5"/>
    <col min="13316" max="13316" width="29.6640625" style="5" customWidth="1"/>
    <col min="13317" max="13317" width="10.33203125" style="5" bestFit="1" customWidth="1"/>
    <col min="13318" max="13318" width="22.83203125" style="5" customWidth="1"/>
    <col min="13319" max="13319" width="24.5" style="5" bestFit="1" customWidth="1"/>
    <col min="13320" max="13320" width="6.83203125" style="5" bestFit="1" customWidth="1"/>
    <col min="13321" max="13321" width="18.5" style="5" bestFit="1" customWidth="1"/>
    <col min="13322" max="13322" width="22.33203125" style="5" bestFit="1" customWidth="1"/>
    <col min="13323" max="13323" width="20.5" style="5" bestFit="1" customWidth="1"/>
    <col min="13324" max="13324" width="20.83203125" style="5" bestFit="1" customWidth="1"/>
    <col min="13325" max="13571" width="9.33203125" style="5"/>
    <col min="13572" max="13572" width="29.6640625" style="5" customWidth="1"/>
    <col min="13573" max="13573" width="10.33203125" style="5" bestFit="1" customWidth="1"/>
    <col min="13574" max="13574" width="22.83203125" style="5" customWidth="1"/>
    <col min="13575" max="13575" width="24.5" style="5" bestFit="1" customWidth="1"/>
    <col min="13576" max="13576" width="6.83203125" style="5" bestFit="1" customWidth="1"/>
    <col min="13577" max="13577" width="18.5" style="5" bestFit="1" customWidth="1"/>
    <col min="13578" max="13578" width="22.33203125" style="5" bestFit="1" customWidth="1"/>
    <col min="13579" max="13579" width="20.5" style="5" bestFit="1" customWidth="1"/>
    <col min="13580" max="13580" width="20.83203125" style="5" bestFit="1" customWidth="1"/>
    <col min="13581" max="13827" width="9.33203125" style="5"/>
    <col min="13828" max="13828" width="29.6640625" style="5" customWidth="1"/>
    <col min="13829" max="13829" width="10.33203125" style="5" bestFit="1" customWidth="1"/>
    <col min="13830" max="13830" width="22.83203125" style="5" customWidth="1"/>
    <col min="13831" max="13831" width="24.5" style="5" bestFit="1" customWidth="1"/>
    <col min="13832" max="13832" width="6.83203125" style="5" bestFit="1" customWidth="1"/>
    <col min="13833" max="13833" width="18.5" style="5" bestFit="1" customWidth="1"/>
    <col min="13834" max="13834" width="22.33203125" style="5" bestFit="1" customWidth="1"/>
    <col min="13835" max="13835" width="20.5" style="5" bestFit="1" customWidth="1"/>
    <col min="13836" max="13836" width="20.83203125" style="5" bestFit="1" customWidth="1"/>
    <col min="13837" max="14083" width="9.33203125" style="5"/>
    <col min="14084" max="14084" width="29.6640625" style="5" customWidth="1"/>
    <col min="14085" max="14085" width="10.33203125" style="5" bestFit="1" customWidth="1"/>
    <col min="14086" max="14086" width="22.83203125" style="5" customWidth="1"/>
    <col min="14087" max="14087" width="24.5" style="5" bestFit="1" customWidth="1"/>
    <col min="14088" max="14088" width="6.83203125" style="5" bestFit="1" customWidth="1"/>
    <col min="14089" max="14089" width="18.5" style="5" bestFit="1" customWidth="1"/>
    <col min="14090" max="14090" width="22.33203125" style="5" bestFit="1" customWidth="1"/>
    <col min="14091" max="14091" width="20.5" style="5" bestFit="1" customWidth="1"/>
    <col min="14092" max="14092" width="20.83203125" style="5" bestFit="1" customWidth="1"/>
    <col min="14093" max="14339" width="9.33203125" style="5"/>
    <col min="14340" max="14340" width="29.6640625" style="5" customWidth="1"/>
    <col min="14341" max="14341" width="10.33203125" style="5" bestFit="1" customWidth="1"/>
    <col min="14342" max="14342" width="22.83203125" style="5" customWidth="1"/>
    <col min="14343" max="14343" width="24.5" style="5" bestFit="1" customWidth="1"/>
    <col min="14344" max="14344" width="6.83203125" style="5" bestFit="1" customWidth="1"/>
    <col min="14345" max="14345" width="18.5" style="5" bestFit="1" customWidth="1"/>
    <col min="14346" max="14346" width="22.33203125" style="5" bestFit="1" customWidth="1"/>
    <col min="14347" max="14347" width="20.5" style="5" bestFit="1" customWidth="1"/>
    <col min="14348" max="14348" width="20.83203125" style="5" bestFit="1" customWidth="1"/>
    <col min="14349" max="14595" width="9.33203125" style="5"/>
    <col min="14596" max="14596" width="29.6640625" style="5" customWidth="1"/>
    <col min="14597" max="14597" width="10.33203125" style="5" bestFit="1" customWidth="1"/>
    <col min="14598" max="14598" width="22.83203125" style="5" customWidth="1"/>
    <col min="14599" max="14599" width="24.5" style="5" bestFit="1" customWidth="1"/>
    <col min="14600" max="14600" width="6.83203125" style="5" bestFit="1" customWidth="1"/>
    <col min="14601" max="14601" width="18.5" style="5" bestFit="1" customWidth="1"/>
    <col min="14602" max="14602" width="22.33203125" style="5" bestFit="1" customWidth="1"/>
    <col min="14603" max="14603" width="20.5" style="5" bestFit="1" customWidth="1"/>
    <col min="14604" max="14604" width="20.83203125" style="5" bestFit="1" customWidth="1"/>
    <col min="14605" max="14851" width="9.33203125" style="5"/>
    <col min="14852" max="14852" width="29.6640625" style="5" customWidth="1"/>
    <col min="14853" max="14853" width="10.33203125" style="5" bestFit="1" customWidth="1"/>
    <col min="14854" max="14854" width="22.83203125" style="5" customWidth="1"/>
    <col min="14855" max="14855" width="24.5" style="5" bestFit="1" customWidth="1"/>
    <col min="14856" max="14856" width="6.83203125" style="5" bestFit="1" customWidth="1"/>
    <col min="14857" max="14857" width="18.5" style="5" bestFit="1" customWidth="1"/>
    <col min="14858" max="14858" width="22.33203125" style="5" bestFit="1" customWidth="1"/>
    <col min="14859" max="14859" width="20.5" style="5" bestFit="1" customWidth="1"/>
    <col min="14860" max="14860" width="20.83203125" style="5" bestFit="1" customWidth="1"/>
    <col min="14861" max="15107" width="9.33203125" style="5"/>
    <col min="15108" max="15108" width="29.6640625" style="5" customWidth="1"/>
    <col min="15109" max="15109" width="10.33203125" style="5" bestFit="1" customWidth="1"/>
    <col min="15110" max="15110" width="22.83203125" style="5" customWidth="1"/>
    <col min="15111" max="15111" width="24.5" style="5" bestFit="1" customWidth="1"/>
    <col min="15112" max="15112" width="6.83203125" style="5" bestFit="1" customWidth="1"/>
    <col min="15113" max="15113" width="18.5" style="5" bestFit="1" customWidth="1"/>
    <col min="15114" max="15114" width="22.33203125" style="5" bestFit="1" customWidth="1"/>
    <col min="15115" max="15115" width="20.5" style="5" bestFit="1" customWidth="1"/>
    <col min="15116" max="15116" width="20.83203125" style="5" bestFit="1" customWidth="1"/>
    <col min="15117" max="15363" width="9.33203125" style="5"/>
    <col min="15364" max="15364" width="29.6640625" style="5" customWidth="1"/>
    <col min="15365" max="15365" width="10.33203125" style="5" bestFit="1" customWidth="1"/>
    <col min="15366" max="15366" width="22.83203125" style="5" customWidth="1"/>
    <col min="15367" max="15367" width="24.5" style="5" bestFit="1" customWidth="1"/>
    <col min="15368" max="15368" width="6.83203125" style="5" bestFit="1" customWidth="1"/>
    <col min="15369" max="15369" width="18.5" style="5" bestFit="1" customWidth="1"/>
    <col min="15370" max="15370" width="22.33203125" style="5" bestFit="1" customWidth="1"/>
    <col min="15371" max="15371" width="20.5" style="5" bestFit="1" customWidth="1"/>
    <col min="15372" max="15372" width="20.83203125" style="5" bestFit="1" customWidth="1"/>
    <col min="15373" max="15619" width="9.33203125" style="5"/>
    <col min="15620" max="15620" width="29.6640625" style="5" customWidth="1"/>
    <col min="15621" max="15621" width="10.33203125" style="5" bestFit="1" customWidth="1"/>
    <col min="15622" max="15622" width="22.83203125" style="5" customWidth="1"/>
    <col min="15623" max="15623" width="24.5" style="5" bestFit="1" customWidth="1"/>
    <col min="15624" max="15624" width="6.83203125" style="5" bestFit="1" customWidth="1"/>
    <col min="15625" max="15625" width="18.5" style="5" bestFit="1" customWidth="1"/>
    <col min="15626" max="15626" width="22.33203125" style="5" bestFit="1" customWidth="1"/>
    <col min="15627" max="15627" width="20.5" style="5" bestFit="1" customWidth="1"/>
    <col min="15628" max="15628" width="20.83203125" style="5" bestFit="1" customWidth="1"/>
    <col min="15629" max="15875" width="9.33203125" style="5"/>
    <col min="15876" max="15876" width="29.6640625" style="5" customWidth="1"/>
    <col min="15877" max="15877" width="10.33203125" style="5" bestFit="1" customWidth="1"/>
    <col min="15878" max="15878" width="22.83203125" style="5" customWidth="1"/>
    <col min="15879" max="15879" width="24.5" style="5" bestFit="1" customWidth="1"/>
    <col min="15880" max="15880" width="6.83203125" style="5" bestFit="1" customWidth="1"/>
    <col min="15881" max="15881" width="18.5" style="5" bestFit="1" customWidth="1"/>
    <col min="15882" max="15882" width="22.33203125" style="5" bestFit="1" customWidth="1"/>
    <col min="15883" max="15883" width="20.5" style="5" bestFit="1" customWidth="1"/>
    <col min="15884" max="15884" width="20.83203125" style="5" bestFit="1" customWidth="1"/>
    <col min="15885" max="16131" width="9.33203125" style="5"/>
    <col min="16132" max="16132" width="29.6640625" style="5" customWidth="1"/>
    <col min="16133" max="16133" width="10.33203125" style="5" bestFit="1" customWidth="1"/>
    <col min="16134" max="16134" width="22.83203125" style="5" customWidth="1"/>
    <col min="16135" max="16135" width="24.5" style="5" bestFit="1" customWidth="1"/>
    <col min="16136" max="16136" width="6.83203125" style="5" bestFit="1" customWidth="1"/>
    <col min="16137" max="16137" width="18.5" style="5" bestFit="1" customWidth="1"/>
    <col min="16138" max="16138" width="22.33203125" style="5" bestFit="1" customWidth="1"/>
    <col min="16139" max="16139" width="20.5" style="5" bestFit="1" customWidth="1"/>
    <col min="16140" max="16140" width="20.83203125" style="5" bestFit="1" customWidth="1"/>
    <col min="16141" max="16384" width="9.33203125" style="5"/>
  </cols>
  <sheetData>
    <row r="1" spans="1:12" x14ac:dyDescent="0.25">
      <c r="A1" s="2" t="s">
        <v>48</v>
      </c>
    </row>
    <row r="2" spans="1:12" x14ac:dyDescent="0.25">
      <c r="A2" s="2" t="s">
        <v>49</v>
      </c>
    </row>
    <row r="4" spans="1:12" s="7" customFormat="1" ht="22.5" x14ac:dyDescent="0.3">
      <c r="A4" s="89" t="s">
        <v>70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6"/>
    </row>
    <row r="6" spans="1:12" s="12" customFormat="1" ht="29.25" x14ac:dyDescent="0.25">
      <c r="A6" s="8" t="s">
        <v>1</v>
      </c>
      <c r="B6" s="9" t="s">
        <v>2</v>
      </c>
      <c r="C6" s="10" t="s">
        <v>0</v>
      </c>
      <c r="D6" s="10" t="s">
        <v>43</v>
      </c>
      <c r="E6" s="10" t="s">
        <v>44</v>
      </c>
      <c r="F6" s="8" t="s">
        <v>3</v>
      </c>
      <c r="G6" s="9" t="s">
        <v>4</v>
      </c>
      <c r="H6" s="10" t="s">
        <v>5</v>
      </c>
      <c r="I6" s="8" t="s">
        <v>6</v>
      </c>
      <c r="J6" s="85" t="s">
        <v>50</v>
      </c>
      <c r="K6" s="8" t="s">
        <v>7</v>
      </c>
      <c r="L6" s="11"/>
    </row>
    <row r="7" spans="1:12" s="55" customFormat="1" x14ac:dyDescent="0.25">
      <c r="A7" s="61" t="s">
        <v>42</v>
      </c>
      <c r="B7" s="9">
        <f>C7/C18</f>
        <v>0</v>
      </c>
      <c r="C7" s="10">
        <f>SUM(C8)</f>
        <v>0</v>
      </c>
      <c r="D7" s="10">
        <f>SUM(D8)</f>
        <v>0</v>
      </c>
      <c r="E7" s="10">
        <f t="shared" ref="E7:F7" si="0">SUM(E8)</f>
        <v>0</v>
      </c>
      <c r="F7" s="10">
        <f t="shared" si="0"/>
        <v>0</v>
      </c>
      <c r="G7" s="9">
        <v>0</v>
      </c>
      <c r="H7" s="10"/>
      <c r="I7" s="8"/>
      <c r="J7" s="8"/>
      <c r="K7" s="8"/>
      <c r="L7" s="11"/>
    </row>
    <row r="8" spans="1:12" s="55" customFormat="1" x14ac:dyDescent="0.25">
      <c r="A8" s="53">
        <v>5112</v>
      </c>
      <c r="B8" s="9">
        <f>C8/C18</f>
        <v>0</v>
      </c>
      <c r="C8" s="62">
        <v>0</v>
      </c>
      <c r="D8" s="62">
        <v>0</v>
      </c>
      <c r="E8" s="62">
        <f>$E$18*B8</f>
        <v>0</v>
      </c>
      <c r="F8" s="67">
        <f>C8-D8-E8</f>
        <v>0</v>
      </c>
      <c r="G8" s="9"/>
      <c r="H8" s="10"/>
      <c r="I8" s="8"/>
      <c r="J8" s="8"/>
      <c r="K8" s="8"/>
      <c r="L8" s="11"/>
    </row>
    <row r="9" spans="1:12" s="2" customFormat="1" x14ac:dyDescent="0.25">
      <c r="A9" s="13" t="s">
        <v>8</v>
      </c>
      <c r="B9" s="9">
        <f>+C9/C18</f>
        <v>0</v>
      </c>
      <c r="C9" s="14">
        <f>SUM(C10:C10)</f>
        <v>0</v>
      </c>
      <c r="D9" s="14">
        <f t="shared" ref="D9:F9" si="1">SUM(D10:D10)</f>
        <v>0</v>
      </c>
      <c r="E9" s="14">
        <f t="shared" si="1"/>
        <v>0</v>
      </c>
      <c r="F9" s="14">
        <f t="shared" si="1"/>
        <v>0</v>
      </c>
      <c r="G9" s="16">
        <v>0.2</v>
      </c>
      <c r="H9" s="14">
        <f>ROUND(F9*G9,0)</f>
        <v>0</v>
      </c>
      <c r="I9" s="15">
        <v>0</v>
      </c>
      <c r="J9" s="15">
        <f>H9*0.3</f>
        <v>0</v>
      </c>
      <c r="K9" s="15">
        <f>H9-J9</f>
        <v>0</v>
      </c>
      <c r="L9" s="17"/>
    </row>
    <row r="10" spans="1:12" x14ac:dyDescent="0.25">
      <c r="A10" s="53">
        <v>5113</v>
      </c>
      <c r="B10" s="19">
        <f>C10/C18</f>
        <v>0</v>
      </c>
      <c r="C10" s="20">
        <v>0</v>
      </c>
      <c r="D10" s="20">
        <v>0</v>
      </c>
      <c r="E10" s="20">
        <f>$E$18*B10</f>
        <v>0</v>
      </c>
      <c r="F10" s="63">
        <f>C10-D10-E10</f>
        <v>0</v>
      </c>
      <c r="G10" s="21"/>
      <c r="H10" s="14">
        <f>ROUND(F10*G10,0)</f>
        <v>0</v>
      </c>
      <c r="I10" s="15">
        <f>+H10/2</f>
        <v>0</v>
      </c>
      <c r="J10" s="15"/>
      <c r="K10" s="18"/>
    </row>
    <row r="11" spans="1:12" s="2" customFormat="1" x14ac:dyDescent="0.25">
      <c r="A11" s="22" t="s">
        <v>9</v>
      </c>
      <c r="B11" s="9">
        <f>+C11/C18</f>
        <v>0.32874985659007244</v>
      </c>
      <c r="C11" s="14">
        <f>SUM(C12:C13)</f>
        <v>179713890</v>
      </c>
      <c r="D11" s="14">
        <f>SUM(D12:D13)</f>
        <v>127049354</v>
      </c>
      <c r="E11" s="14">
        <f t="shared" ref="E11:F11" si="2">SUM(E12:E13)</f>
        <v>6839078.2753518317</v>
      </c>
      <c r="F11" s="14">
        <f t="shared" si="2"/>
        <v>45825457.724648163</v>
      </c>
      <c r="G11" s="23">
        <v>0.17</v>
      </c>
      <c r="H11" s="14">
        <f>ROUND(F11*G11,0)</f>
        <v>7790328</v>
      </c>
      <c r="I11" s="15">
        <f>+ROUND(H11*50%,0)</f>
        <v>3895164</v>
      </c>
      <c r="J11" s="15">
        <v>0</v>
      </c>
      <c r="K11" s="15">
        <f>H11-I11-J11</f>
        <v>3895164</v>
      </c>
      <c r="L11" s="17"/>
    </row>
    <row r="12" spans="1:12" s="2" customFormat="1" x14ac:dyDescent="0.25">
      <c r="A12" s="66">
        <v>5113</v>
      </c>
      <c r="B12" s="19">
        <f>C12/C18</f>
        <v>0.16811566799517869</v>
      </c>
      <c r="C12" s="20">
        <v>91901852</v>
      </c>
      <c r="D12" s="20">
        <v>44922937</v>
      </c>
      <c r="E12" s="20">
        <f>$E$18*B12</f>
        <v>3497358.8267317526</v>
      </c>
      <c r="F12" s="63">
        <f>C12-D12-E12</f>
        <v>43481556.173268244</v>
      </c>
      <c r="G12" s="23"/>
      <c r="H12" s="20">
        <f>F12*$G$11</f>
        <v>7391864.5494556017</v>
      </c>
      <c r="I12" s="63">
        <f t="shared" ref="I12" si="3">+ROUND(H12*50%,0)</f>
        <v>3695932</v>
      </c>
      <c r="J12" s="63">
        <v>0</v>
      </c>
      <c r="K12" s="63">
        <f>H12-I12-J12</f>
        <v>3695932.5494556017</v>
      </c>
      <c r="L12" s="17"/>
    </row>
    <row r="13" spans="1:12" x14ac:dyDescent="0.25">
      <c r="A13" s="53">
        <v>5112</v>
      </c>
      <c r="B13" s="19">
        <f>C13/C18</f>
        <v>0.16063418859489376</v>
      </c>
      <c r="C13" s="20">
        <v>87812038</v>
      </c>
      <c r="D13" s="20">
        <v>82126417</v>
      </c>
      <c r="E13" s="20">
        <f>$E$18*B13</f>
        <v>3341719.4486200786</v>
      </c>
      <c r="F13" s="63">
        <f>C13-D13-E13</f>
        <v>2343901.5513799214</v>
      </c>
      <c r="G13" s="21"/>
      <c r="H13" s="20">
        <f>F13*$G$11</f>
        <v>398463.26373458665</v>
      </c>
      <c r="I13" s="63">
        <f>+ROUND(H13*50%,0)</f>
        <v>199232</v>
      </c>
      <c r="J13" s="63">
        <v>0</v>
      </c>
      <c r="K13" s="63">
        <f>H13-I13-J13</f>
        <v>199231.26373458665</v>
      </c>
    </row>
    <row r="14" spans="1:12" s="2" customFormat="1" x14ac:dyDescent="0.25">
      <c r="A14" s="24" t="s">
        <v>10</v>
      </c>
      <c r="B14" s="9">
        <f>+C14/C18</f>
        <v>0.6712501434099275</v>
      </c>
      <c r="C14" s="14">
        <f>SUM(C15:C17)</f>
        <v>366944569</v>
      </c>
      <c r="D14" s="14">
        <f>SUM(D15:D17)</f>
        <v>323444548</v>
      </c>
      <c r="E14" s="14">
        <f t="shared" ref="E14:F14" si="4">SUM(E15:E17)</f>
        <v>13964210.724648168</v>
      </c>
      <c r="F14" s="14">
        <f t="shared" si="4"/>
        <v>29535810.27535183</v>
      </c>
      <c r="G14" s="23">
        <v>0.1</v>
      </c>
      <c r="H14" s="14">
        <f>ROUND(F14*G14,0)</f>
        <v>2953581</v>
      </c>
      <c r="I14" s="15">
        <f>+ROUND(H14*50%,0)</f>
        <v>1476791</v>
      </c>
      <c r="J14" s="15"/>
      <c r="K14" s="15">
        <f>+H14-I14</f>
        <v>1476790</v>
      </c>
      <c r="L14" s="17"/>
    </row>
    <row r="15" spans="1:12" s="2" customFormat="1" x14ac:dyDescent="0.25">
      <c r="A15" s="66">
        <v>5113</v>
      </c>
      <c r="B15" s="64">
        <f>C15/C18</f>
        <v>7.3171830310962043E-3</v>
      </c>
      <c r="C15" s="20">
        <v>4000000</v>
      </c>
      <c r="D15" s="20">
        <v>888753</v>
      </c>
      <c r="E15" s="20">
        <f>$E$18*B15</f>
        <v>152221.47326179032</v>
      </c>
      <c r="F15" s="63">
        <f>C15-D15-E15</f>
        <v>2959025.5267382096</v>
      </c>
      <c r="G15" s="23"/>
      <c r="H15" s="20">
        <f>F15*$G$14</f>
        <v>295902.55267382099</v>
      </c>
      <c r="I15" s="63">
        <f>+ROUND(H15*50%,0)</f>
        <v>147951</v>
      </c>
      <c r="J15" s="15"/>
      <c r="K15" s="63">
        <f t="shared" ref="K15:K17" si="5">+H15-I15</f>
        <v>147951.55267382099</v>
      </c>
      <c r="L15" s="17"/>
    </row>
    <row r="16" spans="1:12" x14ac:dyDescent="0.25">
      <c r="A16" s="53">
        <v>5112</v>
      </c>
      <c r="B16" s="64">
        <f>C16/C18</f>
        <v>0.66388191936859797</v>
      </c>
      <c r="C16" s="20">
        <v>362916667</v>
      </c>
      <c r="D16" s="20">
        <v>322555795</v>
      </c>
      <c r="E16" s="20">
        <f t="shared" ref="E16:E17" si="6">$E$18*B16</f>
        <v>13810927.430499641</v>
      </c>
      <c r="F16" s="63">
        <f t="shared" ref="F16:F17" si="7">C16-D16-E16</f>
        <v>26549944.569500357</v>
      </c>
      <c r="G16" s="21"/>
      <c r="H16" s="20">
        <f t="shared" ref="H16:H17" si="8">F16*$G$14</f>
        <v>2654994.4569500359</v>
      </c>
      <c r="I16" s="63">
        <f t="shared" ref="I16" si="9">+ROUND(H16*50%,0)</f>
        <v>1327497</v>
      </c>
      <c r="J16" s="15"/>
      <c r="K16" s="63">
        <f t="shared" si="5"/>
        <v>1327497.4569500359</v>
      </c>
    </row>
    <row r="17" spans="1:12" x14ac:dyDescent="0.25">
      <c r="A17" s="53">
        <v>5151</v>
      </c>
      <c r="B17" s="65">
        <f>C17/C18</f>
        <v>5.1041010233411572E-5</v>
      </c>
      <c r="C17" s="20">
        <v>27902</v>
      </c>
      <c r="D17" s="20"/>
      <c r="E17" s="20">
        <f t="shared" si="6"/>
        <v>1061.8208867376184</v>
      </c>
      <c r="F17" s="63">
        <f t="shared" si="7"/>
        <v>26840.17911326238</v>
      </c>
      <c r="G17" s="21"/>
      <c r="H17" s="20">
        <f t="shared" si="8"/>
        <v>2684.0179113262384</v>
      </c>
      <c r="I17" s="63">
        <f>+ROUND(H17*50%,0)</f>
        <v>1342</v>
      </c>
      <c r="J17" s="15"/>
      <c r="K17" s="63">
        <f t="shared" si="5"/>
        <v>1342.0179113262384</v>
      </c>
    </row>
    <row r="18" spans="1:12" s="2" customFormat="1" x14ac:dyDescent="0.25">
      <c r="A18" s="8" t="s">
        <v>11</v>
      </c>
      <c r="B18" s="23"/>
      <c r="C18" s="14">
        <f>C7+C9+C11+C14</f>
        <v>546658459</v>
      </c>
      <c r="D18" s="14">
        <f>D7+D9+D11+D14</f>
        <v>450493902</v>
      </c>
      <c r="E18" s="14">
        <v>20803289</v>
      </c>
      <c r="F18" s="84">
        <f>F7+F9+F11+F14</f>
        <v>75361268</v>
      </c>
      <c r="G18" s="14"/>
      <c r="H18" s="14">
        <f>+H9+H11+H14</f>
        <v>10743909</v>
      </c>
      <c r="I18" s="14">
        <f>I14+I11+I9</f>
        <v>5371955</v>
      </c>
      <c r="J18" s="14">
        <f>J9+J11+J14+J7</f>
        <v>0</v>
      </c>
      <c r="K18" s="14">
        <f>K14+K11+K9</f>
        <v>5371954</v>
      </c>
      <c r="L18" s="17"/>
    </row>
    <row r="19" spans="1:12" x14ac:dyDescent="0.25">
      <c r="F19" s="25"/>
      <c r="I19" s="4"/>
      <c r="J19" s="4"/>
      <c r="K19" s="42"/>
      <c r="L19" s="42"/>
    </row>
    <row r="20" spans="1:12" x14ac:dyDescent="0.25">
      <c r="F20" s="90" t="s">
        <v>68</v>
      </c>
      <c r="G20" s="90"/>
      <c r="H20" s="90"/>
      <c r="I20" s="90"/>
      <c r="J20" s="54"/>
      <c r="K20" s="43"/>
      <c r="L20" s="42"/>
    </row>
    <row r="21" spans="1:12" x14ac:dyDescent="0.25">
      <c r="A21" s="91" t="s">
        <v>12</v>
      </c>
      <c r="B21" s="91"/>
      <c r="F21" s="92" t="s">
        <v>13</v>
      </c>
      <c r="G21" s="92"/>
      <c r="H21" s="92"/>
      <c r="I21" s="92"/>
      <c r="J21" s="56"/>
    </row>
    <row r="22" spans="1:12" x14ac:dyDescent="0.25">
      <c r="I22" s="25"/>
    </row>
    <row r="23" spans="1:12" x14ac:dyDescent="0.25">
      <c r="K23" s="25"/>
    </row>
    <row r="24" spans="1:12" x14ac:dyDescent="0.25">
      <c r="J24" s="25"/>
      <c r="K24" s="99"/>
    </row>
    <row r="25" spans="1:12" x14ac:dyDescent="0.25">
      <c r="F25" s="25"/>
    </row>
  </sheetData>
  <mergeCells count="4">
    <mergeCell ref="A4:K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zoomScale="90" zoomScaleNormal="90" workbookViewId="0">
      <selection activeCell="A2" sqref="A2"/>
    </sheetView>
  </sheetViews>
  <sheetFormatPr defaultRowHeight="15" x14ac:dyDescent="0.25"/>
  <cols>
    <col min="1" max="1" width="15.5" style="26" customWidth="1"/>
    <col min="2" max="2" width="111.33203125" style="26" customWidth="1"/>
    <col min="3" max="3" width="20" style="27" customWidth="1"/>
    <col min="4" max="4" width="19.6640625" style="27" bestFit="1" customWidth="1"/>
    <col min="5" max="5" width="19.1640625" style="27" customWidth="1"/>
    <col min="6" max="6" width="18.5" style="27" customWidth="1"/>
    <col min="7" max="7" width="17.83203125" style="26" customWidth="1"/>
    <col min="8" max="8" width="21.83203125" style="26" customWidth="1"/>
    <col min="9" max="256" width="9.33203125" style="26"/>
    <col min="257" max="257" width="6.33203125" style="26" customWidth="1"/>
    <col min="258" max="258" width="69.5" style="26" customWidth="1"/>
    <col min="259" max="259" width="20" style="26" customWidth="1"/>
    <col min="260" max="260" width="19.6640625" style="26" bestFit="1" customWidth="1"/>
    <col min="261" max="261" width="19.1640625" style="26" customWidth="1"/>
    <col min="262" max="262" width="22.1640625" style="26" customWidth="1"/>
    <col min="263" max="263" width="20.6640625" style="26" bestFit="1" customWidth="1"/>
    <col min="264" max="512" width="9.33203125" style="26"/>
    <col min="513" max="513" width="6.33203125" style="26" customWidth="1"/>
    <col min="514" max="514" width="69.5" style="26" customWidth="1"/>
    <col min="515" max="515" width="20" style="26" customWidth="1"/>
    <col min="516" max="516" width="19.6640625" style="26" bestFit="1" customWidth="1"/>
    <col min="517" max="517" width="19.1640625" style="26" customWidth="1"/>
    <col min="518" max="518" width="22.1640625" style="26" customWidth="1"/>
    <col min="519" max="519" width="20.6640625" style="26" bestFit="1" customWidth="1"/>
    <col min="520" max="768" width="9.33203125" style="26"/>
    <col min="769" max="769" width="6.33203125" style="26" customWidth="1"/>
    <col min="770" max="770" width="69.5" style="26" customWidth="1"/>
    <col min="771" max="771" width="20" style="26" customWidth="1"/>
    <col min="772" max="772" width="19.6640625" style="26" bestFit="1" customWidth="1"/>
    <col min="773" max="773" width="19.1640625" style="26" customWidth="1"/>
    <col min="774" max="774" width="22.1640625" style="26" customWidth="1"/>
    <col min="775" max="775" width="20.6640625" style="26" bestFit="1" customWidth="1"/>
    <col min="776" max="1024" width="9.33203125" style="26"/>
    <col min="1025" max="1025" width="6.33203125" style="26" customWidth="1"/>
    <col min="1026" max="1026" width="69.5" style="26" customWidth="1"/>
    <col min="1027" max="1027" width="20" style="26" customWidth="1"/>
    <col min="1028" max="1028" width="19.6640625" style="26" bestFit="1" customWidth="1"/>
    <col min="1029" max="1029" width="19.1640625" style="26" customWidth="1"/>
    <col min="1030" max="1030" width="22.1640625" style="26" customWidth="1"/>
    <col min="1031" max="1031" width="20.6640625" style="26" bestFit="1" customWidth="1"/>
    <col min="1032" max="1280" width="9.33203125" style="26"/>
    <col min="1281" max="1281" width="6.33203125" style="26" customWidth="1"/>
    <col min="1282" max="1282" width="69.5" style="26" customWidth="1"/>
    <col min="1283" max="1283" width="20" style="26" customWidth="1"/>
    <col min="1284" max="1284" width="19.6640625" style="26" bestFit="1" customWidth="1"/>
    <col min="1285" max="1285" width="19.1640625" style="26" customWidth="1"/>
    <col min="1286" max="1286" width="22.1640625" style="26" customWidth="1"/>
    <col min="1287" max="1287" width="20.6640625" style="26" bestFit="1" customWidth="1"/>
    <col min="1288" max="1536" width="9.33203125" style="26"/>
    <col min="1537" max="1537" width="6.33203125" style="26" customWidth="1"/>
    <col min="1538" max="1538" width="69.5" style="26" customWidth="1"/>
    <col min="1539" max="1539" width="20" style="26" customWidth="1"/>
    <col min="1540" max="1540" width="19.6640625" style="26" bestFit="1" customWidth="1"/>
    <col min="1541" max="1541" width="19.1640625" style="26" customWidth="1"/>
    <col min="1542" max="1542" width="22.1640625" style="26" customWidth="1"/>
    <col min="1543" max="1543" width="20.6640625" style="26" bestFit="1" customWidth="1"/>
    <col min="1544" max="1792" width="9.33203125" style="26"/>
    <col min="1793" max="1793" width="6.33203125" style="26" customWidth="1"/>
    <col min="1794" max="1794" width="69.5" style="26" customWidth="1"/>
    <col min="1795" max="1795" width="20" style="26" customWidth="1"/>
    <col min="1796" max="1796" width="19.6640625" style="26" bestFit="1" customWidth="1"/>
    <col min="1797" max="1797" width="19.1640625" style="26" customWidth="1"/>
    <col min="1798" max="1798" width="22.1640625" style="26" customWidth="1"/>
    <col min="1799" max="1799" width="20.6640625" style="26" bestFit="1" customWidth="1"/>
    <col min="1800" max="2048" width="9.33203125" style="26"/>
    <col min="2049" max="2049" width="6.33203125" style="26" customWidth="1"/>
    <col min="2050" max="2050" width="69.5" style="26" customWidth="1"/>
    <col min="2051" max="2051" width="20" style="26" customWidth="1"/>
    <col min="2052" max="2052" width="19.6640625" style="26" bestFit="1" customWidth="1"/>
    <col min="2053" max="2053" width="19.1640625" style="26" customWidth="1"/>
    <col min="2054" max="2054" width="22.1640625" style="26" customWidth="1"/>
    <col min="2055" max="2055" width="20.6640625" style="26" bestFit="1" customWidth="1"/>
    <col min="2056" max="2304" width="9.33203125" style="26"/>
    <col min="2305" max="2305" width="6.33203125" style="26" customWidth="1"/>
    <col min="2306" max="2306" width="69.5" style="26" customWidth="1"/>
    <col min="2307" max="2307" width="20" style="26" customWidth="1"/>
    <col min="2308" max="2308" width="19.6640625" style="26" bestFit="1" customWidth="1"/>
    <col min="2309" max="2309" width="19.1640625" style="26" customWidth="1"/>
    <col min="2310" max="2310" width="22.1640625" style="26" customWidth="1"/>
    <col min="2311" max="2311" width="20.6640625" style="26" bestFit="1" customWidth="1"/>
    <col min="2312" max="2560" width="9.33203125" style="26"/>
    <col min="2561" max="2561" width="6.33203125" style="26" customWidth="1"/>
    <col min="2562" max="2562" width="69.5" style="26" customWidth="1"/>
    <col min="2563" max="2563" width="20" style="26" customWidth="1"/>
    <col min="2564" max="2564" width="19.6640625" style="26" bestFit="1" customWidth="1"/>
    <col min="2565" max="2565" width="19.1640625" style="26" customWidth="1"/>
    <col min="2566" max="2566" width="22.1640625" style="26" customWidth="1"/>
    <col min="2567" max="2567" width="20.6640625" style="26" bestFit="1" customWidth="1"/>
    <col min="2568" max="2816" width="9.33203125" style="26"/>
    <col min="2817" max="2817" width="6.33203125" style="26" customWidth="1"/>
    <col min="2818" max="2818" width="69.5" style="26" customWidth="1"/>
    <col min="2819" max="2819" width="20" style="26" customWidth="1"/>
    <col min="2820" max="2820" width="19.6640625" style="26" bestFit="1" customWidth="1"/>
    <col min="2821" max="2821" width="19.1640625" style="26" customWidth="1"/>
    <col min="2822" max="2822" width="22.1640625" style="26" customWidth="1"/>
    <col min="2823" max="2823" width="20.6640625" style="26" bestFit="1" customWidth="1"/>
    <col min="2824" max="3072" width="9.33203125" style="26"/>
    <col min="3073" max="3073" width="6.33203125" style="26" customWidth="1"/>
    <col min="3074" max="3074" width="69.5" style="26" customWidth="1"/>
    <col min="3075" max="3075" width="20" style="26" customWidth="1"/>
    <col min="3076" max="3076" width="19.6640625" style="26" bestFit="1" customWidth="1"/>
    <col min="3077" max="3077" width="19.1640625" style="26" customWidth="1"/>
    <col min="3078" max="3078" width="22.1640625" style="26" customWidth="1"/>
    <col min="3079" max="3079" width="20.6640625" style="26" bestFit="1" customWidth="1"/>
    <col min="3080" max="3328" width="9.33203125" style="26"/>
    <col min="3329" max="3329" width="6.33203125" style="26" customWidth="1"/>
    <col min="3330" max="3330" width="69.5" style="26" customWidth="1"/>
    <col min="3331" max="3331" width="20" style="26" customWidth="1"/>
    <col min="3332" max="3332" width="19.6640625" style="26" bestFit="1" customWidth="1"/>
    <col min="3333" max="3333" width="19.1640625" style="26" customWidth="1"/>
    <col min="3334" max="3334" width="22.1640625" style="26" customWidth="1"/>
    <col min="3335" max="3335" width="20.6640625" style="26" bestFit="1" customWidth="1"/>
    <col min="3336" max="3584" width="9.33203125" style="26"/>
    <col min="3585" max="3585" width="6.33203125" style="26" customWidth="1"/>
    <col min="3586" max="3586" width="69.5" style="26" customWidth="1"/>
    <col min="3587" max="3587" width="20" style="26" customWidth="1"/>
    <col min="3588" max="3588" width="19.6640625" style="26" bestFit="1" customWidth="1"/>
    <col min="3589" max="3589" width="19.1640625" style="26" customWidth="1"/>
    <col min="3590" max="3590" width="22.1640625" style="26" customWidth="1"/>
    <col min="3591" max="3591" width="20.6640625" style="26" bestFit="1" customWidth="1"/>
    <col min="3592" max="3840" width="9.33203125" style="26"/>
    <col min="3841" max="3841" width="6.33203125" style="26" customWidth="1"/>
    <col min="3842" max="3842" width="69.5" style="26" customWidth="1"/>
    <col min="3843" max="3843" width="20" style="26" customWidth="1"/>
    <col min="3844" max="3844" width="19.6640625" style="26" bestFit="1" customWidth="1"/>
    <col min="3845" max="3845" width="19.1640625" style="26" customWidth="1"/>
    <col min="3846" max="3846" width="22.1640625" style="26" customWidth="1"/>
    <col min="3847" max="3847" width="20.6640625" style="26" bestFit="1" customWidth="1"/>
    <col min="3848" max="4096" width="9.33203125" style="26"/>
    <col min="4097" max="4097" width="6.33203125" style="26" customWidth="1"/>
    <col min="4098" max="4098" width="69.5" style="26" customWidth="1"/>
    <col min="4099" max="4099" width="20" style="26" customWidth="1"/>
    <col min="4100" max="4100" width="19.6640625" style="26" bestFit="1" customWidth="1"/>
    <col min="4101" max="4101" width="19.1640625" style="26" customWidth="1"/>
    <col min="4102" max="4102" width="22.1640625" style="26" customWidth="1"/>
    <col min="4103" max="4103" width="20.6640625" style="26" bestFit="1" customWidth="1"/>
    <col min="4104" max="4352" width="9.33203125" style="26"/>
    <col min="4353" max="4353" width="6.33203125" style="26" customWidth="1"/>
    <col min="4354" max="4354" width="69.5" style="26" customWidth="1"/>
    <col min="4355" max="4355" width="20" style="26" customWidth="1"/>
    <col min="4356" max="4356" width="19.6640625" style="26" bestFit="1" customWidth="1"/>
    <col min="4357" max="4357" width="19.1640625" style="26" customWidth="1"/>
    <col min="4358" max="4358" width="22.1640625" style="26" customWidth="1"/>
    <col min="4359" max="4359" width="20.6640625" style="26" bestFit="1" customWidth="1"/>
    <col min="4360" max="4608" width="9.33203125" style="26"/>
    <col min="4609" max="4609" width="6.33203125" style="26" customWidth="1"/>
    <col min="4610" max="4610" width="69.5" style="26" customWidth="1"/>
    <col min="4611" max="4611" width="20" style="26" customWidth="1"/>
    <col min="4612" max="4612" width="19.6640625" style="26" bestFit="1" customWidth="1"/>
    <col min="4613" max="4613" width="19.1640625" style="26" customWidth="1"/>
    <col min="4614" max="4614" width="22.1640625" style="26" customWidth="1"/>
    <col min="4615" max="4615" width="20.6640625" style="26" bestFit="1" customWidth="1"/>
    <col min="4616" max="4864" width="9.33203125" style="26"/>
    <col min="4865" max="4865" width="6.33203125" style="26" customWidth="1"/>
    <col min="4866" max="4866" width="69.5" style="26" customWidth="1"/>
    <col min="4867" max="4867" width="20" style="26" customWidth="1"/>
    <col min="4868" max="4868" width="19.6640625" style="26" bestFit="1" customWidth="1"/>
    <col min="4869" max="4869" width="19.1640625" style="26" customWidth="1"/>
    <col min="4870" max="4870" width="22.1640625" style="26" customWidth="1"/>
    <col min="4871" max="4871" width="20.6640625" style="26" bestFit="1" customWidth="1"/>
    <col min="4872" max="5120" width="9.33203125" style="26"/>
    <col min="5121" max="5121" width="6.33203125" style="26" customWidth="1"/>
    <col min="5122" max="5122" width="69.5" style="26" customWidth="1"/>
    <col min="5123" max="5123" width="20" style="26" customWidth="1"/>
    <col min="5124" max="5124" width="19.6640625" style="26" bestFit="1" customWidth="1"/>
    <col min="5125" max="5125" width="19.1640625" style="26" customWidth="1"/>
    <col min="5126" max="5126" width="22.1640625" style="26" customWidth="1"/>
    <col min="5127" max="5127" width="20.6640625" style="26" bestFit="1" customWidth="1"/>
    <col min="5128" max="5376" width="9.33203125" style="26"/>
    <col min="5377" max="5377" width="6.33203125" style="26" customWidth="1"/>
    <col min="5378" max="5378" width="69.5" style="26" customWidth="1"/>
    <col min="5379" max="5379" width="20" style="26" customWidth="1"/>
    <col min="5380" max="5380" width="19.6640625" style="26" bestFit="1" customWidth="1"/>
    <col min="5381" max="5381" width="19.1640625" style="26" customWidth="1"/>
    <col min="5382" max="5382" width="22.1640625" style="26" customWidth="1"/>
    <col min="5383" max="5383" width="20.6640625" style="26" bestFit="1" customWidth="1"/>
    <col min="5384" max="5632" width="9.33203125" style="26"/>
    <col min="5633" max="5633" width="6.33203125" style="26" customWidth="1"/>
    <col min="5634" max="5634" width="69.5" style="26" customWidth="1"/>
    <col min="5635" max="5635" width="20" style="26" customWidth="1"/>
    <col min="5636" max="5636" width="19.6640625" style="26" bestFit="1" customWidth="1"/>
    <col min="5637" max="5637" width="19.1640625" style="26" customWidth="1"/>
    <col min="5638" max="5638" width="22.1640625" style="26" customWidth="1"/>
    <col min="5639" max="5639" width="20.6640625" style="26" bestFit="1" customWidth="1"/>
    <col min="5640" max="5888" width="9.33203125" style="26"/>
    <col min="5889" max="5889" width="6.33203125" style="26" customWidth="1"/>
    <col min="5890" max="5890" width="69.5" style="26" customWidth="1"/>
    <col min="5891" max="5891" width="20" style="26" customWidth="1"/>
    <col min="5892" max="5892" width="19.6640625" style="26" bestFit="1" customWidth="1"/>
    <col min="5893" max="5893" width="19.1640625" style="26" customWidth="1"/>
    <col min="5894" max="5894" width="22.1640625" style="26" customWidth="1"/>
    <col min="5895" max="5895" width="20.6640625" style="26" bestFit="1" customWidth="1"/>
    <col min="5896" max="6144" width="9.33203125" style="26"/>
    <col min="6145" max="6145" width="6.33203125" style="26" customWidth="1"/>
    <col min="6146" max="6146" width="69.5" style="26" customWidth="1"/>
    <col min="6147" max="6147" width="20" style="26" customWidth="1"/>
    <col min="6148" max="6148" width="19.6640625" style="26" bestFit="1" customWidth="1"/>
    <col min="6149" max="6149" width="19.1640625" style="26" customWidth="1"/>
    <col min="6150" max="6150" width="22.1640625" style="26" customWidth="1"/>
    <col min="6151" max="6151" width="20.6640625" style="26" bestFit="1" customWidth="1"/>
    <col min="6152" max="6400" width="9.33203125" style="26"/>
    <col min="6401" max="6401" width="6.33203125" style="26" customWidth="1"/>
    <col min="6402" max="6402" width="69.5" style="26" customWidth="1"/>
    <col min="6403" max="6403" width="20" style="26" customWidth="1"/>
    <col min="6404" max="6404" width="19.6640625" style="26" bestFit="1" customWidth="1"/>
    <col min="6405" max="6405" width="19.1640625" style="26" customWidth="1"/>
    <col min="6406" max="6406" width="22.1640625" style="26" customWidth="1"/>
    <col min="6407" max="6407" width="20.6640625" style="26" bestFit="1" customWidth="1"/>
    <col min="6408" max="6656" width="9.33203125" style="26"/>
    <col min="6657" max="6657" width="6.33203125" style="26" customWidth="1"/>
    <col min="6658" max="6658" width="69.5" style="26" customWidth="1"/>
    <col min="6659" max="6659" width="20" style="26" customWidth="1"/>
    <col min="6660" max="6660" width="19.6640625" style="26" bestFit="1" customWidth="1"/>
    <col min="6661" max="6661" width="19.1640625" style="26" customWidth="1"/>
    <col min="6662" max="6662" width="22.1640625" style="26" customWidth="1"/>
    <col min="6663" max="6663" width="20.6640625" style="26" bestFit="1" customWidth="1"/>
    <col min="6664" max="6912" width="9.33203125" style="26"/>
    <col min="6913" max="6913" width="6.33203125" style="26" customWidth="1"/>
    <col min="6914" max="6914" width="69.5" style="26" customWidth="1"/>
    <col min="6915" max="6915" width="20" style="26" customWidth="1"/>
    <col min="6916" max="6916" width="19.6640625" style="26" bestFit="1" customWidth="1"/>
    <col min="6917" max="6917" width="19.1640625" style="26" customWidth="1"/>
    <col min="6918" max="6918" width="22.1640625" style="26" customWidth="1"/>
    <col min="6919" max="6919" width="20.6640625" style="26" bestFit="1" customWidth="1"/>
    <col min="6920" max="7168" width="9.33203125" style="26"/>
    <col min="7169" max="7169" width="6.33203125" style="26" customWidth="1"/>
    <col min="7170" max="7170" width="69.5" style="26" customWidth="1"/>
    <col min="7171" max="7171" width="20" style="26" customWidth="1"/>
    <col min="7172" max="7172" width="19.6640625" style="26" bestFit="1" customWidth="1"/>
    <col min="7173" max="7173" width="19.1640625" style="26" customWidth="1"/>
    <col min="7174" max="7174" width="22.1640625" style="26" customWidth="1"/>
    <col min="7175" max="7175" width="20.6640625" style="26" bestFit="1" customWidth="1"/>
    <col min="7176" max="7424" width="9.33203125" style="26"/>
    <col min="7425" max="7425" width="6.33203125" style="26" customWidth="1"/>
    <col min="7426" max="7426" width="69.5" style="26" customWidth="1"/>
    <col min="7427" max="7427" width="20" style="26" customWidth="1"/>
    <col min="7428" max="7428" width="19.6640625" style="26" bestFit="1" customWidth="1"/>
    <col min="7429" max="7429" width="19.1640625" style="26" customWidth="1"/>
    <col min="7430" max="7430" width="22.1640625" style="26" customWidth="1"/>
    <col min="7431" max="7431" width="20.6640625" style="26" bestFit="1" customWidth="1"/>
    <col min="7432" max="7680" width="9.33203125" style="26"/>
    <col min="7681" max="7681" width="6.33203125" style="26" customWidth="1"/>
    <col min="7682" max="7682" width="69.5" style="26" customWidth="1"/>
    <col min="7683" max="7683" width="20" style="26" customWidth="1"/>
    <col min="7684" max="7684" width="19.6640625" style="26" bestFit="1" customWidth="1"/>
    <col min="7685" max="7685" width="19.1640625" style="26" customWidth="1"/>
    <col min="7686" max="7686" width="22.1640625" style="26" customWidth="1"/>
    <col min="7687" max="7687" width="20.6640625" style="26" bestFit="1" customWidth="1"/>
    <col min="7688" max="7936" width="9.33203125" style="26"/>
    <col min="7937" max="7937" width="6.33203125" style="26" customWidth="1"/>
    <col min="7938" max="7938" width="69.5" style="26" customWidth="1"/>
    <col min="7939" max="7939" width="20" style="26" customWidth="1"/>
    <col min="7940" max="7940" width="19.6640625" style="26" bestFit="1" customWidth="1"/>
    <col min="7941" max="7941" width="19.1640625" style="26" customWidth="1"/>
    <col min="7942" max="7942" width="22.1640625" style="26" customWidth="1"/>
    <col min="7943" max="7943" width="20.6640625" style="26" bestFit="1" customWidth="1"/>
    <col min="7944" max="8192" width="9.33203125" style="26"/>
    <col min="8193" max="8193" width="6.33203125" style="26" customWidth="1"/>
    <col min="8194" max="8194" width="69.5" style="26" customWidth="1"/>
    <col min="8195" max="8195" width="20" style="26" customWidth="1"/>
    <col min="8196" max="8196" width="19.6640625" style="26" bestFit="1" customWidth="1"/>
    <col min="8197" max="8197" width="19.1640625" style="26" customWidth="1"/>
    <col min="8198" max="8198" width="22.1640625" style="26" customWidth="1"/>
    <col min="8199" max="8199" width="20.6640625" style="26" bestFit="1" customWidth="1"/>
    <col min="8200" max="8448" width="9.33203125" style="26"/>
    <col min="8449" max="8449" width="6.33203125" style="26" customWidth="1"/>
    <col min="8450" max="8450" width="69.5" style="26" customWidth="1"/>
    <col min="8451" max="8451" width="20" style="26" customWidth="1"/>
    <col min="8452" max="8452" width="19.6640625" style="26" bestFit="1" customWidth="1"/>
    <col min="8453" max="8453" width="19.1640625" style="26" customWidth="1"/>
    <col min="8454" max="8454" width="22.1640625" style="26" customWidth="1"/>
    <col min="8455" max="8455" width="20.6640625" style="26" bestFit="1" customWidth="1"/>
    <col min="8456" max="8704" width="9.33203125" style="26"/>
    <col min="8705" max="8705" width="6.33203125" style="26" customWidth="1"/>
    <col min="8706" max="8706" width="69.5" style="26" customWidth="1"/>
    <col min="8707" max="8707" width="20" style="26" customWidth="1"/>
    <col min="8708" max="8708" width="19.6640625" style="26" bestFit="1" customWidth="1"/>
    <col min="8709" max="8709" width="19.1640625" style="26" customWidth="1"/>
    <col min="8710" max="8710" width="22.1640625" style="26" customWidth="1"/>
    <col min="8711" max="8711" width="20.6640625" style="26" bestFit="1" customWidth="1"/>
    <col min="8712" max="8960" width="9.33203125" style="26"/>
    <col min="8961" max="8961" width="6.33203125" style="26" customWidth="1"/>
    <col min="8962" max="8962" width="69.5" style="26" customWidth="1"/>
    <col min="8963" max="8963" width="20" style="26" customWidth="1"/>
    <col min="8964" max="8964" width="19.6640625" style="26" bestFit="1" customWidth="1"/>
    <col min="8965" max="8965" width="19.1640625" style="26" customWidth="1"/>
    <col min="8966" max="8966" width="22.1640625" style="26" customWidth="1"/>
    <col min="8967" max="8967" width="20.6640625" style="26" bestFit="1" customWidth="1"/>
    <col min="8968" max="9216" width="9.33203125" style="26"/>
    <col min="9217" max="9217" width="6.33203125" style="26" customWidth="1"/>
    <col min="9218" max="9218" width="69.5" style="26" customWidth="1"/>
    <col min="9219" max="9219" width="20" style="26" customWidth="1"/>
    <col min="9220" max="9220" width="19.6640625" style="26" bestFit="1" customWidth="1"/>
    <col min="9221" max="9221" width="19.1640625" style="26" customWidth="1"/>
    <col min="9222" max="9222" width="22.1640625" style="26" customWidth="1"/>
    <col min="9223" max="9223" width="20.6640625" style="26" bestFit="1" customWidth="1"/>
    <col min="9224" max="9472" width="9.33203125" style="26"/>
    <col min="9473" max="9473" width="6.33203125" style="26" customWidth="1"/>
    <col min="9474" max="9474" width="69.5" style="26" customWidth="1"/>
    <col min="9475" max="9475" width="20" style="26" customWidth="1"/>
    <col min="9476" max="9476" width="19.6640625" style="26" bestFit="1" customWidth="1"/>
    <col min="9477" max="9477" width="19.1640625" style="26" customWidth="1"/>
    <col min="9478" max="9478" width="22.1640625" style="26" customWidth="1"/>
    <col min="9479" max="9479" width="20.6640625" style="26" bestFit="1" customWidth="1"/>
    <col min="9480" max="9728" width="9.33203125" style="26"/>
    <col min="9729" max="9729" width="6.33203125" style="26" customWidth="1"/>
    <col min="9730" max="9730" width="69.5" style="26" customWidth="1"/>
    <col min="9731" max="9731" width="20" style="26" customWidth="1"/>
    <col min="9732" max="9732" width="19.6640625" style="26" bestFit="1" customWidth="1"/>
    <col min="9733" max="9733" width="19.1640625" style="26" customWidth="1"/>
    <col min="9734" max="9734" width="22.1640625" style="26" customWidth="1"/>
    <col min="9735" max="9735" width="20.6640625" style="26" bestFit="1" customWidth="1"/>
    <col min="9736" max="9984" width="9.33203125" style="26"/>
    <col min="9985" max="9985" width="6.33203125" style="26" customWidth="1"/>
    <col min="9986" max="9986" width="69.5" style="26" customWidth="1"/>
    <col min="9987" max="9987" width="20" style="26" customWidth="1"/>
    <col min="9988" max="9988" width="19.6640625" style="26" bestFit="1" customWidth="1"/>
    <col min="9989" max="9989" width="19.1640625" style="26" customWidth="1"/>
    <col min="9990" max="9990" width="22.1640625" style="26" customWidth="1"/>
    <col min="9991" max="9991" width="20.6640625" style="26" bestFit="1" customWidth="1"/>
    <col min="9992" max="10240" width="9.33203125" style="26"/>
    <col min="10241" max="10241" width="6.33203125" style="26" customWidth="1"/>
    <col min="10242" max="10242" width="69.5" style="26" customWidth="1"/>
    <col min="10243" max="10243" width="20" style="26" customWidth="1"/>
    <col min="10244" max="10244" width="19.6640625" style="26" bestFit="1" customWidth="1"/>
    <col min="10245" max="10245" width="19.1640625" style="26" customWidth="1"/>
    <col min="10246" max="10246" width="22.1640625" style="26" customWidth="1"/>
    <col min="10247" max="10247" width="20.6640625" style="26" bestFit="1" customWidth="1"/>
    <col min="10248" max="10496" width="9.33203125" style="26"/>
    <col min="10497" max="10497" width="6.33203125" style="26" customWidth="1"/>
    <col min="10498" max="10498" width="69.5" style="26" customWidth="1"/>
    <col min="10499" max="10499" width="20" style="26" customWidth="1"/>
    <col min="10500" max="10500" width="19.6640625" style="26" bestFit="1" customWidth="1"/>
    <col min="10501" max="10501" width="19.1640625" style="26" customWidth="1"/>
    <col min="10502" max="10502" width="22.1640625" style="26" customWidth="1"/>
    <col min="10503" max="10503" width="20.6640625" style="26" bestFit="1" customWidth="1"/>
    <col min="10504" max="10752" width="9.33203125" style="26"/>
    <col min="10753" max="10753" width="6.33203125" style="26" customWidth="1"/>
    <col min="10754" max="10754" width="69.5" style="26" customWidth="1"/>
    <col min="10755" max="10755" width="20" style="26" customWidth="1"/>
    <col min="10756" max="10756" width="19.6640625" style="26" bestFit="1" customWidth="1"/>
    <col min="10757" max="10757" width="19.1640625" style="26" customWidth="1"/>
    <col min="10758" max="10758" width="22.1640625" style="26" customWidth="1"/>
    <col min="10759" max="10759" width="20.6640625" style="26" bestFit="1" customWidth="1"/>
    <col min="10760" max="11008" width="9.33203125" style="26"/>
    <col min="11009" max="11009" width="6.33203125" style="26" customWidth="1"/>
    <col min="11010" max="11010" width="69.5" style="26" customWidth="1"/>
    <col min="11011" max="11011" width="20" style="26" customWidth="1"/>
    <col min="11012" max="11012" width="19.6640625" style="26" bestFit="1" customWidth="1"/>
    <col min="11013" max="11013" width="19.1640625" style="26" customWidth="1"/>
    <col min="11014" max="11014" width="22.1640625" style="26" customWidth="1"/>
    <col min="11015" max="11015" width="20.6640625" style="26" bestFit="1" customWidth="1"/>
    <col min="11016" max="11264" width="9.33203125" style="26"/>
    <col min="11265" max="11265" width="6.33203125" style="26" customWidth="1"/>
    <col min="11266" max="11266" width="69.5" style="26" customWidth="1"/>
    <col min="11267" max="11267" width="20" style="26" customWidth="1"/>
    <col min="11268" max="11268" width="19.6640625" style="26" bestFit="1" customWidth="1"/>
    <col min="11269" max="11269" width="19.1640625" style="26" customWidth="1"/>
    <col min="11270" max="11270" width="22.1640625" style="26" customWidth="1"/>
    <col min="11271" max="11271" width="20.6640625" style="26" bestFit="1" customWidth="1"/>
    <col min="11272" max="11520" width="9.33203125" style="26"/>
    <col min="11521" max="11521" width="6.33203125" style="26" customWidth="1"/>
    <col min="11522" max="11522" width="69.5" style="26" customWidth="1"/>
    <col min="11523" max="11523" width="20" style="26" customWidth="1"/>
    <col min="11524" max="11524" width="19.6640625" style="26" bestFit="1" customWidth="1"/>
    <col min="11525" max="11525" width="19.1640625" style="26" customWidth="1"/>
    <col min="11526" max="11526" width="22.1640625" style="26" customWidth="1"/>
    <col min="11527" max="11527" width="20.6640625" style="26" bestFit="1" customWidth="1"/>
    <col min="11528" max="11776" width="9.33203125" style="26"/>
    <col min="11777" max="11777" width="6.33203125" style="26" customWidth="1"/>
    <col min="11778" max="11778" width="69.5" style="26" customWidth="1"/>
    <col min="11779" max="11779" width="20" style="26" customWidth="1"/>
    <col min="11780" max="11780" width="19.6640625" style="26" bestFit="1" customWidth="1"/>
    <col min="11781" max="11781" width="19.1640625" style="26" customWidth="1"/>
    <col min="11782" max="11782" width="22.1640625" style="26" customWidth="1"/>
    <col min="11783" max="11783" width="20.6640625" style="26" bestFit="1" customWidth="1"/>
    <col min="11784" max="12032" width="9.33203125" style="26"/>
    <col min="12033" max="12033" width="6.33203125" style="26" customWidth="1"/>
    <col min="12034" max="12034" width="69.5" style="26" customWidth="1"/>
    <col min="12035" max="12035" width="20" style="26" customWidth="1"/>
    <col min="12036" max="12036" width="19.6640625" style="26" bestFit="1" customWidth="1"/>
    <col min="12037" max="12037" width="19.1640625" style="26" customWidth="1"/>
    <col min="12038" max="12038" width="22.1640625" style="26" customWidth="1"/>
    <col min="12039" max="12039" width="20.6640625" style="26" bestFit="1" customWidth="1"/>
    <col min="12040" max="12288" width="9.33203125" style="26"/>
    <col min="12289" max="12289" width="6.33203125" style="26" customWidth="1"/>
    <col min="12290" max="12290" width="69.5" style="26" customWidth="1"/>
    <col min="12291" max="12291" width="20" style="26" customWidth="1"/>
    <col min="12292" max="12292" width="19.6640625" style="26" bestFit="1" customWidth="1"/>
    <col min="12293" max="12293" width="19.1640625" style="26" customWidth="1"/>
    <col min="12294" max="12294" width="22.1640625" style="26" customWidth="1"/>
    <col min="12295" max="12295" width="20.6640625" style="26" bestFit="1" customWidth="1"/>
    <col min="12296" max="12544" width="9.33203125" style="26"/>
    <col min="12545" max="12545" width="6.33203125" style="26" customWidth="1"/>
    <col min="12546" max="12546" width="69.5" style="26" customWidth="1"/>
    <col min="12547" max="12547" width="20" style="26" customWidth="1"/>
    <col min="12548" max="12548" width="19.6640625" style="26" bestFit="1" customWidth="1"/>
    <col min="12549" max="12549" width="19.1640625" style="26" customWidth="1"/>
    <col min="12550" max="12550" width="22.1640625" style="26" customWidth="1"/>
    <col min="12551" max="12551" width="20.6640625" style="26" bestFit="1" customWidth="1"/>
    <col min="12552" max="12800" width="9.33203125" style="26"/>
    <col min="12801" max="12801" width="6.33203125" style="26" customWidth="1"/>
    <col min="12802" max="12802" width="69.5" style="26" customWidth="1"/>
    <col min="12803" max="12803" width="20" style="26" customWidth="1"/>
    <col min="12804" max="12804" width="19.6640625" style="26" bestFit="1" customWidth="1"/>
    <col min="12805" max="12805" width="19.1640625" style="26" customWidth="1"/>
    <col min="12806" max="12806" width="22.1640625" style="26" customWidth="1"/>
    <col min="12807" max="12807" width="20.6640625" style="26" bestFit="1" customWidth="1"/>
    <col min="12808" max="13056" width="9.33203125" style="26"/>
    <col min="13057" max="13057" width="6.33203125" style="26" customWidth="1"/>
    <col min="13058" max="13058" width="69.5" style="26" customWidth="1"/>
    <col min="13059" max="13059" width="20" style="26" customWidth="1"/>
    <col min="13060" max="13060" width="19.6640625" style="26" bestFit="1" customWidth="1"/>
    <col min="13061" max="13061" width="19.1640625" style="26" customWidth="1"/>
    <col min="13062" max="13062" width="22.1640625" style="26" customWidth="1"/>
    <col min="13063" max="13063" width="20.6640625" style="26" bestFit="1" customWidth="1"/>
    <col min="13064" max="13312" width="9.33203125" style="26"/>
    <col min="13313" max="13313" width="6.33203125" style="26" customWidth="1"/>
    <col min="13314" max="13314" width="69.5" style="26" customWidth="1"/>
    <col min="13315" max="13315" width="20" style="26" customWidth="1"/>
    <col min="13316" max="13316" width="19.6640625" style="26" bestFit="1" customWidth="1"/>
    <col min="13317" max="13317" width="19.1640625" style="26" customWidth="1"/>
    <col min="13318" max="13318" width="22.1640625" style="26" customWidth="1"/>
    <col min="13319" max="13319" width="20.6640625" style="26" bestFit="1" customWidth="1"/>
    <col min="13320" max="13568" width="9.33203125" style="26"/>
    <col min="13569" max="13569" width="6.33203125" style="26" customWidth="1"/>
    <col min="13570" max="13570" width="69.5" style="26" customWidth="1"/>
    <col min="13571" max="13571" width="20" style="26" customWidth="1"/>
    <col min="13572" max="13572" width="19.6640625" style="26" bestFit="1" customWidth="1"/>
    <col min="13573" max="13573" width="19.1640625" style="26" customWidth="1"/>
    <col min="13574" max="13574" width="22.1640625" style="26" customWidth="1"/>
    <col min="13575" max="13575" width="20.6640625" style="26" bestFit="1" customWidth="1"/>
    <col min="13576" max="13824" width="9.33203125" style="26"/>
    <col min="13825" max="13825" width="6.33203125" style="26" customWidth="1"/>
    <col min="13826" max="13826" width="69.5" style="26" customWidth="1"/>
    <col min="13827" max="13827" width="20" style="26" customWidth="1"/>
    <col min="13828" max="13828" width="19.6640625" style="26" bestFit="1" customWidth="1"/>
    <col min="13829" max="13829" width="19.1640625" style="26" customWidth="1"/>
    <col min="13830" max="13830" width="22.1640625" style="26" customWidth="1"/>
    <col min="13831" max="13831" width="20.6640625" style="26" bestFit="1" customWidth="1"/>
    <col min="13832" max="14080" width="9.33203125" style="26"/>
    <col min="14081" max="14081" width="6.33203125" style="26" customWidth="1"/>
    <col min="14082" max="14082" width="69.5" style="26" customWidth="1"/>
    <col min="14083" max="14083" width="20" style="26" customWidth="1"/>
    <col min="14084" max="14084" width="19.6640625" style="26" bestFit="1" customWidth="1"/>
    <col min="14085" max="14085" width="19.1640625" style="26" customWidth="1"/>
    <col min="14086" max="14086" width="22.1640625" style="26" customWidth="1"/>
    <col min="14087" max="14087" width="20.6640625" style="26" bestFit="1" customWidth="1"/>
    <col min="14088" max="14336" width="9.33203125" style="26"/>
    <col min="14337" max="14337" width="6.33203125" style="26" customWidth="1"/>
    <col min="14338" max="14338" width="69.5" style="26" customWidth="1"/>
    <col min="14339" max="14339" width="20" style="26" customWidth="1"/>
    <col min="14340" max="14340" width="19.6640625" style="26" bestFit="1" customWidth="1"/>
    <col min="14341" max="14341" width="19.1640625" style="26" customWidth="1"/>
    <col min="14342" max="14342" width="22.1640625" style="26" customWidth="1"/>
    <col min="14343" max="14343" width="20.6640625" style="26" bestFit="1" customWidth="1"/>
    <col min="14344" max="14592" width="9.33203125" style="26"/>
    <col min="14593" max="14593" width="6.33203125" style="26" customWidth="1"/>
    <col min="14594" max="14594" width="69.5" style="26" customWidth="1"/>
    <col min="14595" max="14595" width="20" style="26" customWidth="1"/>
    <col min="14596" max="14596" width="19.6640625" style="26" bestFit="1" customWidth="1"/>
    <col min="14597" max="14597" width="19.1640625" style="26" customWidth="1"/>
    <col min="14598" max="14598" width="22.1640625" style="26" customWidth="1"/>
    <col min="14599" max="14599" width="20.6640625" style="26" bestFit="1" customWidth="1"/>
    <col min="14600" max="14848" width="9.33203125" style="26"/>
    <col min="14849" max="14849" width="6.33203125" style="26" customWidth="1"/>
    <col min="14850" max="14850" width="69.5" style="26" customWidth="1"/>
    <col min="14851" max="14851" width="20" style="26" customWidth="1"/>
    <col min="14852" max="14852" width="19.6640625" style="26" bestFit="1" customWidth="1"/>
    <col min="14853" max="14853" width="19.1640625" style="26" customWidth="1"/>
    <col min="14854" max="14854" width="22.1640625" style="26" customWidth="1"/>
    <col min="14855" max="14855" width="20.6640625" style="26" bestFit="1" customWidth="1"/>
    <col min="14856" max="15104" width="9.33203125" style="26"/>
    <col min="15105" max="15105" width="6.33203125" style="26" customWidth="1"/>
    <col min="15106" max="15106" width="69.5" style="26" customWidth="1"/>
    <col min="15107" max="15107" width="20" style="26" customWidth="1"/>
    <col min="15108" max="15108" width="19.6640625" style="26" bestFit="1" customWidth="1"/>
    <col min="15109" max="15109" width="19.1640625" style="26" customWidth="1"/>
    <col min="15110" max="15110" width="22.1640625" style="26" customWidth="1"/>
    <col min="15111" max="15111" width="20.6640625" style="26" bestFit="1" customWidth="1"/>
    <col min="15112" max="15360" width="9.33203125" style="26"/>
    <col min="15361" max="15361" width="6.33203125" style="26" customWidth="1"/>
    <col min="15362" max="15362" width="69.5" style="26" customWidth="1"/>
    <col min="15363" max="15363" width="20" style="26" customWidth="1"/>
    <col min="15364" max="15364" width="19.6640625" style="26" bestFit="1" customWidth="1"/>
    <col min="15365" max="15365" width="19.1640625" style="26" customWidth="1"/>
    <col min="15366" max="15366" width="22.1640625" style="26" customWidth="1"/>
    <col min="15367" max="15367" width="20.6640625" style="26" bestFit="1" customWidth="1"/>
    <col min="15368" max="15616" width="9.33203125" style="26"/>
    <col min="15617" max="15617" width="6.33203125" style="26" customWidth="1"/>
    <col min="15618" max="15618" width="69.5" style="26" customWidth="1"/>
    <col min="15619" max="15619" width="20" style="26" customWidth="1"/>
    <col min="15620" max="15620" width="19.6640625" style="26" bestFit="1" customWidth="1"/>
    <col min="15621" max="15621" width="19.1640625" style="26" customWidth="1"/>
    <col min="15622" max="15622" width="22.1640625" style="26" customWidth="1"/>
    <col min="15623" max="15623" width="20.6640625" style="26" bestFit="1" customWidth="1"/>
    <col min="15624" max="15872" width="9.33203125" style="26"/>
    <col min="15873" max="15873" width="6.33203125" style="26" customWidth="1"/>
    <col min="15874" max="15874" width="69.5" style="26" customWidth="1"/>
    <col min="15875" max="15875" width="20" style="26" customWidth="1"/>
    <col min="15876" max="15876" width="19.6640625" style="26" bestFit="1" customWidth="1"/>
    <col min="15877" max="15877" width="19.1640625" style="26" customWidth="1"/>
    <col min="15878" max="15878" width="22.1640625" style="26" customWidth="1"/>
    <col min="15879" max="15879" width="20.6640625" style="26" bestFit="1" customWidth="1"/>
    <col min="15880" max="16128" width="9.33203125" style="26"/>
    <col min="16129" max="16129" width="6.33203125" style="26" customWidth="1"/>
    <col min="16130" max="16130" width="69.5" style="26" customWidth="1"/>
    <col min="16131" max="16131" width="20" style="26" customWidth="1"/>
    <col min="16132" max="16132" width="19.6640625" style="26" bestFit="1" customWidth="1"/>
    <col min="16133" max="16133" width="19.1640625" style="26" customWidth="1"/>
    <col min="16134" max="16134" width="22.1640625" style="26" customWidth="1"/>
    <col min="16135" max="16135" width="20.6640625" style="26" bestFit="1" customWidth="1"/>
    <col min="16136" max="16384" width="9.33203125" style="26"/>
  </cols>
  <sheetData>
    <row r="1" spans="1:8" x14ac:dyDescent="0.25">
      <c r="A1" s="93" t="s">
        <v>69</v>
      </c>
      <c r="B1" s="93"/>
      <c r="C1" s="93"/>
      <c r="D1" s="93"/>
      <c r="E1" s="93"/>
      <c r="F1" s="93"/>
      <c r="G1" s="93"/>
    </row>
    <row r="3" spans="1:8" s="69" customFormat="1" ht="14.25" x14ac:dyDescent="0.2">
      <c r="A3" s="28" t="s">
        <v>14</v>
      </c>
      <c r="B3" s="28" t="s">
        <v>15</v>
      </c>
      <c r="C3" s="28" t="s">
        <v>16</v>
      </c>
      <c r="D3" s="29" t="s">
        <v>17</v>
      </c>
      <c r="E3" s="29" t="s">
        <v>0</v>
      </c>
      <c r="F3" s="29" t="s">
        <v>18</v>
      </c>
      <c r="G3" s="28" t="s">
        <v>19</v>
      </c>
    </row>
    <row r="4" spans="1:8" s="69" customFormat="1" ht="14.25" x14ac:dyDescent="0.2">
      <c r="A4" s="28"/>
      <c r="B4" s="35" t="s">
        <v>10</v>
      </c>
      <c r="C4" s="30">
        <f t="shared" ref="C4:E4" si="0">SUM(C5:C6)</f>
        <v>396270000.36000001</v>
      </c>
      <c r="D4" s="30">
        <f t="shared" si="0"/>
        <v>29353333.359999999</v>
      </c>
      <c r="E4" s="30">
        <f t="shared" si="0"/>
        <v>366916667</v>
      </c>
      <c r="F4" s="30">
        <f>SUM(F5:F6)</f>
        <v>323444548</v>
      </c>
      <c r="G4" s="30">
        <f>SUM(G5:G6)</f>
        <v>43472119</v>
      </c>
    </row>
    <row r="5" spans="1:8" s="86" customFormat="1" ht="28.5" customHeight="1" x14ac:dyDescent="0.25">
      <c r="A5" s="82" t="s">
        <v>51</v>
      </c>
      <c r="B5" s="87" t="s">
        <v>52</v>
      </c>
      <c r="C5" s="70">
        <f>+E5+D5</f>
        <v>4320000</v>
      </c>
      <c r="D5" s="50">
        <f>E5*0.08</f>
        <v>320000</v>
      </c>
      <c r="E5" s="70">
        <v>4000000</v>
      </c>
      <c r="F5" s="70">
        <v>888753</v>
      </c>
      <c r="G5" s="51">
        <f>E5-F5</f>
        <v>3111247</v>
      </c>
      <c r="H5" s="37" t="s">
        <v>36</v>
      </c>
    </row>
    <row r="6" spans="1:8" ht="32.25" customHeight="1" x14ac:dyDescent="0.25">
      <c r="A6" s="81" t="s">
        <v>53</v>
      </c>
      <c r="B6" s="72" t="s">
        <v>54</v>
      </c>
      <c r="C6" s="32">
        <f>+E6+D6</f>
        <v>391950000.36000001</v>
      </c>
      <c r="D6" s="33">
        <f>E6*0.08</f>
        <v>29033333.359999999</v>
      </c>
      <c r="E6" s="73">
        <v>362916667</v>
      </c>
      <c r="F6" s="73">
        <v>322555795</v>
      </c>
      <c r="G6" s="34">
        <f>E6-F6</f>
        <v>40360872</v>
      </c>
      <c r="H6" s="37" t="s">
        <v>36</v>
      </c>
    </row>
    <row r="7" spans="1:8" x14ac:dyDescent="0.25">
      <c r="A7" s="31"/>
      <c r="B7" s="57" t="s">
        <v>9</v>
      </c>
      <c r="C7" s="36">
        <f>SUM(C8:C11)</f>
        <v>194091001.19999999</v>
      </c>
      <c r="D7" s="36">
        <f>SUM(D8:D11)</f>
        <v>14377111.200000001</v>
      </c>
      <c r="E7" s="36">
        <f>SUM(E8:E11)</f>
        <v>179713890</v>
      </c>
      <c r="F7" s="36">
        <f>SUM(F8:F11)</f>
        <v>127049354</v>
      </c>
      <c r="G7" s="36">
        <f>SUM(G8:G11)</f>
        <v>52664536</v>
      </c>
      <c r="H7" s="37"/>
    </row>
    <row r="8" spans="1:8" ht="20.25" customHeight="1" x14ac:dyDescent="0.25">
      <c r="A8" s="82" t="s">
        <v>55</v>
      </c>
      <c r="B8" s="82" t="s">
        <v>56</v>
      </c>
      <c r="C8" s="70">
        <f t="shared" ref="C8:C11" si="1">+E8+D8</f>
        <v>43500000.240000002</v>
      </c>
      <c r="D8" s="50">
        <f>E8*0.08</f>
        <v>3222222.24</v>
      </c>
      <c r="E8" s="73">
        <v>40277778</v>
      </c>
      <c r="F8" s="73">
        <v>40004543</v>
      </c>
      <c r="G8" s="51">
        <f t="shared" ref="G8:G10" si="2">E8-F8</f>
        <v>273235</v>
      </c>
      <c r="H8" s="37" t="s">
        <v>40</v>
      </c>
    </row>
    <row r="9" spans="1:8" ht="30" x14ac:dyDescent="0.25">
      <c r="A9" s="82" t="s">
        <v>57</v>
      </c>
      <c r="B9" s="83" t="s">
        <v>58</v>
      </c>
      <c r="C9" s="70">
        <f t="shared" si="1"/>
        <v>33000000.48</v>
      </c>
      <c r="D9" s="50">
        <f t="shared" ref="D9:D11" si="3">E9*0.08</f>
        <v>2444444.48</v>
      </c>
      <c r="E9" s="73">
        <v>30555556</v>
      </c>
      <c r="F9" s="73">
        <v>26317781</v>
      </c>
      <c r="G9" s="51">
        <f t="shared" si="2"/>
        <v>4237775</v>
      </c>
      <c r="H9" s="37" t="s">
        <v>47</v>
      </c>
    </row>
    <row r="10" spans="1:8" ht="16.5" customHeight="1" x14ac:dyDescent="0.25">
      <c r="A10" s="82" t="s">
        <v>59</v>
      </c>
      <c r="B10" s="82" t="s">
        <v>60</v>
      </c>
      <c r="C10" s="70">
        <f t="shared" si="1"/>
        <v>18337000.32</v>
      </c>
      <c r="D10" s="50">
        <f t="shared" si="3"/>
        <v>1358296.32</v>
      </c>
      <c r="E10" s="73">
        <v>16978704</v>
      </c>
      <c r="F10" s="73">
        <v>15804093</v>
      </c>
      <c r="G10" s="51">
        <f t="shared" si="2"/>
        <v>1174611</v>
      </c>
      <c r="H10" s="37" t="s">
        <v>47</v>
      </c>
    </row>
    <row r="11" spans="1:8" ht="30" x14ac:dyDescent="0.25">
      <c r="A11" s="82" t="s">
        <v>61</v>
      </c>
      <c r="B11" s="83" t="s">
        <v>62</v>
      </c>
      <c r="C11" s="70">
        <f t="shared" si="1"/>
        <v>99254000.159999996</v>
      </c>
      <c r="D11" s="50">
        <f t="shared" si="3"/>
        <v>7352148.1600000001</v>
      </c>
      <c r="E11" s="73">
        <v>91901852</v>
      </c>
      <c r="F11" s="73">
        <v>44922937</v>
      </c>
      <c r="G11" s="51">
        <f>E11-F11</f>
        <v>46978915</v>
      </c>
      <c r="H11" s="37" t="s">
        <v>41</v>
      </c>
    </row>
    <row r="12" spans="1:8" s="37" customFormat="1" ht="14.25" x14ac:dyDescent="0.2">
      <c r="A12" s="49"/>
      <c r="B12" s="58" t="s">
        <v>39</v>
      </c>
      <c r="C12" s="52">
        <f>SUM(C13)</f>
        <v>0</v>
      </c>
      <c r="D12" s="52">
        <f>SUM(D13)</f>
        <v>0</v>
      </c>
      <c r="E12" s="52">
        <f>SUM(E13)</f>
        <v>0</v>
      </c>
      <c r="F12" s="52">
        <f>SUM(F13)</f>
        <v>0</v>
      </c>
      <c r="G12" s="52">
        <f>SUM(G13)</f>
        <v>0</v>
      </c>
    </row>
    <row r="13" spans="1:8" ht="24" customHeight="1" x14ac:dyDescent="0.25">
      <c r="A13" s="1"/>
      <c r="B13" s="59"/>
      <c r="C13" s="32"/>
      <c r="D13" s="33"/>
      <c r="E13" s="33"/>
      <c r="F13" s="33"/>
      <c r="G13" s="34"/>
      <c r="H13" s="37"/>
    </row>
    <row r="14" spans="1:8" x14ac:dyDescent="0.25">
      <c r="A14" s="28"/>
      <c r="B14" s="71"/>
      <c r="C14" s="36">
        <f>+C7+C4+C12</f>
        <v>590361001.55999994</v>
      </c>
      <c r="D14" s="36">
        <f>+D7+D4+D12</f>
        <v>43730444.560000002</v>
      </c>
      <c r="E14" s="36">
        <f>+E7+E4+E12</f>
        <v>546630557</v>
      </c>
      <c r="F14" s="36">
        <f>+F7+F4+F12</f>
        <v>450493902</v>
      </c>
      <c r="G14" s="36">
        <f>+G7+G4+G12</f>
        <v>96136655</v>
      </c>
    </row>
    <row r="15" spans="1:8" x14ac:dyDescent="0.25">
      <c r="G15" s="38"/>
    </row>
    <row r="16" spans="1:8" x14ac:dyDescent="0.25">
      <c r="G16" s="38"/>
    </row>
    <row r="17" spans="2:7" x14ac:dyDescent="0.25">
      <c r="E17" s="39"/>
      <c r="F17" s="39"/>
      <c r="G17" s="38"/>
    </row>
    <row r="18" spans="2:7" x14ac:dyDescent="0.25">
      <c r="E18" s="40"/>
      <c r="F18" s="40"/>
      <c r="G18" s="38"/>
    </row>
    <row r="19" spans="2:7" x14ac:dyDescent="0.25">
      <c r="B19" s="41"/>
      <c r="D19" s="27">
        <v>0</v>
      </c>
      <c r="E19" s="40"/>
      <c r="F19" s="40"/>
      <c r="G19" s="38"/>
    </row>
    <row r="20" spans="2:7" x14ac:dyDescent="0.25">
      <c r="G20" s="38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2"/>
  <sheetViews>
    <sheetView workbookViewId="0">
      <selection activeCell="B11" sqref="B11"/>
    </sheetView>
  </sheetViews>
  <sheetFormatPr defaultRowHeight="15.75" x14ac:dyDescent="0.2"/>
  <cols>
    <col min="1" max="1" width="7.6640625" style="44" customWidth="1"/>
    <col min="2" max="2" width="75.6640625" style="44" customWidth="1"/>
    <col min="3" max="3" width="19.83203125" style="44" bestFit="1" customWidth="1"/>
    <col min="4" max="4" width="11.6640625" style="44" hidden="1" customWidth="1"/>
    <col min="5" max="5" width="16.1640625" style="44" hidden="1" customWidth="1"/>
    <col min="6" max="6" width="19.83203125" style="44" bestFit="1" customWidth="1"/>
    <col min="7" max="7" width="18.5" style="44" bestFit="1" customWidth="1"/>
    <col min="8" max="9" width="19.83203125" style="44" bestFit="1" customWidth="1"/>
    <col min="10" max="10" width="19.6640625" style="44" customWidth="1"/>
    <col min="11" max="13" width="9.6640625" style="44" hidden="1" customWidth="1"/>
    <col min="14" max="15" width="17.1640625" style="44" customWidth="1"/>
    <col min="16" max="16" width="18.5" style="44" bestFit="1" customWidth="1"/>
    <col min="17" max="17" width="19.83203125" style="44" bestFit="1" customWidth="1"/>
    <col min="18" max="18" width="18.5" style="44" bestFit="1" customWidth="1"/>
    <col min="19" max="19" width="15.5" style="44" customWidth="1"/>
    <col min="20" max="16384" width="9.33203125" style="44"/>
  </cols>
  <sheetData>
    <row r="5" spans="1:19" x14ac:dyDescent="0.2">
      <c r="A5" s="94" t="s">
        <v>71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</row>
    <row r="7" spans="1:19" x14ac:dyDescent="0.2">
      <c r="A7" s="47" t="s">
        <v>14</v>
      </c>
      <c r="B7" s="47" t="s">
        <v>20</v>
      </c>
      <c r="C7" s="47" t="s">
        <v>21</v>
      </c>
      <c r="D7" s="97" t="s">
        <v>22</v>
      </c>
      <c r="E7" s="98"/>
      <c r="F7" s="47" t="s">
        <v>23</v>
      </c>
      <c r="G7" s="47" t="s">
        <v>24</v>
      </c>
      <c r="H7" s="47" t="s">
        <v>25</v>
      </c>
      <c r="I7" s="47" t="s">
        <v>26</v>
      </c>
      <c r="J7" s="47" t="s">
        <v>27</v>
      </c>
      <c r="K7" s="47" t="s">
        <v>28</v>
      </c>
      <c r="L7" s="47" t="s">
        <v>29</v>
      </c>
      <c r="M7" s="47" t="s">
        <v>30</v>
      </c>
      <c r="N7" s="47" t="s">
        <v>45</v>
      </c>
      <c r="O7" s="47" t="s">
        <v>46</v>
      </c>
      <c r="P7" s="47" t="s">
        <v>31</v>
      </c>
      <c r="Q7" s="47" t="s">
        <v>18</v>
      </c>
      <c r="R7" s="47" t="s">
        <v>19</v>
      </c>
      <c r="S7" s="47" t="s">
        <v>32</v>
      </c>
    </row>
    <row r="8" spans="1:19" x14ac:dyDescent="0.2">
      <c r="A8" s="47"/>
      <c r="B8" s="47"/>
      <c r="C8" s="47"/>
      <c r="D8" s="47" t="s">
        <v>33</v>
      </c>
      <c r="E8" s="47" t="s">
        <v>38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x14ac:dyDescent="0.2">
      <c r="A9" s="47"/>
      <c r="B9" s="48" t="s">
        <v>33</v>
      </c>
      <c r="C9" s="60">
        <f>SUM(C10:E13)</f>
        <v>486787000</v>
      </c>
      <c r="D9" s="60">
        <f>SUM(D10:F13)</f>
        <v>486787000</v>
      </c>
      <c r="E9" s="60">
        <f>SUM(E10:G13)</f>
        <v>523650851.85185182</v>
      </c>
      <c r="F9" s="60">
        <f t="shared" ref="F9:R9" si="0">SUM(F10:F13)</f>
        <v>486787000</v>
      </c>
      <c r="G9" s="60">
        <f t="shared" si="0"/>
        <v>36863851.851851851</v>
      </c>
      <c r="H9" s="60">
        <f t="shared" si="0"/>
        <v>450728703.70370364</v>
      </c>
      <c r="I9" s="60">
        <f t="shared" si="0"/>
        <v>212913902</v>
      </c>
      <c r="J9" s="60">
        <f t="shared" si="0"/>
        <v>124210000</v>
      </c>
      <c r="K9" s="60">
        <f t="shared" si="0"/>
        <v>0</v>
      </c>
      <c r="L9" s="60">
        <f t="shared" si="0"/>
        <v>0</v>
      </c>
      <c r="M9" s="60">
        <f t="shared" si="0"/>
        <v>0</v>
      </c>
      <c r="N9" s="60">
        <f t="shared" si="0"/>
        <v>0</v>
      </c>
      <c r="O9" s="60">
        <f t="shared" si="0"/>
        <v>0</v>
      </c>
      <c r="P9" s="60">
        <f t="shared" si="0"/>
        <v>67558310</v>
      </c>
      <c r="Q9" s="60">
        <f t="shared" si="0"/>
        <v>404682212</v>
      </c>
      <c r="R9" s="60">
        <f t="shared" si="0"/>
        <v>46046491.703703657</v>
      </c>
      <c r="S9" s="47"/>
    </row>
    <row r="10" spans="1:19" s="77" customFormat="1" ht="34.5" customHeight="1" x14ac:dyDescent="0.25">
      <c r="A10" s="74">
        <v>1</v>
      </c>
      <c r="B10" s="83" t="s">
        <v>63</v>
      </c>
      <c r="C10" s="70">
        <v>43500000</v>
      </c>
      <c r="D10" s="75"/>
      <c r="E10" s="75"/>
      <c r="F10" s="75">
        <f>C10</f>
        <v>43500000</v>
      </c>
      <c r="G10" s="75">
        <f>H10*0.1</f>
        <v>4027777.777777778</v>
      </c>
      <c r="H10" s="75">
        <f>F10/1.08</f>
        <v>40277777.777777776</v>
      </c>
      <c r="I10" s="75">
        <v>27709917</v>
      </c>
      <c r="J10" s="75">
        <v>7820000</v>
      </c>
      <c r="K10" s="75" t="s">
        <v>34</v>
      </c>
      <c r="L10" s="75"/>
      <c r="M10" s="75" t="s">
        <v>35</v>
      </c>
      <c r="N10" s="75"/>
      <c r="O10" s="75"/>
      <c r="P10" s="75">
        <v>4474626</v>
      </c>
      <c r="Q10" s="75">
        <f>I10+J10+P10</f>
        <v>40004543</v>
      </c>
      <c r="R10" s="75">
        <f>H10-Q10</f>
        <v>273234.77777777612</v>
      </c>
      <c r="S10" s="76" t="s">
        <v>40</v>
      </c>
    </row>
    <row r="11" spans="1:19" s="77" customFormat="1" ht="47.25" customHeight="1" x14ac:dyDescent="0.25">
      <c r="A11" s="74">
        <v>2</v>
      </c>
      <c r="B11" s="83" t="s">
        <v>64</v>
      </c>
      <c r="C11" s="70">
        <v>33000000</v>
      </c>
      <c r="D11" s="75"/>
      <c r="E11" s="75"/>
      <c r="F11" s="75">
        <f t="shared" ref="F11:F13" si="1">C11</f>
        <v>33000000</v>
      </c>
      <c r="G11" s="75">
        <f>H11*0.08</f>
        <v>2444444.444444444</v>
      </c>
      <c r="H11" s="75">
        <f t="shared" ref="H11:H13" si="2">F11/1.08</f>
        <v>30555555.555555552</v>
      </c>
      <c r="I11" s="75">
        <v>10725420</v>
      </c>
      <c r="J11" s="75">
        <v>10840000</v>
      </c>
      <c r="K11" s="75"/>
      <c r="L11" s="75"/>
      <c r="M11" s="75"/>
      <c r="N11" s="75"/>
      <c r="O11" s="75"/>
      <c r="P11" s="75">
        <v>4752361</v>
      </c>
      <c r="Q11" s="75">
        <f t="shared" ref="Q11:Q13" si="3">I11+J11+P11</f>
        <v>26317781</v>
      </c>
      <c r="R11" s="75">
        <f t="shared" ref="R11:R13" si="4">H11-Q11</f>
        <v>4237774.5555555522</v>
      </c>
      <c r="S11" s="76" t="s">
        <v>67</v>
      </c>
    </row>
    <row r="12" spans="1:19" s="77" customFormat="1" ht="31.5" customHeight="1" x14ac:dyDescent="0.25">
      <c r="A12" s="74">
        <v>3</v>
      </c>
      <c r="B12" s="83" t="s">
        <v>65</v>
      </c>
      <c r="C12" s="70">
        <v>18337000</v>
      </c>
      <c r="D12" s="75"/>
      <c r="E12" s="75"/>
      <c r="F12" s="75">
        <f t="shared" si="1"/>
        <v>18337000</v>
      </c>
      <c r="G12" s="75">
        <f t="shared" ref="G12:G13" si="5">H12*0.08</f>
        <v>1358296.2962962962</v>
      </c>
      <c r="H12" s="75">
        <f t="shared" si="2"/>
        <v>16978703.703703701</v>
      </c>
      <c r="I12" s="75">
        <v>11267858</v>
      </c>
      <c r="J12" s="75">
        <v>2650000</v>
      </c>
      <c r="K12" s="75"/>
      <c r="L12" s="75"/>
      <c r="M12" s="75"/>
      <c r="N12" s="75"/>
      <c r="O12" s="75"/>
      <c r="P12" s="75">
        <v>1886235</v>
      </c>
      <c r="Q12" s="75">
        <f t="shared" si="3"/>
        <v>15804093</v>
      </c>
      <c r="R12" s="75">
        <f t="shared" si="4"/>
        <v>1174610.7037037015</v>
      </c>
      <c r="S12" s="76" t="s">
        <v>67</v>
      </c>
    </row>
    <row r="13" spans="1:19" s="77" customFormat="1" ht="45.75" customHeight="1" x14ac:dyDescent="0.25">
      <c r="A13" s="74">
        <v>4</v>
      </c>
      <c r="B13" s="88" t="s">
        <v>54</v>
      </c>
      <c r="C13" s="70">
        <v>391950000</v>
      </c>
      <c r="D13" s="75"/>
      <c r="E13" s="75"/>
      <c r="F13" s="75">
        <f t="shared" si="1"/>
        <v>391950000</v>
      </c>
      <c r="G13" s="75">
        <f t="shared" si="5"/>
        <v>29033333.333333332</v>
      </c>
      <c r="H13" s="75">
        <f t="shared" si="2"/>
        <v>362916666.66666663</v>
      </c>
      <c r="I13" s="75">
        <v>163210707</v>
      </c>
      <c r="J13" s="75">
        <v>102900000</v>
      </c>
      <c r="K13" s="75"/>
      <c r="L13" s="75"/>
      <c r="M13" s="75"/>
      <c r="N13" s="75"/>
      <c r="O13" s="75"/>
      <c r="P13" s="75">
        <v>56445088</v>
      </c>
      <c r="Q13" s="75">
        <f t="shared" si="3"/>
        <v>322555795</v>
      </c>
      <c r="R13" s="75">
        <f t="shared" si="4"/>
        <v>40360871.666666627</v>
      </c>
      <c r="S13" s="76" t="s">
        <v>36</v>
      </c>
    </row>
    <row r="14" spans="1:19" s="77" customFormat="1" x14ac:dyDescent="0.2">
      <c r="A14" s="74"/>
      <c r="B14" s="78" t="s">
        <v>42</v>
      </c>
      <c r="C14" s="79">
        <f t="shared" ref="C14:R14" si="6">SUM(C15:C15)</f>
        <v>0</v>
      </c>
      <c r="D14" s="79">
        <f t="shared" si="6"/>
        <v>0</v>
      </c>
      <c r="E14" s="79">
        <f t="shared" si="6"/>
        <v>0</v>
      </c>
      <c r="F14" s="79">
        <f t="shared" si="6"/>
        <v>0</v>
      </c>
      <c r="G14" s="79">
        <f t="shared" si="6"/>
        <v>0</v>
      </c>
      <c r="H14" s="79">
        <f t="shared" si="6"/>
        <v>0</v>
      </c>
      <c r="I14" s="79">
        <f t="shared" si="6"/>
        <v>0</v>
      </c>
      <c r="J14" s="79">
        <f t="shared" si="6"/>
        <v>0</v>
      </c>
      <c r="K14" s="79">
        <f t="shared" si="6"/>
        <v>0</v>
      </c>
      <c r="L14" s="79">
        <f t="shared" si="6"/>
        <v>0</v>
      </c>
      <c r="M14" s="79">
        <f t="shared" si="6"/>
        <v>0</v>
      </c>
      <c r="N14" s="79">
        <f t="shared" si="6"/>
        <v>0</v>
      </c>
      <c r="O14" s="79">
        <f t="shared" si="6"/>
        <v>0</v>
      </c>
      <c r="P14" s="79">
        <f t="shared" si="6"/>
        <v>0</v>
      </c>
      <c r="Q14" s="79">
        <f t="shared" si="6"/>
        <v>0</v>
      </c>
      <c r="R14" s="79">
        <f t="shared" si="6"/>
        <v>0</v>
      </c>
      <c r="S14" s="76"/>
    </row>
    <row r="15" spans="1:19" s="77" customFormat="1" x14ac:dyDescent="0.2">
      <c r="A15" s="74"/>
      <c r="B15" s="80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6"/>
    </row>
    <row r="16" spans="1:19" x14ac:dyDescent="0.2">
      <c r="A16" s="95" t="s">
        <v>37</v>
      </c>
      <c r="B16" s="96"/>
      <c r="C16" s="46">
        <f t="shared" ref="C16:M16" si="7">C9+C14</f>
        <v>486787000</v>
      </c>
      <c r="D16" s="46">
        <f t="shared" si="7"/>
        <v>486787000</v>
      </c>
      <c r="E16" s="46">
        <f t="shared" si="7"/>
        <v>523650851.85185182</v>
      </c>
      <c r="F16" s="46">
        <f t="shared" si="7"/>
        <v>486787000</v>
      </c>
      <c r="G16" s="46">
        <f t="shared" si="7"/>
        <v>36863851.851851851</v>
      </c>
      <c r="H16" s="46">
        <f t="shared" si="7"/>
        <v>450728703.70370364</v>
      </c>
      <c r="I16" s="46">
        <f t="shared" si="7"/>
        <v>212913902</v>
      </c>
      <c r="J16" s="46">
        <f t="shared" si="7"/>
        <v>124210000</v>
      </c>
      <c r="K16" s="46">
        <f t="shared" si="7"/>
        <v>0</v>
      </c>
      <c r="L16" s="46">
        <f t="shared" si="7"/>
        <v>0</v>
      </c>
      <c r="M16" s="46">
        <f t="shared" si="7"/>
        <v>0</v>
      </c>
      <c r="N16" s="46">
        <v>0</v>
      </c>
      <c r="O16" s="46">
        <f>O9+O14</f>
        <v>0</v>
      </c>
      <c r="P16" s="46">
        <f>P9+P14</f>
        <v>67558310</v>
      </c>
      <c r="Q16" s="46">
        <f>Q9+Q14</f>
        <v>404682212</v>
      </c>
      <c r="R16" s="46">
        <f>R9+R14</f>
        <v>46046491.703703657</v>
      </c>
      <c r="S16" s="45"/>
    </row>
    <row r="18" spans="7:17" x14ac:dyDescent="0.2">
      <c r="G18" s="44" t="s">
        <v>66</v>
      </c>
    </row>
    <row r="19" spans="7:17" x14ac:dyDescent="0.2">
      <c r="Q19" s="68"/>
    </row>
    <row r="20" spans="7:17" x14ac:dyDescent="0.2">
      <c r="J20" s="68"/>
    </row>
    <row r="22" spans="7:17" x14ac:dyDescent="0.2">
      <c r="P22" s="68"/>
    </row>
  </sheetData>
  <mergeCells count="3">
    <mergeCell ref="A5:S5"/>
    <mergeCell ref="A16:B16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Admin</cp:lastModifiedBy>
  <cp:lastPrinted>2016-05-25T02:23:14Z</cp:lastPrinted>
  <dcterms:created xsi:type="dcterms:W3CDTF">2018-05-17T14:45:28Z</dcterms:created>
  <dcterms:modified xsi:type="dcterms:W3CDTF">2024-02-19T07:38:10Z</dcterms:modified>
</cp:coreProperties>
</file>