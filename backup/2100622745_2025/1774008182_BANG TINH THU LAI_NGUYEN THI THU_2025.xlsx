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HA CA\VT ANH TUAN\VT ANH TUAN 2025\"/>
    </mc:Choice>
  </mc:AlternateContent>
  <bookViews>
    <workbookView xWindow="0" yWindow="0" windowWidth="20496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1" l="1"/>
  <c r="G9" i="1" l="1"/>
  <c r="F8" i="1"/>
  <c r="F9" i="1" l="1"/>
  <c r="B12" i="1"/>
  <c r="F4" i="1" l="1"/>
  <c r="F5" i="1"/>
  <c r="F6" i="1"/>
  <c r="F7" i="1"/>
  <c r="F10" i="1"/>
  <c r="F11" i="1"/>
  <c r="F3" i="1"/>
  <c r="G4" i="1"/>
  <c r="G5" i="1"/>
  <c r="G6" i="1"/>
  <c r="G7" i="1"/>
  <c r="G10" i="1"/>
  <c r="G11" i="1"/>
  <c r="G3" i="1"/>
  <c r="G12" i="1" l="1"/>
  <c r="F12" i="1"/>
</calcChain>
</file>

<file path=xl/sharedStrings.xml><?xml version="1.0" encoding="utf-8"?>
<sst xmlns="http://schemas.openxmlformats.org/spreadsheetml/2006/main" count="21" uniqueCount="21">
  <si>
    <t>Ngày chuyển</t>
  </si>
  <si>
    <t>Số tiền</t>
  </si>
  <si>
    <t>Thời hạn món vay</t>
  </si>
  <si>
    <t>Lãi suất</t>
  </si>
  <si>
    <t>Thời hạn</t>
  </si>
  <si>
    <t>Thu lãi</t>
  </si>
  <si>
    <t>Thu lại</t>
  </si>
  <si>
    <t>31/03/2025</t>
  </si>
  <si>
    <t>25/04/2025</t>
  </si>
  <si>
    <t>23/05/2025</t>
  </si>
  <si>
    <t>29/05/2025</t>
  </si>
  <si>
    <t>30/09/2025</t>
  </si>
  <si>
    <t>17/10/2025</t>
  </si>
  <si>
    <t>20/06/2025</t>
  </si>
  <si>
    <t>30/10/2025</t>
  </si>
  <si>
    <t>16/11/2025</t>
  </si>
  <si>
    <t>30/04/2025</t>
  </si>
  <si>
    <t>27/06/2025</t>
  </si>
  <si>
    <t>19/07/2025</t>
  </si>
  <si>
    <t>24/05/2025</t>
  </si>
  <si>
    <t>22/06/2025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</si>
</sst>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_);_(@_)"/>
    <numFmt numFmtId="167" formatCode="_(* #,##0_);_(* \(#,##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2" fillId="0" borderId="0" xfId="1" applyNumberFormat="1" applyFont="1"/>
    <xf numFmtId="166" fontId="2" fillId="0" borderId="0" xfId="0" applyNumberFormat="1" applyFont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NumberFormat="1" applyFont="1" applyBorder="1"/>
    <xf numFmtId="165" fontId="2" fillId="0" borderId="1" xfId="0" applyNumberFormat="1" applyFont="1" applyBorder="1"/>
    <xf numFmtId="167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2"/>
  <sheetViews>
    <sheetView tabSelected="1" workbookViewId="0">
      <selection activeCell="C7" sqref="C7"/>
    </sheetView>
  </sheetViews>
  <sheetFormatPr defaultColWidth="9.109375" defaultRowHeight="13.8" x14ac:dyDescent="0.25"/>
  <cols>
    <col min="1" max="1" width="12" style="1" customWidth="1"/>
    <col min="2" max="2" width="17" style="1" customWidth="1"/>
    <col min="3" max="3" width="16" style="1" customWidth="1"/>
    <col min="4" max="4" width="8.44140625" style="1" customWidth="1"/>
    <col min="5" max="5" width="9.6640625" style="1" customWidth="1"/>
    <col min="6" max="6" width="15.44140625" style="1" customWidth="1"/>
    <col min="7" max="7" width="13.6640625" style="1" customWidth="1"/>
    <col min="8" max="8" width="11.5546875" style="1" customWidth="1"/>
    <col min="9" max="16384" width="9.109375" style="1"/>
  </cols>
  <sheetData>
    <row r="2" spans="1:8" x14ac:dyDescent="0.25">
      <c r="A2" s="4" t="s">
        <v>0</v>
      </c>
      <c r="B2" s="4" t="s">
        <v>1</v>
      </c>
      <c r="C2" s="4" t="s">
        <v>2</v>
      </c>
      <c r="D2" s="4" t="s">
        <v>4</v>
      </c>
      <c r="E2" s="4" t="s">
        <v>3</v>
      </c>
      <c r="F2" s="5" t="s">
        <v>6</v>
      </c>
      <c r="G2" s="4" t="s">
        <v>5</v>
      </c>
    </row>
    <row r="3" spans="1:8" x14ac:dyDescent="0.25">
      <c r="A3" s="9">
        <v>45839</v>
      </c>
      <c r="B3" s="5">
        <v>100000000</v>
      </c>
      <c r="C3" s="9">
        <v>45810</v>
      </c>
      <c r="D3" s="6">
        <v>30</v>
      </c>
      <c r="E3" s="7">
        <v>7.0000000000000007E-2</v>
      </c>
      <c r="F3" s="5">
        <f>B3</f>
        <v>100000000</v>
      </c>
      <c r="G3" s="8">
        <f>ROUND((B3*E3*D3/365),-3)</f>
        <v>575000</v>
      </c>
      <c r="H3" s="3"/>
    </row>
    <row r="4" spans="1:8" x14ac:dyDescent="0.25">
      <c r="A4" s="9" t="s">
        <v>7</v>
      </c>
      <c r="B4" s="5">
        <v>150000000</v>
      </c>
      <c r="C4" s="9" t="s">
        <v>16</v>
      </c>
      <c r="D4" s="6">
        <v>30</v>
      </c>
      <c r="E4" s="7">
        <v>7.0000000000000007E-2</v>
      </c>
      <c r="F4" s="5">
        <f t="shared" ref="F4:F11" si="0">B4</f>
        <v>150000000</v>
      </c>
      <c r="G4" s="8">
        <f t="shared" ref="G4:G11" si="1">ROUND((B4*E4*D4/365),-3)</f>
        <v>863000</v>
      </c>
    </row>
    <row r="5" spans="1:8" x14ac:dyDescent="0.25">
      <c r="A5" s="9" t="s">
        <v>8</v>
      </c>
      <c r="B5" s="5">
        <v>300000000</v>
      </c>
      <c r="C5" s="9" t="s">
        <v>19</v>
      </c>
      <c r="D5" s="6">
        <v>30</v>
      </c>
      <c r="E5" s="7">
        <v>7.0000000000000007E-2</v>
      </c>
      <c r="F5" s="5">
        <f t="shared" si="0"/>
        <v>300000000</v>
      </c>
      <c r="G5" s="8">
        <f t="shared" si="1"/>
        <v>1726000</v>
      </c>
    </row>
    <row r="6" spans="1:8" x14ac:dyDescent="0.25">
      <c r="A6" s="9" t="s">
        <v>9</v>
      </c>
      <c r="B6" s="5">
        <v>450000000</v>
      </c>
      <c r="C6" s="9" t="s">
        <v>20</v>
      </c>
      <c r="D6" s="6">
        <v>30</v>
      </c>
      <c r="E6" s="7">
        <v>7.0000000000000007E-2</v>
      </c>
      <c r="F6" s="5">
        <f t="shared" si="0"/>
        <v>450000000</v>
      </c>
      <c r="G6" s="8">
        <f t="shared" si="1"/>
        <v>2589000</v>
      </c>
    </row>
    <row r="7" spans="1:8" x14ac:dyDescent="0.25">
      <c r="A7" s="9" t="s">
        <v>10</v>
      </c>
      <c r="B7" s="5">
        <v>250000000</v>
      </c>
      <c r="C7" s="9" t="s">
        <v>17</v>
      </c>
      <c r="D7" s="6">
        <v>30</v>
      </c>
      <c r="E7" s="7">
        <v>7.0000000000000007E-2</v>
      </c>
      <c r="F7" s="5">
        <f t="shared" si="0"/>
        <v>250000000</v>
      </c>
      <c r="G7" s="8">
        <f t="shared" si="1"/>
        <v>1438000</v>
      </c>
    </row>
    <row r="8" spans="1:8" x14ac:dyDescent="0.25">
      <c r="A8" s="9" t="s">
        <v>13</v>
      </c>
      <c r="B8" s="5">
        <v>310000000</v>
      </c>
      <c r="C8" s="9" t="s">
        <v>18</v>
      </c>
      <c r="D8" s="6">
        <v>30</v>
      </c>
      <c r="E8" s="7">
        <v>7.0000000000000007E-2</v>
      </c>
      <c r="F8" s="5">
        <f t="shared" si="0"/>
        <v>310000000</v>
      </c>
      <c r="G8" s="8">
        <f t="shared" si="1"/>
        <v>1784000</v>
      </c>
    </row>
    <row r="9" spans="1:8" x14ac:dyDescent="0.25">
      <c r="A9" s="9" t="s">
        <v>11</v>
      </c>
      <c r="B9" s="5">
        <v>1300000000</v>
      </c>
      <c r="C9" s="9" t="s">
        <v>14</v>
      </c>
      <c r="D9" s="6">
        <v>30</v>
      </c>
      <c r="E9" s="7">
        <v>0.06</v>
      </c>
      <c r="F9" s="5">
        <f>B9</f>
        <v>1300000000</v>
      </c>
      <c r="G9" s="8">
        <f>ROUND((B9*E9*D9/365),-3)</f>
        <v>6411000</v>
      </c>
    </row>
    <row r="10" spans="1:8" x14ac:dyDescent="0.25">
      <c r="A10" s="9">
        <v>45879</v>
      </c>
      <c r="B10" s="5">
        <v>1300000000</v>
      </c>
      <c r="C10" s="9">
        <v>45849</v>
      </c>
      <c r="D10" s="6">
        <v>30</v>
      </c>
      <c r="E10" s="7">
        <v>0.06</v>
      </c>
      <c r="F10" s="5">
        <f t="shared" si="0"/>
        <v>1300000000</v>
      </c>
      <c r="G10" s="8">
        <f t="shared" si="1"/>
        <v>6411000</v>
      </c>
    </row>
    <row r="11" spans="1:8" x14ac:dyDescent="0.25">
      <c r="A11" s="9" t="s">
        <v>12</v>
      </c>
      <c r="B11" s="5">
        <v>1270000000</v>
      </c>
      <c r="C11" s="9" t="s">
        <v>15</v>
      </c>
      <c r="D11" s="6">
        <v>30</v>
      </c>
      <c r="E11" s="7">
        <v>0.06</v>
      </c>
      <c r="F11" s="5">
        <f t="shared" si="0"/>
        <v>1270000000</v>
      </c>
      <c r="G11" s="8">
        <f t="shared" si="1"/>
        <v>6263000</v>
      </c>
    </row>
    <row r="12" spans="1:8" x14ac:dyDescent="0.25">
      <c r="A12" s="4"/>
      <c r="B12" s="5">
        <f>SUM(B3:B11)</f>
        <v>5430000000</v>
      </c>
      <c r="C12" s="4"/>
      <c r="D12" s="4"/>
      <c r="E12" s="4"/>
      <c r="F12" s="5">
        <f>SUM(F3:F11)</f>
        <v>5430000000</v>
      </c>
      <c r="G12" s="8">
        <f>SUM(G3:G11)</f>
        <v>28060000</v>
      </c>
    </row>
    <row r="13" spans="1:8" x14ac:dyDescent="0.25">
      <c r="B13" s="2"/>
    </row>
    <row r="14" spans="1:8" x14ac:dyDescent="0.25">
      <c r="B14" s="2"/>
    </row>
    <row r="15" spans="1:8" x14ac:dyDescent="0.25">
      <c r="B15" s="2"/>
    </row>
    <row r="16" spans="1:8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2024-03-13T01:17:03Z</dcterms:created>
  <dcterms:modified xsi:type="dcterms:W3CDTF">2026-03-20T12:02:27Z</dcterms:modified>
</cp:coreProperties>
</file>