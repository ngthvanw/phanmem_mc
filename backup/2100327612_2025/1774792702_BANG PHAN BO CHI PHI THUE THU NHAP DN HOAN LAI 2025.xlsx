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2025\PHUC MINH\"/>
    </mc:Choice>
  </mc:AlternateContent>
  <xr:revisionPtr revIDLastSave="0" documentId="8_{A7CD9D3F-66B8-42C2-9239-CD216F1538FE}" xr6:coauthVersionLast="47" xr6:coauthVersionMax="47" xr10:uidLastSave="{00000000-0000-0000-0000-000000000000}"/>
  <bookViews>
    <workbookView xWindow="-120" yWindow="-120" windowWidth="20730" windowHeight="11040" activeTab="4" xr2:uid="{F8EFA1FA-9F5A-4688-9FD4-7260CCAC3983}"/>
  </bookViews>
  <sheets>
    <sheet name="THONG TIN" sheetId="1" r:id="rId1"/>
    <sheet name="84C-03313" sheetId="4" r:id="rId2"/>
    <sheet name="84C-06125" sheetId="2" r:id="rId3"/>
    <sheet name="84C-00508" sheetId="5" r:id="rId4"/>
    <sheet name="2025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2" l="1"/>
  <c r="F18" i="2"/>
  <c r="F19" i="2"/>
  <c r="F20" i="2"/>
  <c r="F21" i="2"/>
  <c r="F22" i="2"/>
  <c r="F23" i="2"/>
  <c r="F24" i="2"/>
  <c r="E17" i="2"/>
  <c r="E18" i="2"/>
  <c r="E19" i="2"/>
  <c r="J16" i="4"/>
  <c r="E16" i="4"/>
  <c r="F17" i="4"/>
  <c r="F18" i="4"/>
  <c r="F19" i="4"/>
  <c r="F20" i="4"/>
  <c r="F21" i="4"/>
  <c r="F16" i="4"/>
  <c r="H17" i="4"/>
  <c r="H18" i="4"/>
  <c r="H19" i="4"/>
  <c r="G15" i="4"/>
  <c r="G16" i="4"/>
  <c r="I16" i="4"/>
  <c r="H23" i="2"/>
  <c r="H24" i="2"/>
  <c r="H20" i="2"/>
  <c r="H21" i="2"/>
  <c r="D20" i="2"/>
  <c r="D21" i="2"/>
  <c r="D22" i="2"/>
  <c r="D23" i="2"/>
  <c r="D24" i="2"/>
  <c r="H23" i="5"/>
  <c r="H24" i="5"/>
  <c r="H26" i="5"/>
  <c r="H27" i="5"/>
  <c r="G19" i="5"/>
  <c r="G20" i="5"/>
  <c r="G21" i="5"/>
  <c r="G22" i="5"/>
  <c r="G23" i="5"/>
  <c r="G24" i="5"/>
  <c r="G25" i="5"/>
  <c r="G26" i="5"/>
  <c r="G27" i="5"/>
  <c r="F23" i="5"/>
  <c r="F24" i="5"/>
  <c r="F25" i="5" s="1"/>
  <c r="F26" i="5" s="1"/>
  <c r="F27" i="5" s="1"/>
  <c r="E19" i="5"/>
  <c r="F19" i="5"/>
  <c r="E20" i="5"/>
  <c r="E21" i="5" s="1"/>
  <c r="E22" i="5" s="1"/>
  <c r="F20" i="5"/>
  <c r="F21" i="5" s="1"/>
  <c r="F22" i="5" s="1"/>
  <c r="E18" i="5"/>
  <c r="E17" i="5"/>
  <c r="D22" i="5"/>
  <c r="D23" i="5"/>
  <c r="D24" i="5"/>
  <c r="D25" i="5"/>
  <c r="H25" i="5" s="1"/>
  <c r="D26" i="5"/>
  <c r="D27" i="5"/>
  <c r="D19" i="5"/>
  <c r="D20" i="5"/>
  <c r="D21" i="5"/>
  <c r="C19" i="5"/>
  <c r="C20" i="5"/>
  <c r="C21" i="5"/>
  <c r="C22" i="5"/>
  <c r="C15" i="4"/>
  <c r="D18" i="5"/>
  <c r="C18" i="5"/>
  <c r="G18" i="5" s="1"/>
  <c r="D17" i="5"/>
  <c r="C17" i="5"/>
  <c r="D16" i="5"/>
  <c r="F16" i="5" s="1"/>
  <c r="F17" i="5" s="1"/>
  <c r="F18" i="5" s="1"/>
  <c r="C16" i="5"/>
  <c r="D15" i="5"/>
  <c r="C15" i="5"/>
  <c r="C2" i="5"/>
  <c r="B1" i="5"/>
  <c r="D21" i="4"/>
  <c r="H21" i="4" s="1"/>
  <c r="D20" i="4"/>
  <c r="H20" i="4" s="1"/>
  <c r="H23" i="4" s="1"/>
  <c r="D19" i="4"/>
  <c r="D18" i="4"/>
  <c r="D17" i="4"/>
  <c r="D16" i="4"/>
  <c r="C16" i="4"/>
  <c r="C23" i="4" s="1"/>
  <c r="D15" i="4"/>
  <c r="C2" i="4"/>
  <c r="B1" i="4"/>
  <c r="C15" i="2"/>
  <c r="C2" i="2"/>
  <c r="B1" i="2"/>
  <c r="H22" i="2"/>
  <c r="C19" i="2"/>
  <c r="G19" i="2" s="1"/>
  <c r="D19" i="2"/>
  <c r="D18" i="2"/>
  <c r="C18" i="2"/>
  <c r="G18" i="2" s="1"/>
  <c r="D17" i="2"/>
  <c r="C17" i="2"/>
  <c r="D16" i="2"/>
  <c r="F16" i="2" s="1"/>
  <c r="C16" i="2"/>
  <c r="C25" i="2" s="1"/>
  <c r="D15" i="2"/>
  <c r="J9" i="3"/>
  <c r="H9" i="3"/>
  <c r="G9" i="3"/>
  <c r="J8" i="3"/>
  <c r="H8" i="3"/>
  <c r="G8" i="3"/>
  <c r="I8" i="3" s="1"/>
  <c r="J7" i="3"/>
  <c r="H7" i="3"/>
  <c r="G7" i="3"/>
  <c r="H13" i="3" l="1"/>
  <c r="G13" i="3"/>
  <c r="I9" i="3"/>
  <c r="I7" i="3"/>
  <c r="E16" i="2"/>
  <c r="G17" i="2"/>
  <c r="H28" i="5"/>
  <c r="G15" i="5"/>
  <c r="G17" i="5"/>
  <c r="C28" i="5"/>
  <c r="E16" i="5"/>
  <c r="G16" i="5"/>
  <c r="D28" i="5"/>
  <c r="G28" i="5"/>
  <c r="D23" i="4"/>
  <c r="H25" i="2"/>
  <c r="G16" i="2"/>
  <c r="D25" i="2"/>
  <c r="G15" i="2"/>
  <c r="G25" i="2"/>
  <c r="K7" i="3" l="1"/>
  <c r="L7" i="3" s="1"/>
  <c r="I13" i="3"/>
  <c r="H26" i="2"/>
  <c r="H29" i="5"/>
  <c r="G23" i="4"/>
  <c r="H24" i="4" s="1"/>
</calcChain>
</file>

<file path=xl/sharedStrings.xml><?xml version="1.0" encoding="utf-8"?>
<sst xmlns="http://schemas.openxmlformats.org/spreadsheetml/2006/main" count="133" uniqueCount="56">
  <si>
    <t>THÔNG TIN DOANH NGHIỆP</t>
  </si>
  <si>
    <t>Tên doanh nghiệp:</t>
  </si>
  <si>
    <t>Trụ sở chính:</t>
  </si>
  <si>
    <t>Mã số thuế :</t>
  </si>
  <si>
    <t>Ngày thành lập :</t>
  </si>
  <si>
    <t>Công ty TNHH thương mại dịch vụ vận tải xây dựng Phúc Minh</t>
  </si>
  <si>
    <t>Số 339, đường Nguyễn Đáng, Khóm 10 , phường Nguyệt Hoá, tỉnh Vĩnh Long</t>
  </si>
  <si>
    <t>TT</t>
  </si>
  <si>
    <t>Chỉ tiêu</t>
  </si>
  <si>
    <t>Xe tải Isuzu 84C-03313</t>
  </si>
  <si>
    <t>Xe tải Isuzu 84C-06125</t>
  </si>
  <si>
    <t>Xe tải HINO 84C-00508</t>
  </si>
  <si>
    <t>Nguyên giá</t>
  </si>
  <si>
    <t>Thời gian khấu hao</t>
  </si>
  <si>
    <t>Thuế</t>
  </si>
  <si>
    <t>Kế toán</t>
  </si>
  <si>
    <t>Chênh lệch tạm thời</t>
  </si>
  <si>
    <t xml:space="preserve">Chi phí </t>
  </si>
  <si>
    <t>BẢNG KÊ CHÊNH LỆCH CHI PHÍ KẾ TOÁN VÀ CHI PHÍ TÍNH THUẾ THU NHẬP DOANH NGHIỆP</t>
  </si>
  <si>
    <t xml:space="preserve">TỔNG CỘNG </t>
  </si>
  <si>
    <r>
      <t xml:space="preserve">1. Ghi nhận trên tờ khai mẫu 01/3A năm </t>
    </r>
    <r>
      <rPr>
        <b/>
        <sz val="11"/>
        <color theme="1"/>
        <rFont val="Arial"/>
        <family val="2"/>
        <scheme val="minor"/>
      </rPr>
      <t>2024</t>
    </r>
    <r>
      <rPr>
        <sz val="11"/>
        <color theme="1"/>
        <rFont val="Arial"/>
        <family val="2"/>
        <charset val="163"/>
        <scheme val="minor"/>
      </rPr>
      <t xml:space="preserve"> trên chỉ tiêu [B12]</t>
    </r>
  </si>
  <si>
    <r>
      <t xml:space="preserve">2. Ghi nhận trên tờ khai mẫu 01/3A năm </t>
    </r>
    <r>
      <rPr>
        <b/>
        <sz val="11"/>
        <color theme="1"/>
        <rFont val="Arial"/>
        <family val="2"/>
        <scheme val="minor"/>
      </rPr>
      <t>2025</t>
    </r>
    <r>
      <rPr>
        <sz val="11"/>
        <color theme="1"/>
        <rFont val="Arial"/>
        <family val="2"/>
        <charset val="163"/>
        <scheme val="minor"/>
      </rPr>
      <t xml:space="preserve"> trên chỉ tiêu [B7]</t>
    </r>
  </si>
  <si>
    <t>Trà Vinh, Ngày 31 tháng 12 năm 2024</t>
  </si>
  <si>
    <t xml:space="preserve">Lập bảng </t>
  </si>
  <si>
    <t>Giám đốc</t>
  </si>
  <si>
    <t>Ngày sử dụng</t>
  </si>
  <si>
    <t>Ngày điều chỉnh tăng lợi nhuận</t>
  </si>
  <si>
    <t xml:space="preserve">Tên tài sản </t>
  </si>
  <si>
    <t>Xe tải ISUZU 84C- 03313</t>
  </si>
  <si>
    <t>Năm</t>
  </si>
  <si>
    <t>Năm 2024</t>
  </si>
  <si>
    <t>Ghi chỉ tiêu [B12]</t>
  </si>
  <si>
    <t>Ghi chỉ tiêu [B7]</t>
  </si>
  <si>
    <t>Năm 2025</t>
  </si>
  <si>
    <t>Năm 2026</t>
  </si>
  <si>
    <t>Năm 2027</t>
  </si>
  <si>
    <t>Năm 2028</t>
  </si>
  <si>
    <t>Thời gian khấu hao thuế</t>
  </si>
  <si>
    <t>năm</t>
  </si>
  <si>
    <t>Thời gian khấu hao kế toán</t>
  </si>
  <si>
    <t xml:space="preserve">Chi phí khấu hao </t>
  </si>
  <si>
    <t>Giá trị còn lại</t>
  </si>
  <si>
    <t>Năm 2029</t>
  </si>
  <si>
    <t>Năm 2030</t>
  </si>
  <si>
    <t>Giá trị còn lại cuối năm 2024</t>
  </si>
  <si>
    <t xml:space="preserve">Mã số thuế: </t>
  </si>
  <si>
    <t>Xe tải ISUZU 84C- 06125</t>
  </si>
  <si>
    <t>Năm 2031</t>
  </si>
  <si>
    <t>Năm 2032</t>
  </si>
  <si>
    <t>Năm 2033</t>
  </si>
  <si>
    <t>Năm 2034</t>
  </si>
  <si>
    <t>Năm 2035</t>
  </si>
  <si>
    <t>Năm 2036</t>
  </si>
  <si>
    <t>Trà Vinh, Ngày 31 tháng 12 năm 2025</t>
  </si>
  <si>
    <t>tổng 3 xe ĐIỀU CHỈNH B12</t>
  </si>
  <si>
    <t>ĐIỀU CHỈNH 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</si>
</sst>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rial"/>
      <family val="2"/>
      <charset val="163"/>
      <scheme val="minor"/>
    </font>
    <font>
      <b/>
      <sz val="11"/>
      <color theme="7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horizontal="left"/>
    </xf>
    <xf numFmtId="0" fontId="0" fillId="0" borderId="4" xfId="0" applyBorder="1"/>
    <xf numFmtId="0" fontId="0" fillId="3" borderId="2" xfId="0" applyFill="1" applyBorder="1"/>
    <xf numFmtId="0" fontId="0" fillId="3" borderId="3" xfId="0" applyFill="1" applyBorder="1"/>
    <xf numFmtId="0" fontId="0" fillId="3" borderId="3" xfId="0" applyFill="1" applyBorder="1" applyAlignment="1">
      <alignment vertical="center"/>
    </xf>
    <xf numFmtId="0" fontId="0" fillId="3" borderId="4" xfId="0" applyFill="1" applyBorder="1"/>
    <xf numFmtId="3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0" borderId="7" xfId="0" applyNumberFormat="1" applyBorder="1" applyAlignment="1">
      <alignment vertical="center"/>
    </xf>
    <xf numFmtId="3" fontId="0" fillId="0" borderId="5" xfId="0" applyNumberFormat="1" applyBorder="1" applyAlignment="1">
      <alignment horizontal="right" vertical="center"/>
    </xf>
    <xf numFmtId="3" fontId="0" fillId="0" borderId="5" xfId="0" applyNumberForma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3" fontId="0" fillId="0" borderId="0" xfId="1" applyFont="1" applyAlignment="1">
      <alignment vertical="center"/>
    </xf>
    <xf numFmtId="164" fontId="0" fillId="0" borderId="0" xfId="1" applyNumberFormat="1" applyFont="1" applyAlignment="1">
      <alignment vertical="center"/>
    </xf>
    <xf numFmtId="3" fontId="0" fillId="4" borderId="0" xfId="0" applyNumberFormat="1" applyFill="1" applyAlignment="1">
      <alignment vertical="center"/>
    </xf>
    <xf numFmtId="164" fontId="0" fillId="4" borderId="0" xfId="1" applyNumberFormat="1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A70E-F992-4D43-9A18-674C96423B38}">
  <dimension ref="B1:C9"/>
  <sheetViews>
    <sheetView workbookViewId="0">
      <selection activeCell="C3" sqref="C3"/>
    </sheetView>
  </sheetViews>
  <sheetFormatPr defaultRowHeight="14.25" x14ac:dyDescent="0.2"/>
  <cols>
    <col min="1" max="1" width="3.75" customWidth="1"/>
    <col min="2" max="2" width="18.25" customWidth="1"/>
    <col min="3" max="3" width="54.625" customWidth="1"/>
  </cols>
  <sheetData>
    <row r="1" spans="2:3" ht="22.15" customHeight="1" x14ac:dyDescent="0.25">
      <c r="B1" s="38" t="s">
        <v>0</v>
      </c>
      <c r="C1" s="38"/>
    </row>
    <row r="2" spans="2:3" ht="22.15" customHeight="1" x14ac:dyDescent="0.2">
      <c r="B2" s="10"/>
      <c r="C2" s="3"/>
    </row>
    <row r="3" spans="2:3" ht="22.15" customHeight="1" x14ac:dyDescent="0.25">
      <c r="B3" s="11" t="s">
        <v>1</v>
      </c>
      <c r="C3" s="5" t="s">
        <v>5</v>
      </c>
    </row>
    <row r="4" spans="2:3" ht="36" customHeight="1" x14ac:dyDescent="0.2">
      <c r="B4" s="12" t="s">
        <v>2</v>
      </c>
      <c r="C4" s="7" t="s">
        <v>6</v>
      </c>
    </row>
    <row r="5" spans="2:3" ht="22.15" customHeight="1" x14ac:dyDescent="0.25">
      <c r="B5" s="11" t="s">
        <v>3</v>
      </c>
      <c r="C5" s="8">
        <v>2100327612</v>
      </c>
    </row>
    <row r="6" spans="2:3" ht="22.15" customHeight="1" x14ac:dyDescent="0.2">
      <c r="B6" s="11" t="s">
        <v>4</v>
      </c>
      <c r="C6" s="4"/>
    </row>
    <row r="7" spans="2:3" ht="22.15" customHeight="1" x14ac:dyDescent="0.2">
      <c r="B7" s="11"/>
      <c r="C7" s="4"/>
    </row>
    <row r="8" spans="2:3" ht="22.15" customHeight="1" x14ac:dyDescent="0.2">
      <c r="B8" s="13"/>
      <c r="C8" s="9"/>
    </row>
    <row r="9" spans="2:3" ht="22.15" customHeight="1" x14ac:dyDescent="0.2"/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8D6E-D060-4DBC-B161-3AACB0052DDA}">
  <dimension ref="A1:J29"/>
  <sheetViews>
    <sheetView topLeftCell="A7" workbookViewId="0">
      <selection activeCell="J16" sqref="J16"/>
    </sheetView>
  </sheetViews>
  <sheetFormatPr defaultRowHeight="14.25" x14ac:dyDescent="0.2"/>
  <cols>
    <col min="1" max="1" width="4.375" customWidth="1"/>
    <col min="2" max="2" width="23.25" customWidth="1"/>
    <col min="3" max="3" width="12.75" customWidth="1"/>
    <col min="4" max="4" width="12.625" customWidth="1"/>
    <col min="5" max="5" width="12.375" customWidth="1"/>
    <col min="6" max="6" width="14" customWidth="1"/>
    <col min="7" max="7" width="12.25" customWidth="1"/>
    <col min="8" max="8" width="13" customWidth="1"/>
    <col min="9" max="9" width="23.125" bestFit="1" customWidth="1"/>
    <col min="10" max="10" width="13.75" bestFit="1" customWidth="1"/>
  </cols>
  <sheetData>
    <row r="1" spans="1:10" x14ac:dyDescent="0.2">
      <c r="B1" t="str">
        <f>'THONG TIN'!C3</f>
        <v>Công ty TNHH thương mại dịch vụ vận tải xây dựng Phúc Minh</v>
      </c>
    </row>
    <row r="2" spans="1:10" x14ac:dyDescent="0.2">
      <c r="B2" t="s">
        <v>45</v>
      </c>
      <c r="C2">
        <f>'THONG TIN'!C5</f>
        <v>2100327612</v>
      </c>
    </row>
    <row r="4" spans="1:10" s="2" customFormat="1" ht="22.15" customHeight="1" x14ac:dyDescent="0.2">
      <c r="B4" s="42" t="s">
        <v>18</v>
      </c>
      <c r="C4" s="42"/>
      <c r="D4" s="42"/>
      <c r="E4" s="42"/>
      <c r="F4" s="42"/>
      <c r="G4" s="42"/>
    </row>
    <row r="5" spans="1:10" s="2" customFormat="1" ht="22.15" customHeight="1" x14ac:dyDescent="0.2">
      <c r="B5" s="29"/>
      <c r="C5" s="29"/>
      <c r="D5" s="29"/>
      <c r="E5" s="29"/>
      <c r="F5" s="29"/>
      <c r="G5" s="29"/>
    </row>
    <row r="6" spans="1:10" s="2" customFormat="1" ht="22.15" customHeight="1" x14ac:dyDescent="0.2">
      <c r="B6" s="31" t="s">
        <v>27</v>
      </c>
      <c r="C6" s="32" t="s">
        <v>28</v>
      </c>
      <c r="D6" s="29"/>
      <c r="E6" s="29"/>
      <c r="F6" s="29"/>
      <c r="G6" s="29"/>
    </row>
    <row r="7" spans="1:10" s="2" customFormat="1" ht="22.15" customHeight="1" x14ac:dyDescent="0.2">
      <c r="B7" s="31" t="s">
        <v>12</v>
      </c>
      <c r="C7" s="41">
        <v>1490964637</v>
      </c>
      <c r="D7" s="41"/>
      <c r="E7" s="29"/>
      <c r="F7" s="29"/>
      <c r="G7" s="29"/>
    </row>
    <row r="8" spans="1:10" s="2" customFormat="1" ht="22.15" customHeight="1" x14ac:dyDescent="0.2">
      <c r="B8" s="31" t="s">
        <v>25</v>
      </c>
      <c r="C8" s="45">
        <v>42248</v>
      </c>
      <c r="D8" s="45"/>
      <c r="E8" s="29"/>
      <c r="F8" s="29"/>
      <c r="G8" s="29"/>
    </row>
    <row r="9" spans="1:10" s="2" customFormat="1" ht="22.15" customHeight="1" x14ac:dyDescent="0.2">
      <c r="B9" s="31" t="s">
        <v>44</v>
      </c>
      <c r="C9" s="41">
        <v>186370605.5333333</v>
      </c>
      <c r="D9" s="41"/>
      <c r="E9" s="29"/>
      <c r="F9" s="29"/>
      <c r="G9" s="29"/>
    </row>
    <row r="10" spans="1:10" s="2" customFormat="1" ht="22.15" customHeight="1" x14ac:dyDescent="0.2">
      <c r="B10" s="31" t="s">
        <v>37</v>
      </c>
      <c r="C10" s="41">
        <v>10</v>
      </c>
      <c r="D10" s="41"/>
      <c r="E10" s="30" t="s">
        <v>38</v>
      </c>
      <c r="F10" s="29"/>
      <c r="G10" s="29"/>
    </row>
    <row r="11" spans="1:10" s="2" customFormat="1" ht="22.15" customHeight="1" x14ac:dyDescent="0.2">
      <c r="B11" s="31" t="s">
        <v>39</v>
      </c>
      <c r="C11" s="41">
        <v>15</v>
      </c>
      <c r="D11" s="41"/>
      <c r="E11" s="30" t="s">
        <v>38</v>
      </c>
      <c r="F11" s="29"/>
      <c r="G11" s="29"/>
    </row>
    <row r="12" spans="1:10" s="2" customFormat="1" ht="22.15" customHeight="1" x14ac:dyDescent="0.2"/>
    <row r="13" spans="1:10" s="2" customFormat="1" ht="22.15" customHeight="1" x14ac:dyDescent="0.2">
      <c r="A13" s="46" t="s">
        <v>7</v>
      </c>
      <c r="B13" s="46" t="s">
        <v>29</v>
      </c>
      <c r="C13" s="46" t="s">
        <v>40</v>
      </c>
      <c r="D13" s="46"/>
      <c r="E13" s="46" t="s">
        <v>41</v>
      </c>
      <c r="F13" s="46"/>
      <c r="G13" s="44" t="s">
        <v>31</v>
      </c>
      <c r="H13" s="44" t="s">
        <v>32</v>
      </c>
    </row>
    <row r="14" spans="1:10" s="2" customFormat="1" ht="22.15" customHeight="1" x14ac:dyDescent="0.2">
      <c r="A14" s="46"/>
      <c r="B14" s="46"/>
      <c r="C14" s="15" t="s">
        <v>14</v>
      </c>
      <c r="D14" s="15" t="s">
        <v>15</v>
      </c>
      <c r="E14" s="15" t="s">
        <v>14</v>
      </c>
      <c r="F14" s="15" t="s">
        <v>15</v>
      </c>
      <c r="G14" s="44"/>
      <c r="H14" s="44"/>
    </row>
    <row r="15" spans="1:10" s="2" customFormat="1" ht="22.15" customHeight="1" x14ac:dyDescent="0.2">
      <c r="A15" s="18">
        <v>1</v>
      </c>
      <c r="B15" s="16" t="s">
        <v>30</v>
      </c>
      <c r="C15" s="17">
        <f>ROUND($C$7/$C$10,0)</f>
        <v>149096464</v>
      </c>
      <c r="D15" s="17">
        <f t="shared" ref="D15:D20" si="0">ROUND($C$7/$C$11,0)</f>
        <v>99397642</v>
      </c>
      <c r="E15" s="17"/>
      <c r="F15" s="17"/>
      <c r="G15" s="17">
        <f>C15-D15</f>
        <v>49698822</v>
      </c>
      <c r="H15" s="25"/>
      <c r="I15" s="2" t="s">
        <v>54</v>
      </c>
      <c r="J15" s="2" t="s">
        <v>55</v>
      </c>
    </row>
    <row r="16" spans="1:10" s="2" customFormat="1" ht="22.15" customHeight="1" x14ac:dyDescent="0.2">
      <c r="A16" s="20">
        <v>2</v>
      </c>
      <c r="B16" s="6" t="s">
        <v>33</v>
      </c>
      <c r="C16" s="34">
        <f>ROUND($C$7/$C$10,0)</f>
        <v>149096464</v>
      </c>
      <c r="D16" s="34">
        <f t="shared" si="0"/>
        <v>99397642</v>
      </c>
      <c r="E16" s="19">
        <f>$C$9-C16</f>
        <v>37274141.533333302</v>
      </c>
      <c r="F16" s="19">
        <f>$C$9-D16</f>
        <v>86972963.533333302</v>
      </c>
      <c r="G16" s="19">
        <f>C16-D16</f>
        <v>49698822</v>
      </c>
      <c r="H16" s="26"/>
      <c r="I16" s="50">
        <f>G16+'84C-06125'!G16+'84C-00508'!G16</f>
        <v>159240277</v>
      </c>
      <c r="J16" s="48">
        <f>(G16/12)*4</f>
        <v>16566274</v>
      </c>
    </row>
    <row r="17" spans="1:8" s="2" customFormat="1" ht="22.15" customHeight="1" x14ac:dyDescent="0.2">
      <c r="A17" s="20">
        <v>3</v>
      </c>
      <c r="B17" s="6" t="s">
        <v>34</v>
      </c>
      <c r="C17" s="34"/>
      <c r="D17" s="34">
        <f t="shared" si="0"/>
        <v>99397642</v>
      </c>
      <c r="E17" s="19"/>
      <c r="F17" s="19">
        <f t="shared" ref="F17:F21" si="1">$C$9-D17</f>
        <v>86972963.533333302</v>
      </c>
      <c r="G17" s="19"/>
      <c r="H17" s="37">
        <f t="shared" ref="H17:H19" si="2">D17</f>
        <v>99397642</v>
      </c>
    </row>
    <row r="18" spans="1:8" s="2" customFormat="1" ht="22.15" customHeight="1" x14ac:dyDescent="0.2">
      <c r="A18" s="20">
        <v>4</v>
      </c>
      <c r="B18" s="6" t="s">
        <v>35</v>
      </c>
      <c r="C18" s="34"/>
      <c r="D18" s="34">
        <f t="shared" si="0"/>
        <v>99397642</v>
      </c>
      <c r="E18" s="19"/>
      <c r="F18" s="19">
        <f t="shared" si="1"/>
        <v>86972963.533333302</v>
      </c>
      <c r="G18" s="19"/>
      <c r="H18" s="37">
        <f t="shared" si="2"/>
        <v>99397642</v>
      </c>
    </row>
    <row r="19" spans="1:8" s="2" customFormat="1" ht="22.15" customHeight="1" x14ac:dyDescent="0.2">
      <c r="A19" s="20"/>
      <c r="B19" s="6" t="s">
        <v>36</v>
      </c>
      <c r="C19" s="34"/>
      <c r="D19" s="34">
        <f t="shared" si="0"/>
        <v>99397642</v>
      </c>
      <c r="E19" s="19"/>
      <c r="F19" s="19">
        <f t="shared" si="1"/>
        <v>86972963.533333302</v>
      </c>
      <c r="G19" s="19"/>
      <c r="H19" s="37">
        <f t="shared" si="2"/>
        <v>99397642</v>
      </c>
    </row>
    <row r="20" spans="1:8" s="2" customFormat="1" ht="22.15" customHeight="1" x14ac:dyDescent="0.2">
      <c r="A20" s="33"/>
      <c r="B20" s="6" t="s">
        <v>42</v>
      </c>
      <c r="C20" s="36"/>
      <c r="D20" s="34">
        <f t="shared" si="0"/>
        <v>99397642</v>
      </c>
      <c r="E20" s="37"/>
      <c r="F20" s="19">
        <f t="shared" si="1"/>
        <v>86972963.533333302</v>
      </c>
      <c r="G20" s="22"/>
      <c r="H20" s="37">
        <f>D20</f>
        <v>99397642</v>
      </c>
    </row>
    <row r="21" spans="1:8" s="2" customFormat="1" ht="22.15" customHeight="1" x14ac:dyDescent="0.2">
      <c r="A21" s="33"/>
      <c r="B21" s="6" t="s">
        <v>43</v>
      </c>
      <c r="C21" s="36"/>
      <c r="D21" s="34">
        <f>ROUND($C$7/$C$11,0)-25</f>
        <v>99397617</v>
      </c>
      <c r="E21" s="37"/>
      <c r="F21" s="19">
        <f t="shared" si="1"/>
        <v>86972988.533333302</v>
      </c>
      <c r="G21" s="22"/>
      <c r="H21" s="37">
        <f>D21</f>
        <v>99397617</v>
      </c>
    </row>
    <row r="22" spans="1:8" s="2" customFormat="1" ht="22.15" customHeight="1" x14ac:dyDescent="0.2">
      <c r="A22" s="33"/>
      <c r="B22" s="22"/>
      <c r="C22" s="22"/>
      <c r="D22" s="22"/>
      <c r="E22" s="22"/>
      <c r="F22" s="22"/>
      <c r="G22" s="22"/>
      <c r="H22" s="21"/>
    </row>
    <row r="23" spans="1:8" s="2" customFormat="1" ht="22.15" customHeight="1" x14ac:dyDescent="0.2">
      <c r="A23" s="39" t="s">
        <v>19</v>
      </c>
      <c r="B23" s="40"/>
      <c r="C23" s="35">
        <f>SUM(C16:C22)</f>
        <v>149096464</v>
      </c>
      <c r="D23" s="35">
        <f>SUM(D16:D22)</f>
        <v>596385827</v>
      </c>
      <c r="E23" s="24"/>
      <c r="F23" s="24"/>
      <c r="G23" s="24">
        <f>SUM(G15:G22)</f>
        <v>99397644</v>
      </c>
      <c r="H23" s="24">
        <f>SUM(H15:H22)</f>
        <v>496988185</v>
      </c>
    </row>
    <row r="24" spans="1:8" s="2" customFormat="1" ht="22.15" customHeight="1" x14ac:dyDescent="0.2">
      <c r="H24" s="14">
        <f>G23-H23</f>
        <v>-397590541</v>
      </c>
    </row>
    <row r="25" spans="1:8" s="2" customFormat="1" ht="22.15" customHeight="1" x14ac:dyDescent="0.2">
      <c r="G25" s="14"/>
    </row>
    <row r="26" spans="1:8" s="2" customFormat="1" ht="22.15" customHeight="1" x14ac:dyDescent="0.2">
      <c r="G26" s="14"/>
    </row>
    <row r="27" spans="1:8" s="2" customFormat="1" ht="22.15" customHeight="1" x14ac:dyDescent="0.2"/>
    <row r="28" spans="1:8" x14ac:dyDescent="0.2">
      <c r="F28" s="43" t="s">
        <v>22</v>
      </c>
      <c r="G28" s="43"/>
    </row>
    <row r="29" spans="1:8" x14ac:dyDescent="0.2">
      <c r="F29" s="43" t="s">
        <v>24</v>
      </c>
      <c r="G29" s="43"/>
    </row>
  </sheetData>
  <mergeCells count="15">
    <mergeCell ref="A23:B23"/>
    <mergeCell ref="F28:G28"/>
    <mergeCell ref="F29:G29"/>
    <mergeCell ref="A13:A14"/>
    <mergeCell ref="B13:B14"/>
    <mergeCell ref="C13:D13"/>
    <mergeCell ref="E13:F13"/>
    <mergeCell ref="G13:G14"/>
    <mergeCell ref="H13:H14"/>
    <mergeCell ref="B4:G4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5DA-EA09-44F4-ABE8-8F4AEA616A95}">
  <dimension ref="A1:H31"/>
  <sheetViews>
    <sheetView topLeftCell="A10" workbookViewId="0">
      <selection activeCell="E8" sqref="E8"/>
    </sheetView>
  </sheetViews>
  <sheetFormatPr defaultRowHeight="14.25" x14ac:dyDescent="0.2"/>
  <cols>
    <col min="1" max="1" width="4.375" customWidth="1"/>
    <col min="2" max="2" width="23.25" customWidth="1"/>
    <col min="3" max="3" width="12.75" customWidth="1"/>
    <col min="4" max="4" width="12.625" customWidth="1"/>
    <col min="5" max="5" width="12.375" customWidth="1"/>
    <col min="6" max="6" width="14" customWidth="1"/>
    <col min="7" max="7" width="12.25" customWidth="1"/>
    <col min="8" max="8" width="13" customWidth="1"/>
  </cols>
  <sheetData>
    <row r="1" spans="1:8" x14ac:dyDescent="0.2">
      <c r="B1" t="str">
        <f>'THONG TIN'!C3</f>
        <v>Công ty TNHH thương mại dịch vụ vận tải xây dựng Phúc Minh</v>
      </c>
    </row>
    <row r="2" spans="1:8" x14ac:dyDescent="0.2">
      <c r="B2" t="s">
        <v>45</v>
      </c>
      <c r="C2">
        <f>'THONG TIN'!C5</f>
        <v>2100327612</v>
      </c>
    </row>
    <row r="4" spans="1:8" s="2" customFormat="1" ht="22.15" customHeight="1" x14ac:dyDescent="0.2">
      <c r="B4" s="42" t="s">
        <v>18</v>
      </c>
      <c r="C4" s="42"/>
      <c r="D4" s="42"/>
      <c r="E4" s="42"/>
      <c r="F4" s="42"/>
      <c r="G4" s="42"/>
    </row>
    <row r="5" spans="1:8" s="2" customFormat="1" ht="22.15" customHeight="1" x14ac:dyDescent="0.2">
      <c r="B5" s="29"/>
      <c r="C5" s="29"/>
      <c r="D5" s="29"/>
      <c r="E5" s="29"/>
      <c r="F5" s="29"/>
      <c r="G5" s="29"/>
    </row>
    <row r="6" spans="1:8" s="2" customFormat="1" ht="22.15" customHeight="1" x14ac:dyDescent="0.2">
      <c r="B6" s="31" t="s">
        <v>27</v>
      </c>
      <c r="C6" s="32" t="s">
        <v>46</v>
      </c>
      <c r="D6" s="29"/>
      <c r="E6" s="29"/>
      <c r="F6" s="29"/>
      <c r="G6" s="29"/>
    </row>
    <row r="7" spans="1:8" s="2" customFormat="1" ht="22.15" customHeight="1" x14ac:dyDescent="0.2">
      <c r="B7" s="31" t="s">
        <v>12</v>
      </c>
      <c r="C7" s="41">
        <v>1523709091</v>
      </c>
      <c r="D7" s="41"/>
      <c r="E7" s="29"/>
      <c r="F7" s="29"/>
      <c r="G7" s="29"/>
    </row>
    <row r="8" spans="1:8" s="2" customFormat="1" ht="22.15" customHeight="1" x14ac:dyDescent="0.2">
      <c r="B8" s="31" t="s">
        <v>25</v>
      </c>
      <c r="C8" s="45">
        <v>43252</v>
      </c>
      <c r="D8" s="45"/>
      <c r="E8" s="29"/>
      <c r="F8" s="29"/>
      <c r="G8" s="29"/>
    </row>
    <row r="9" spans="1:8" s="2" customFormat="1" ht="22.15" customHeight="1" x14ac:dyDescent="0.2">
      <c r="B9" s="31" t="s">
        <v>44</v>
      </c>
      <c r="C9" s="41">
        <v>609483616.9333334</v>
      </c>
      <c r="D9" s="41"/>
      <c r="E9" s="29"/>
      <c r="F9" s="29"/>
      <c r="G9" s="29"/>
    </row>
    <row r="10" spans="1:8" s="2" customFormat="1" ht="22.15" customHeight="1" x14ac:dyDescent="0.2">
      <c r="B10" s="31" t="s">
        <v>37</v>
      </c>
      <c r="C10" s="41">
        <v>10</v>
      </c>
      <c r="D10" s="41"/>
      <c r="E10" s="30" t="s">
        <v>38</v>
      </c>
      <c r="F10" s="29"/>
      <c r="G10" s="29"/>
    </row>
    <row r="11" spans="1:8" s="2" customFormat="1" ht="22.15" customHeight="1" x14ac:dyDescent="0.2">
      <c r="B11" s="31" t="s">
        <v>39</v>
      </c>
      <c r="C11" s="41">
        <v>15</v>
      </c>
      <c r="D11" s="41"/>
      <c r="E11" s="30" t="s">
        <v>38</v>
      </c>
      <c r="F11" s="29"/>
      <c r="G11" s="29"/>
    </row>
    <row r="12" spans="1:8" s="2" customFormat="1" ht="22.15" customHeight="1" x14ac:dyDescent="0.2"/>
    <row r="13" spans="1:8" s="2" customFormat="1" ht="22.15" customHeight="1" x14ac:dyDescent="0.2">
      <c r="A13" s="46" t="s">
        <v>7</v>
      </c>
      <c r="B13" s="46" t="s">
        <v>29</v>
      </c>
      <c r="C13" s="46" t="s">
        <v>40</v>
      </c>
      <c r="D13" s="46"/>
      <c r="E13" s="46" t="s">
        <v>41</v>
      </c>
      <c r="F13" s="46"/>
      <c r="G13" s="44" t="s">
        <v>31</v>
      </c>
      <c r="H13" s="44" t="s">
        <v>32</v>
      </c>
    </row>
    <row r="14" spans="1:8" s="2" customFormat="1" ht="22.15" customHeight="1" x14ac:dyDescent="0.2">
      <c r="A14" s="46"/>
      <c r="B14" s="46"/>
      <c r="C14" s="15" t="s">
        <v>14</v>
      </c>
      <c r="D14" s="15" t="s">
        <v>15</v>
      </c>
      <c r="E14" s="15" t="s">
        <v>14</v>
      </c>
      <c r="F14" s="15" t="s">
        <v>15</v>
      </c>
      <c r="G14" s="44"/>
      <c r="H14" s="44"/>
    </row>
    <row r="15" spans="1:8" s="2" customFormat="1" ht="22.15" customHeight="1" x14ac:dyDescent="0.2">
      <c r="A15" s="18">
        <v>1</v>
      </c>
      <c r="B15" s="16" t="s">
        <v>30</v>
      </c>
      <c r="C15" s="17">
        <f>ROUND($C$7/$C$10,0)</f>
        <v>152370909</v>
      </c>
      <c r="D15" s="17">
        <f t="shared" ref="D15:D24" si="0">ROUND($C$7/$C$11,0)</f>
        <v>101580606</v>
      </c>
      <c r="E15" s="17"/>
      <c r="F15" s="17"/>
      <c r="G15" s="17">
        <f>C15-D15</f>
        <v>50790303</v>
      </c>
      <c r="H15" s="25"/>
    </row>
    <row r="16" spans="1:8" s="2" customFormat="1" ht="22.15" customHeight="1" x14ac:dyDescent="0.2">
      <c r="A16" s="20">
        <v>2</v>
      </c>
      <c r="B16" s="6" t="s">
        <v>33</v>
      </c>
      <c r="C16" s="34">
        <f>ROUND($C$7/$C$10,0)</f>
        <v>152370909</v>
      </c>
      <c r="D16" s="34">
        <f t="shared" si="0"/>
        <v>101580606</v>
      </c>
      <c r="E16" s="19">
        <f>$C$9-C16</f>
        <v>457112707.9333334</v>
      </c>
      <c r="F16" s="19">
        <f>$C$9-D16</f>
        <v>507903010.9333334</v>
      </c>
      <c r="G16" s="19">
        <f>C16-D16</f>
        <v>50790303</v>
      </c>
      <c r="H16" s="26"/>
    </row>
    <row r="17" spans="1:8" s="2" customFormat="1" ht="22.15" customHeight="1" x14ac:dyDescent="0.2">
      <c r="A17" s="20">
        <v>3</v>
      </c>
      <c r="B17" s="6" t="s">
        <v>34</v>
      </c>
      <c r="C17" s="34">
        <f>ROUND($C$7/$C$10,0)</f>
        <v>152370909</v>
      </c>
      <c r="D17" s="34">
        <f t="shared" si="0"/>
        <v>101580606</v>
      </c>
      <c r="E17" s="19">
        <f t="shared" ref="E17:E19" si="1">$C$9-C17</f>
        <v>457112707.9333334</v>
      </c>
      <c r="F17" s="19">
        <f t="shared" ref="F17:F24" si="2">$C$9-D17</f>
        <v>507903010.9333334</v>
      </c>
      <c r="G17" s="19">
        <f t="shared" ref="G17:G19" si="3">C17-D17</f>
        <v>50790303</v>
      </c>
      <c r="H17" s="26"/>
    </row>
    <row r="18" spans="1:8" s="2" customFormat="1" ht="22.15" customHeight="1" x14ac:dyDescent="0.2">
      <c r="A18" s="20">
        <v>4</v>
      </c>
      <c r="B18" s="6" t="s">
        <v>35</v>
      </c>
      <c r="C18" s="34">
        <f>ROUND($C$7/$C$10,0)</f>
        <v>152370909</v>
      </c>
      <c r="D18" s="34">
        <f t="shared" si="0"/>
        <v>101580606</v>
      </c>
      <c r="E18" s="19">
        <f t="shared" si="1"/>
        <v>457112707.9333334</v>
      </c>
      <c r="F18" s="19">
        <f t="shared" si="2"/>
        <v>507903010.9333334</v>
      </c>
      <c r="G18" s="19">
        <f t="shared" si="3"/>
        <v>50790303</v>
      </c>
      <c r="H18" s="6"/>
    </row>
    <row r="19" spans="1:8" s="2" customFormat="1" ht="22.15" customHeight="1" x14ac:dyDescent="0.2">
      <c r="A19" s="20"/>
      <c r="B19" s="6" t="s">
        <v>36</v>
      </c>
      <c r="C19" s="34">
        <f>ROUND($C$7/$C$10,0)-25</f>
        <v>152370884</v>
      </c>
      <c r="D19" s="34">
        <f t="shared" si="0"/>
        <v>101580606</v>
      </c>
      <c r="E19" s="19">
        <f t="shared" si="1"/>
        <v>457112732.9333334</v>
      </c>
      <c r="F19" s="19">
        <f t="shared" si="2"/>
        <v>507903010.9333334</v>
      </c>
      <c r="G19" s="19">
        <f t="shared" si="3"/>
        <v>50790278</v>
      </c>
      <c r="H19" s="6"/>
    </row>
    <row r="20" spans="1:8" s="2" customFormat="1" ht="22.15" customHeight="1" x14ac:dyDescent="0.2">
      <c r="A20" s="33"/>
      <c r="B20" s="6" t="s">
        <v>42</v>
      </c>
      <c r="C20" s="36"/>
      <c r="D20" s="34">
        <f t="shared" si="0"/>
        <v>101580606</v>
      </c>
      <c r="E20" s="19"/>
      <c r="F20" s="19">
        <f t="shared" si="2"/>
        <v>507903010.9333334</v>
      </c>
      <c r="G20" s="37"/>
      <c r="H20" s="37">
        <f t="shared" ref="H20:H24" si="4">D20</f>
        <v>101580606</v>
      </c>
    </row>
    <row r="21" spans="1:8" s="2" customFormat="1" ht="22.15" customHeight="1" x14ac:dyDescent="0.2">
      <c r="A21" s="33"/>
      <c r="B21" s="6" t="s">
        <v>43</v>
      </c>
      <c r="C21" s="36"/>
      <c r="D21" s="34">
        <f t="shared" si="0"/>
        <v>101580606</v>
      </c>
      <c r="E21" s="19"/>
      <c r="F21" s="19">
        <f t="shared" si="2"/>
        <v>507903010.9333334</v>
      </c>
      <c r="G21" s="37"/>
      <c r="H21" s="37">
        <f t="shared" si="4"/>
        <v>101580606</v>
      </c>
    </row>
    <row r="22" spans="1:8" s="2" customFormat="1" ht="22.15" customHeight="1" x14ac:dyDescent="0.2">
      <c r="A22" s="33"/>
      <c r="B22" s="6" t="s">
        <v>47</v>
      </c>
      <c r="C22" s="36"/>
      <c r="D22" s="34">
        <f t="shared" si="0"/>
        <v>101580606</v>
      </c>
      <c r="E22" s="19"/>
      <c r="F22" s="19">
        <f t="shared" si="2"/>
        <v>507903010.9333334</v>
      </c>
      <c r="G22" s="22"/>
      <c r="H22" s="37">
        <f>D22</f>
        <v>101580606</v>
      </c>
    </row>
    <row r="23" spans="1:8" s="2" customFormat="1" ht="22.15" customHeight="1" x14ac:dyDescent="0.2">
      <c r="A23" s="33"/>
      <c r="B23" s="6" t="s">
        <v>48</v>
      </c>
      <c r="C23" s="36"/>
      <c r="D23" s="34">
        <f t="shared" si="0"/>
        <v>101580606</v>
      </c>
      <c r="E23" s="19"/>
      <c r="F23" s="19">
        <f t="shared" si="2"/>
        <v>507903010.9333334</v>
      </c>
      <c r="G23" s="22"/>
      <c r="H23" s="37">
        <f t="shared" si="4"/>
        <v>101580606</v>
      </c>
    </row>
    <row r="24" spans="1:8" s="2" customFormat="1" ht="22.15" customHeight="1" x14ac:dyDescent="0.2">
      <c r="A24" s="33"/>
      <c r="B24" s="6" t="s">
        <v>49</v>
      </c>
      <c r="C24" s="22"/>
      <c r="D24" s="34">
        <f t="shared" si="0"/>
        <v>101580606</v>
      </c>
      <c r="E24" s="19"/>
      <c r="F24" s="19">
        <f t="shared" si="2"/>
        <v>507903010.9333334</v>
      </c>
      <c r="G24" s="22"/>
      <c r="H24" s="37">
        <f t="shared" si="4"/>
        <v>101580606</v>
      </c>
    </row>
    <row r="25" spans="1:8" s="2" customFormat="1" ht="22.15" customHeight="1" x14ac:dyDescent="0.2">
      <c r="A25" s="39" t="s">
        <v>19</v>
      </c>
      <c r="B25" s="40"/>
      <c r="C25" s="35">
        <f>SUM(C16:C24)</f>
        <v>609483611</v>
      </c>
      <c r="D25" s="35">
        <f>SUM(D16:D24)</f>
        <v>914225454</v>
      </c>
      <c r="E25" s="24"/>
      <c r="F25" s="24"/>
      <c r="G25" s="24">
        <f>SUM(G15:G24)</f>
        <v>253951490</v>
      </c>
      <c r="H25" s="24">
        <f>SUM(H15:H24)</f>
        <v>507903030</v>
      </c>
    </row>
    <row r="26" spans="1:8" s="2" customFormat="1" ht="22.15" customHeight="1" x14ac:dyDescent="0.2">
      <c r="H26" s="14">
        <f>G25-H25</f>
        <v>-253951540</v>
      </c>
    </row>
    <row r="27" spans="1:8" s="2" customFormat="1" ht="22.15" customHeight="1" x14ac:dyDescent="0.2">
      <c r="G27" s="14"/>
    </row>
    <row r="28" spans="1:8" s="2" customFormat="1" ht="22.15" customHeight="1" x14ac:dyDescent="0.2">
      <c r="G28" s="14"/>
    </row>
    <row r="29" spans="1:8" s="2" customFormat="1" ht="22.15" customHeight="1" x14ac:dyDescent="0.2"/>
    <row r="30" spans="1:8" x14ac:dyDescent="0.2">
      <c r="F30" s="43" t="s">
        <v>22</v>
      </c>
      <c r="G30" s="43"/>
    </row>
    <row r="31" spans="1:8" x14ac:dyDescent="0.2">
      <c r="F31" s="43" t="s">
        <v>24</v>
      </c>
      <c r="G31" s="43"/>
    </row>
  </sheetData>
  <mergeCells count="15">
    <mergeCell ref="H13:H14"/>
    <mergeCell ref="C7:D7"/>
    <mergeCell ref="C8:D8"/>
    <mergeCell ref="C10:D10"/>
    <mergeCell ref="C11:D11"/>
    <mergeCell ref="C13:D13"/>
    <mergeCell ref="E13:F13"/>
    <mergeCell ref="G13:G14"/>
    <mergeCell ref="A25:B25"/>
    <mergeCell ref="C9:D9"/>
    <mergeCell ref="B4:G4"/>
    <mergeCell ref="F30:G30"/>
    <mergeCell ref="F31:G31"/>
    <mergeCell ref="A13:A14"/>
    <mergeCell ref="B13:B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15FF-050B-4EEB-8472-FF00F3B5CE04}">
  <dimension ref="A1:H34"/>
  <sheetViews>
    <sheetView topLeftCell="A7" workbookViewId="0">
      <selection sqref="A1:XFD4"/>
    </sheetView>
  </sheetViews>
  <sheetFormatPr defaultRowHeight="14.25" x14ac:dyDescent="0.2"/>
  <cols>
    <col min="1" max="1" width="4.375" customWidth="1"/>
    <col min="2" max="2" width="23.25" customWidth="1"/>
    <col min="3" max="3" width="12.75" customWidth="1"/>
    <col min="4" max="4" width="12.625" customWidth="1"/>
    <col min="5" max="5" width="12.375" customWidth="1"/>
    <col min="6" max="6" width="14" customWidth="1"/>
    <col min="7" max="7" width="12.25" customWidth="1"/>
    <col min="8" max="8" width="13" customWidth="1"/>
  </cols>
  <sheetData>
    <row r="1" spans="1:8" x14ac:dyDescent="0.2">
      <c r="B1" t="str">
        <f>'THONG TIN'!C3</f>
        <v>Công ty TNHH thương mại dịch vụ vận tải xây dựng Phúc Minh</v>
      </c>
    </row>
    <row r="2" spans="1:8" x14ac:dyDescent="0.2">
      <c r="B2" t="s">
        <v>45</v>
      </c>
      <c r="C2">
        <f>'THONG TIN'!C5</f>
        <v>2100327612</v>
      </c>
    </row>
    <row r="4" spans="1:8" s="2" customFormat="1" ht="22.15" customHeight="1" x14ac:dyDescent="0.2">
      <c r="B4" s="42" t="s">
        <v>18</v>
      </c>
      <c r="C4" s="42"/>
      <c r="D4" s="42"/>
      <c r="E4" s="42"/>
      <c r="F4" s="42"/>
      <c r="G4" s="42"/>
    </row>
    <row r="5" spans="1:8" s="2" customFormat="1" ht="22.15" customHeight="1" x14ac:dyDescent="0.2">
      <c r="B5" s="29"/>
      <c r="C5" s="29"/>
      <c r="D5" s="29"/>
      <c r="E5" s="29"/>
      <c r="F5" s="29"/>
      <c r="G5" s="29"/>
    </row>
    <row r="6" spans="1:8" s="2" customFormat="1" ht="22.15" customHeight="1" x14ac:dyDescent="0.2">
      <c r="B6" s="31" t="s">
        <v>27</v>
      </c>
      <c r="C6" s="32" t="s">
        <v>46</v>
      </c>
      <c r="D6" s="29"/>
      <c r="E6" s="29"/>
      <c r="F6" s="29"/>
      <c r="G6" s="29"/>
    </row>
    <row r="7" spans="1:8" s="2" customFormat="1" ht="22.15" customHeight="1" x14ac:dyDescent="0.2">
      <c r="B7" s="31" t="s">
        <v>12</v>
      </c>
      <c r="C7" s="41">
        <v>1762534546</v>
      </c>
      <c r="D7" s="41"/>
      <c r="E7" s="29"/>
      <c r="F7" s="29"/>
      <c r="G7" s="29"/>
    </row>
    <row r="8" spans="1:8" s="2" customFormat="1" ht="22.15" customHeight="1" x14ac:dyDescent="0.2">
      <c r="B8" s="31" t="s">
        <v>25</v>
      </c>
      <c r="C8" s="45">
        <v>44531</v>
      </c>
      <c r="D8" s="45"/>
      <c r="E8" s="29"/>
      <c r="F8" s="29"/>
      <c r="G8" s="29"/>
    </row>
    <row r="9" spans="1:8" s="2" customFormat="1" ht="22.15" customHeight="1" x14ac:dyDescent="0.2">
      <c r="B9" s="31" t="s">
        <v>44</v>
      </c>
      <c r="C9" s="41">
        <v>1209294536.9333334</v>
      </c>
      <c r="D9" s="41"/>
      <c r="E9" s="29"/>
      <c r="F9" s="29"/>
      <c r="G9" s="29"/>
    </row>
    <row r="10" spans="1:8" s="2" customFormat="1" ht="22.15" customHeight="1" x14ac:dyDescent="0.2">
      <c r="B10" s="31" t="s">
        <v>37</v>
      </c>
      <c r="C10" s="41">
        <v>10</v>
      </c>
      <c r="D10" s="41"/>
      <c r="E10" s="30" t="s">
        <v>38</v>
      </c>
      <c r="F10" s="29"/>
      <c r="G10" s="29"/>
    </row>
    <row r="11" spans="1:8" s="2" customFormat="1" ht="22.15" customHeight="1" x14ac:dyDescent="0.2">
      <c r="B11" s="31" t="s">
        <v>39</v>
      </c>
      <c r="C11" s="41">
        <v>15</v>
      </c>
      <c r="D11" s="41"/>
      <c r="E11" s="30" t="s">
        <v>38</v>
      </c>
      <c r="F11" s="29"/>
      <c r="G11" s="29"/>
    </row>
    <row r="12" spans="1:8" s="2" customFormat="1" ht="22.15" customHeight="1" x14ac:dyDescent="0.2"/>
    <row r="13" spans="1:8" s="2" customFormat="1" ht="22.15" customHeight="1" x14ac:dyDescent="0.2">
      <c r="A13" s="46" t="s">
        <v>7</v>
      </c>
      <c r="B13" s="46" t="s">
        <v>29</v>
      </c>
      <c r="C13" s="46" t="s">
        <v>40</v>
      </c>
      <c r="D13" s="46"/>
      <c r="E13" s="46" t="s">
        <v>41</v>
      </c>
      <c r="F13" s="46"/>
      <c r="G13" s="44" t="s">
        <v>31</v>
      </c>
      <c r="H13" s="44" t="s">
        <v>32</v>
      </c>
    </row>
    <row r="14" spans="1:8" s="2" customFormat="1" ht="22.15" customHeight="1" x14ac:dyDescent="0.2">
      <c r="A14" s="46"/>
      <c r="B14" s="46"/>
      <c r="C14" s="15" t="s">
        <v>14</v>
      </c>
      <c r="D14" s="15" t="s">
        <v>15</v>
      </c>
      <c r="E14" s="15" t="s">
        <v>14</v>
      </c>
      <c r="F14" s="15" t="s">
        <v>15</v>
      </c>
      <c r="G14" s="44"/>
      <c r="H14" s="44"/>
    </row>
    <row r="15" spans="1:8" s="2" customFormat="1" ht="22.15" customHeight="1" x14ac:dyDescent="0.2">
      <c r="A15" s="18">
        <v>1</v>
      </c>
      <c r="B15" s="16" t="s">
        <v>30</v>
      </c>
      <c r="C15" s="17">
        <f>ROUND($C$7/$C$10,0)</f>
        <v>176253455</v>
      </c>
      <c r="D15" s="17">
        <f t="shared" ref="D15:D27" si="0">ROUND($C$7/$C$11,0)</f>
        <v>117502303</v>
      </c>
      <c r="E15" s="19"/>
      <c r="F15" s="19"/>
      <c r="G15" s="17">
        <f>C15-D15</f>
        <v>58751152</v>
      </c>
      <c r="H15" s="25"/>
    </row>
    <row r="16" spans="1:8" s="2" customFormat="1" ht="22.15" customHeight="1" x14ac:dyDescent="0.2">
      <c r="A16" s="20">
        <v>2</v>
      </c>
      <c r="B16" s="6" t="s">
        <v>33</v>
      </c>
      <c r="C16" s="34">
        <f>ROUND($C$7/$C$10,0)</f>
        <v>176253455</v>
      </c>
      <c r="D16" s="34">
        <f t="shared" si="0"/>
        <v>117502303</v>
      </c>
      <c r="E16" s="19">
        <f>$C$9-C16</f>
        <v>1033041081.9333334</v>
      </c>
      <c r="F16" s="19">
        <f>$C$9-D16</f>
        <v>1091792233.9333334</v>
      </c>
      <c r="G16" s="19">
        <f>C16-D16</f>
        <v>58751152</v>
      </c>
      <c r="H16" s="26"/>
    </row>
    <row r="17" spans="1:8" s="2" customFormat="1" ht="22.15" customHeight="1" x14ac:dyDescent="0.2">
      <c r="A17" s="20">
        <v>3</v>
      </c>
      <c r="B17" s="6" t="s">
        <v>34</v>
      </c>
      <c r="C17" s="34">
        <f>ROUND($C$7/$C$10,0)</f>
        <v>176253455</v>
      </c>
      <c r="D17" s="34">
        <f t="shared" si="0"/>
        <v>117502303</v>
      </c>
      <c r="E17" s="19">
        <f>E16-C17</f>
        <v>856787626.9333334</v>
      </c>
      <c r="F17" s="19">
        <f>F16-D17</f>
        <v>974289930.9333334</v>
      </c>
      <c r="G17" s="19">
        <f t="shared" ref="G17:G27" si="1">C17-D17</f>
        <v>58751152</v>
      </c>
      <c r="H17" s="26"/>
    </row>
    <row r="18" spans="1:8" s="2" customFormat="1" ht="22.15" customHeight="1" x14ac:dyDescent="0.2">
      <c r="A18" s="20">
        <v>4</v>
      </c>
      <c r="B18" s="6" t="s">
        <v>35</v>
      </c>
      <c r="C18" s="34">
        <f>ROUND($C$7/$C$10,0)</f>
        <v>176253455</v>
      </c>
      <c r="D18" s="34">
        <f t="shared" si="0"/>
        <v>117502303</v>
      </c>
      <c r="E18" s="19">
        <f>E17-C18</f>
        <v>680534171.9333334</v>
      </c>
      <c r="F18" s="19">
        <f t="shared" ref="E18:F26" si="2">F17-D18</f>
        <v>856787627.9333334</v>
      </c>
      <c r="G18" s="19">
        <f t="shared" si="1"/>
        <v>58751152</v>
      </c>
      <c r="H18" s="6"/>
    </row>
    <row r="19" spans="1:8" s="2" customFormat="1" ht="22.15" customHeight="1" x14ac:dyDescent="0.2">
      <c r="A19" s="20"/>
      <c r="B19" s="6" t="s">
        <v>36</v>
      </c>
      <c r="C19" s="34">
        <f t="shared" ref="C19:C22" si="3">ROUND($C$7/$C$10,0)</f>
        <v>176253455</v>
      </c>
      <c r="D19" s="34">
        <f t="shared" si="0"/>
        <v>117502303</v>
      </c>
      <c r="E19" s="19">
        <f t="shared" ref="E19:E22" si="4">E18-C19</f>
        <v>504280716.9333334</v>
      </c>
      <c r="F19" s="19">
        <f t="shared" ref="F19:F27" si="5">F18-D19</f>
        <v>739285324.9333334</v>
      </c>
      <c r="G19" s="19">
        <f t="shared" si="1"/>
        <v>58751152</v>
      </c>
      <c r="H19" s="6"/>
    </row>
    <row r="20" spans="1:8" s="2" customFormat="1" ht="22.15" customHeight="1" x14ac:dyDescent="0.2">
      <c r="A20" s="20"/>
      <c r="B20" s="6" t="s">
        <v>42</v>
      </c>
      <c r="C20" s="34">
        <f t="shared" si="3"/>
        <v>176253455</v>
      </c>
      <c r="D20" s="34">
        <f t="shared" si="0"/>
        <v>117502303</v>
      </c>
      <c r="E20" s="19">
        <f t="shared" si="4"/>
        <v>328027261.9333334</v>
      </c>
      <c r="F20" s="19">
        <f t="shared" si="5"/>
        <v>621783021.9333334</v>
      </c>
      <c r="G20" s="19">
        <f t="shared" si="1"/>
        <v>58751152</v>
      </c>
      <c r="H20" s="6"/>
    </row>
    <row r="21" spans="1:8" s="2" customFormat="1" ht="22.15" customHeight="1" x14ac:dyDescent="0.2">
      <c r="A21" s="20"/>
      <c r="B21" s="6" t="s">
        <v>43</v>
      </c>
      <c r="C21" s="34">
        <f t="shared" si="3"/>
        <v>176253455</v>
      </c>
      <c r="D21" s="34">
        <f t="shared" si="0"/>
        <v>117502303</v>
      </c>
      <c r="E21" s="19">
        <f t="shared" si="4"/>
        <v>151773806.9333334</v>
      </c>
      <c r="F21" s="19">
        <f t="shared" si="5"/>
        <v>504280718.9333334</v>
      </c>
      <c r="G21" s="19">
        <f t="shared" si="1"/>
        <v>58751152</v>
      </c>
      <c r="H21" s="6"/>
    </row>
    <row r="22" spans="1:8" s="2" customFormat="1" ht="22.15" customHeight="1" x14ac:dyDescent="0.2">
      <c r="A22" s="20"/>
      <c r="B22" s="6" t="s">
        <v>47</v>
      </c>
      <c r="C22" s="34">
        <f t="shared" si="3"/>
        <v>176253455</v>
      </c>
      <c r="D22" s="34">
        <f t="shared" si="0"/>
        <v>117502303</v>
      </c>
      <c r="E22" s="19">
        <f t="shared" si="4"/>
        <v>-24479648.066666603</v>
      </c>
      <c r="F22" s="19">
        <f t="shared" si="5"/>
        <v>386778415.9333334</v>
      </c>
      <c r="G22" s="19">
        <f t="shared" si="1"/>
        <v>58751152</v>
      </c>
      <c r="H22" s="6"/>
    </row>
    <row r="23" spans="1:8" s="2" customFormat="1" ht="22.15" customHeight="1" x14ac:dyDescent="0.2">
      <c r="A23" s="33"/>
      <c r="B23" s="6" t="s">
        <v>48</v>
      </c>
      <c r="C23" s="36"/>
      <c r="D23" s="34">
        <f t="shared" si="0"/>
        <v>117502303</v>
      </c>
      <c r="E23" s="37"/>
      <c r="F23" s="19">
        <f t="shared" si="5"/>
        <v>269276112.9333334</v>
      </c>
      <c r="G23" s="19">
        <f t="shared" si="1"/>
        <v>-117502303</v>
      </c>
      <c r="H23" s="37">
        <f t="shared" ref="H23:H24" si="6">D23</f>
        <v>117502303</v>
      </c>
    </row>
    <row r="24" spans="1:8" s="2" customFormat="1" ht="22.15" customHeight="1" x14ac:dyDescent="0.2">
      <c r="A24" s="33"/>
      <c r="B24" s="6" t="s">
        <v>49</v>
      </c>
      <c r="C24" s="36"/>
      <c r="D24" s="34">
        <f t="shared" si="0"/>
        <v>117502303</v>
      </c>
      <c r="E24" s="37"/>
      <c r="F24" s="19">
        <f t="shared" si="5"/>
        <v>151773809.9333334</v>
      </c>
      <c r="G24" s="19">
        <f t="shared" si="1"/>
        <v>-117502303</v>
      </c>
      <c r="H24" s="37">
        <f t="shared" si="6"/>
        <v>117502303</v>
      </c>
    </row>
    <row r="25" spans="1:8" s="2" customFormat="1" ht="22.15" customHeight="1" x14ac:dyDescent="0.2">
      <c r="A25" s="33"/>
      <c r="B25" s="6" t="s">
        <v>50</v>
      </c>
      <c r="C25" s="36"/>
      <c r="D25" s="34">
        <f t="shared" si="0"/>
        <v>117502303</v>
      </c>
      <c r="E25" s="37"/>
      <c r="F25" s="19">
        <f t="shared" si="5"/>
        <v>34271506.933333397</v>
      </c>
      <c r="G25" s="19">
        <f t="shared" si="1"/>
        <v>-117502303</v>
      </c>
      <c r="H25" s="37">
        <f>D25</f>
        <v>117502303</v>
      </c>
    </row>
    <row r="26" spans="1:8" s="2" customFormat="1" ht="22.15" customHeight="1" x14ac:dyDescent="0.2">
      <c r="A26" s="33"/>
      <c r="B26" s="6" t="s">
        <v>51</v>
      </c>
      <c r="C26" s="36"/>
      <c r="D26" s="34">
        <f t="shared" si="0"/>
        <v>117502303</v>
      </c>
      <c r="E26" s="37"/>
      <c r="F26" s="19">
        <f t="shared" si="5"/>
        <v>-83230796.066666603</v>
      </c>
      <c r="G26" s="19">
        <f t="shared" si="1"/>
        <v>-117502303</v>
      </c>
      <c r="H26" s="37">
        <f t="shared" ref="H26:H27" si="7">D26</f>
        <v>117502303</v>
      </c>
    </row>
    <row r="27" spans="1:8" s="2" customFormat="1" ht="22.15" customHeight="1" x14ac:dyDescent="0.2">
      <c r="A27" s="33"/>
      <c r="B27" s="6" t="s">
        <v>52</v>
      </c>
      <c r="C27" s="22"/>
      <c r="D27" s="34">
        <f t="shared" si="0"/>
        <v>117502303</v>
      </c>
      <c r="E27" s="22"/>
      <c r="F27" s="19">
        <f t="shared" si="5"/>
        <v>-200733099.0666666</v>
      </c>
      <c r="G27" s="19">
        <f t="shared" si="1"/>
        <v>-117502303</v>
      </c>
      <c r="H27" s="37">
        <f t="shared" si="7"/>
        <v>117502303</v>
      </c>
    </row>
    <row r="28" spans="1:8" s="2" customFormat="1" ht="22.15" customHeight="1" x14ac:dyDescent="0.2">
      <c r="A28" s="39" t="s">
        <v>19</v>
      </c>
      <c r="B28" s="40"/>
      <c r="C28" s="35">
        <f>SUM(C16:C27)</f>
        <v>1233774185</v>
      </c>
      <c r="D28" s="35">
        <f>SUM(D16:D27)</f>
        <v>1410027636</v>
      </c>
      <c r="E28" s="24"/>
      <c r="F28" s="24"/>
      <c r="G28" s="24">
        <f>SUM(G15:G27)</f>
        <v>-117502299</v>
      </c>
      <c r="H28" s="24">
        <f>SUM(H15:H27)</f>
        <v>587511515</v>
      </c>
    </row>
    <row r="29" spans="1:8" s="2" customFormat="1" ht="22.15" customHeight="1" x14ac:dyDescent="0.2">
      <c r="H29" s="14">
        <f>G28-H28</f>
        <v>-705013814</v>
      </c>
    </row>
    <row r="30" spans="1:8" s="2" customFormat="1" ht="22.15" customHeight="1" x14ac:dyDescent="0.2">
      <c r="G30" s="14"/>
    </row>
    <row r="31" spans="1:8" s="2" customFormat="1" ht="22.15" customHeight="1" x14ac:dyDescent="0.2">
      <c r="G31" s="14"/>
    </row>
    <row r="32" spans="1:8" s="2" customFormat="1" ht="22.15" customHeight="1" x14ac:dyDescent="0.2"/>
    <row r="33" spans="6:7" x14ac:dyDescent="0.2">
      <c r="F33" s="43" t="s">
        <v>22</v>
      </c>
      <c r="G33" s="43"/>
    </row>
    <row r="34" spans="6:7" x14ac:dyDescent="0.2">
      <c r="F34" s="43" t="s">
        <v>24</v>
      </c>
      <c r="G34" s="43"/>
    </row>
  </sheetData>
  <mergeCells count="15">
    <mergeCell ref="A28:B28"/>
    <mergeCell ref="F33:G33"/>
    <mergeCell ref="F34:G34"/>
    <mergeCell ref="A13:A14"/>
    <mergeCell ref="B13:B14"/>
    <mergeCell ref="C13:D13"/>
    <mergeCell ref="E13:F13"/>
    <mergeCell ref="G13:G14"/>
    <mergeCell ref="H13:H14"/>
    <mergeCell ref="B4:G4"/>
    <mergeCell ref="C7:D7"/>
    <mergeCell ref="C8:D8"/>
    <mergeCell ref="C9:D9"/>
    <mergeCell ref="C10:D10"/>
    <mergeCell ref="C11:D1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6245-E7F8-48B2-87F5-FC72DDDE385B}">
  <dimension ref="A3:L19"/>
  <sheetViews>
    <sheetView tabSelected="1" topLeftCell="A3" workbookViewId="0">
      <selection activeCell="D10" sqref="D10"/>
    </sheetView>
  </sheetViews>
  <sheetFormatPr defaultRowHeight="14.25" x14ac:dyDescent="0.2"/>
  <cols>
    <col min="1" max="1" width="4.375" customWidth="1"/>
    <col min="2" max="2" width="21.375" customWidth="1"/>
    <col min="3" max="3" width="13.75" customWidth="1"/>
    <col min="4" max="4" width="10.875" customWidth="1"/>
    <col min="5" max="5" width="7.875" customWidth="1"/>
    <col min="6" max="6" width="7.625" customWidth="1"/>
    <col min="7" max="7" width="12.375" customWidth="1"/>
    <col min="8" max="8" width="14" customWidth="1"/>
    <col min="9" max="9" width="13.5" customWidth="1"/>
    <col min="10" max="10" width="14.125" customWidth="1"/>
    <col min="11" max="11" width="12.625" bestFit="1" customWidth="1"/>
    <col min="12" max="12" width="13.75" bestFit="1" customWidth="1"/>
  </cols>
  <sheetData>
    <row r="3" spans="1:12" s="2" customFormat="1" ht="22.15" customHeight="1" x14ac:dyDescent="0.2">
      <c r="B3" s="42" t="s">
        <v>18</v>
      </c>
      <c r="C3" s="42"/>
      <c r="D3" s="42"/>
      <c r="E3" s="42"/>
      <c r="F3" s="42"/>
      <c r="G3" s="42"/>
      <c r="H3" s="42"/>
      <c r="I3" s="42"/>
    </row>
    <row r="4" spans="1:12" s="2" customFormat="1" ht="22.15" customHeight="1" x14ac:dyDescent="0.2"/>
    <row r="5" spans="1:12" s="2" customFormat="1" ht="22.15" customHeight="1" x14ac:dyDescent="0.2">
      <c r="A5" s="46" t="s">
        <v>7</v>
      </c>
      <c r="B5" s="46" t="s">
        <v>8</v>
      </c>
      <c r="C5" s="46" t="s">
        <v>12</v>
      </c>
      <c r="D5" s="46" t="s">
        <v>25</v>
      </c>
      <c r="E5" s="46" t="s">
        <v>13</v>
      </c>
      <c r="F5" s="46"/>
      <c r="G5" s="46" t="s">
        <v>17</v>
      </c>
      <c r="H5" s="46"/>
      <c r="I5" s="44" t="s">
        <v>16</v>
      </c>
      <c r="J5" s="44" t="s">
        <v>26</v>
      </c>
    </row>
    <row r="6" spans="1:12" s="2" customFormat="1" ht="22.15" customHeight="1" x14ac:dyDescent="0.2">
      <c r="A6" s="46"/>
      <c r="B6" s="46"/>
      <c r="C6" s="46"/>
      <c r="D6" s="46"/>
      <c r="E6" s="15" t="s">
        <v>14</v>
      </c>
      <c r="F6" s="15" t="s">
        <v>15</v>
      </c>
      <c r="G6" s="15" t="s">
        <v>14</v>
      </c>
      <c r="H6" s="15" t="s">
        <v>15</v>
      </c>
      <c r="I6" s="44"/>
      <c r="J6" s="44"/>
    </row>
    <row r="7" spans="1:12" s="2" customFormat="1" ht="22.15" customHeight="1" x14ac:dyDescent="0.2">
      <c r="A7" s="18">
        <v>1</v>
      </c>
      <c r="B7" s="16" t="s">
        <v>9</v>
      </c>
      <c r="C7" s="17">
        <v>1490964637</v>
      </c>
      <c r="D7" s="27">
        <v>42248</v>
      </c>
      <c r="E7" s="18">
        <v>10</v>
      </c>
      <c r="F7" s="18">
        <v>15</v>
      </c>
      <c r="G7" s="17">
        <f>ROUND(C7/10,0)</f>
        <v>149096464</v>
      </c>
      <c r="H7" s="17">
        <f>ROUND(C7/F7,0)</f>
        <v>99397642</v>
      </c>
      <c r="I7" s="17">
        <f>G7-H7</f>
        <v>49698822</v>
      </c>
      <c r="J7" s="25">
        <f>D7+10*365</f>
        <v>45898</v>
      </c>
      <c r="K7" s="49">
        <f>I7/12</f>
        <v>4141568.5</v>
      </c>
      <c r="L7" s="51">
        <f>K7*4</f>
        <v>16566274</v>
      </c>
    </row>
    <row r="8" spans="1:12" s="2" customFormat="1" ht="22.15" customHeight="1" x14ac:dyDescent="0.2">
      <c r="A8" s="20">
        <v>2</v>
      </c>
      <c r="B8" s="6" t="s">
        <v>10</v>
      </c>
      <c r="C8" s="19">
        <v>1523709091</v>
      </c>
      <c r="D8" s="28">
        <v>43252</v>
      </c>
      <c r="E8" s="20">
        <v>10</v>
      </c>
      <c r="F8" s="20">
        <v>15</v>
      </c>
      <c r="G8" s="19">
        <f t="shared" ref="G8:G9" si="0">ROUND(C8/10,0)</f>
        <v>152370909</v>
      </c>
      <c r="H8" s="19">
        <f t="shared" ref="H8:H9" si="1">ROUND(C8/F8,0)</f>
        <v>101580606</v>
      </c>
      <c r="I8" s="19">
        <f t="shared" ref="I8:I9" si="2">G8-H8</f>
        <v>50790303</v>
      </c>
      <c r="J8" s="26">
        <f>D8+365*10</f>
        <v>46902</v>
      </c>
    </row>
    <row r="9" spans="1:12" s="2" customFormat="1" ht="22.15" customHeight="1" x14ac:dyDescent="0.2">
      <c r="A9" s="20">
        <v>3</v>
      </c>
      <c r="B9" s="6" t="s">
        <v>11</v>
      </c>
      <c r="C9" s="19">
        <v>1762534546</v>
      </c>
      <c r="D9" s="28">
        <v>44531</v>
      </c>
      <c r="E9" s="20">
        <v>10</v>
      </c>
      <c r="F9" s="20">
        <v>15</v>
      </c>
      <c r="G9" s="19">
        <f t="shared" si="0"/>
        <v>176253455</v>
      </c>
      <c r="H9" s="19">
        <f t="shared" si="1"/>
        <v>117502303</v>
      </c>
      <c r="I9" s="19">
        <f t="shared" si="2"/>
        <v>58751152</v>
      </c>
      <c r="J9" s="26">
        <f>D9+365*10</f>
        <v>48181</v>
      </c>
    </row>
    <row r="10" spans="1:12" s="2" customFormat="1" ht="22.1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2" s="2" customFormat="1" ht="22.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2" s="2" customFormat="1" ht="22.15" customHeight="1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1"/>
    </row>
    <row r="13" spans="1:12" s="2" customFormat="1" ht="22.15" customHeight="1" x14ac:dyDescent="0.2">
      <c r="A13" s="39" t="s">
        <v>19</v>
      </c>
      <c r="B13" s="40"/>
      <c r="C13" s="40"/>
      <c r="D13" s="40"/>
      <c r="E13" s="40"/>
      <c r="F13" s="47"/>
      <c r="G13" s="24">
        <f>SUM(G7:G12)</f>
        <v>477720828</v>
      </c>
      <c r="H13" s="24">
        <f>SUM(H7:H12)</f>
        <v>318480551</v>
      </c>
      <c r="I13" s="24">
        <f>SUM(I7:I12)</f>
        <v>159240277</v>
      </c>
      <c r="J13" s="23"/>
    </row>
    <row r="14" spans="1:12" s="2" customFormat="1" ht="22.15" customHeight="1" x14ac:dyDescent="0.2"/>
    <row r="15" spans="1:12" s="2" customFormat="1" ht="22.15" customHeight="1" x14ac:dyDescent="0.2">
      <c r="B15" s="2" t="s">
        <v>20</v>
      </c>
      <c r="I15" s="14"/>
    </row>
    <row r="16" spans="1:12" s="2" customFormat="1" ht="22.15" customHeight="1" x14ac:dyDescent="0.2">
      <c r="B16" s="2" t="s">
        <v>21</v>
      </c>
      <c r="I16" s="14"/>
    </row>
    <row r="17" spans="3:9" s="2" customFormat="1" ht="22.15" customHeight="1" x14ac:dyDescent="0.2"/>
    <row r="18" spans="3:9" x14ac:dyDescent="0.2">
      <c r="H18" s="43" t="s">
        <v>53</v>
      </c>
      <c r="I18" s="43"/>
    </row>
    <row r="19" spans="3:9" x14ac:dyDescent="0.2">
      <c r="C19" s="1" t="s">
        <v>23</v>
      </c>
      <c r="D19" s="1"/>
      <c r="H19" s="43" t="s">
        <v>24</v>
      </c>
      <c r="I19" s="43"/>
    </row>
  </sheetData>
  <mergeCells count="12">
    <mergeCell ref="J5:J6"/>
    <mergeCell ref="A13:F13"/>
    <mergeCell ref="H18:I18"/>
    <mergeCell ref="H19:I19"/>
    <mergeCell ref="B3:I3"/>
    <mergeCell ref="A5:A6"/>
    <mergeCell ref="B5:B6"/>
    <mergeCell ref="C5:C6"/>
    <mergeCell ref="D5:D6"/>
    <mergeCell ref="E5:F5"/>
    <mergeCell ref="G5:H5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THONG TIN</vt:lpstr>
      <vt:lpstr>84C-03313</vt:lpstr>
      <vt:lpstr>84C-06125</vt:lpstr>
      <vt:lpstr>84C-00508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THIEN THUAT</dc:creator>
  <cp:lastModifiedBy>Tường Vy Nguyễn Thị</cp:lastModifiedBy>
  <dcterms:created xsi:type="dcterms:W3CDTF">2026-03-19T02:43:08Z</dcterms:created>
  <dcterms:modified xsi:type="dcterms:W3CDTF">2026-03-29T13:57:12Z</dcterms:modified>
</cp:coreProperties>
</file>