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0370" yWindow="-120" windowWidth="20730" windowHeight="11760" activeTab="4"/>
  </bookViews>
  <sheets>
    <sheet name="bao cao 2023" sheetId="3" r:id="rId1"/>
    <sheet name="GT Q1" sheetId="1" r:id="rId2"/>
    <sheet name="GT Q2" sheetId="5" r:id="rId3"/>
    <sheet name="GT Q3" sheetId="6" r:id="rId4"/>
    <sheet name="GT Q4" sheetId="7" r:id="rId5"/>
  </sheets>
  <calcPr calcId="144525"/>
</workbook>
</file>

<file path=xl/calcChain.xml><?xml version="1.0" encoding="utf-8"?>
<calcChain xmlns="http://schemas.openxmlformats.org/spreadsheetml/2006/main">
  <c r="C24" i="7" l="1"/>
  <c r="C24" i="6"/>
  <c r="C24" i="5"/>
  <c r="C24" i="1"/>
  <c r="C21" i="3"/>
  <c r="C23" i="3" s="1"/>
  <c r="C22" i="3"/>
  <c r="C20" i="3"/>
  <c r="C17" i="3"/>
  <c r="C18" i="3"/>
  <c r="C16" i="3"/>
  <c r="C13" i="3"/>
  <c r="C15" i="3" s="1"/>
  <c r="C14" i="3"/>
  <c r="C12" i="3"/>
  <c r="C9" i="3"/>
  <c r="C11" i="3" s="1"/>
  <c r="C10" i="3"/>
  <c r="C8" i="3"/>
  <c r="D23" i="3"/>
  <c r="E23" i="3"/>
  <c r="F23" i="3"/>
  <c r="D19" i="3"/>
  <c r="E19" i="3"/>
  <c r="F19" i="3"/>
  <c r="D15" i="3"/>
  <c r="E15" i="3"/>
  <c r="F15" i="3"/>
  <c r="D11" i="3"/>
  <c r="E11" i="3"/>
  <c r="F11" i="3"/>
  <c r="C19" i="3" l="1"/>
  <c r="C24" i="3"/>
  <c r="F24" i="3"/>
  <c r="E24" i="3"/>
  <c r="D24" i="3"/>
  <c r="G19" i="7" l="1"/>
  <c r="G24" i="7"/>
  <c r="E24" i="7"/>
  <c r="E24" i="6"/>
  <c r="E24" i="5"/>
  <c r="E24" i="1"/>
  <c r="E10" i="7" l="1"/>
  <c r="F24" i="7" s="1"/>
  <c r="E10" i="6"/>
  <c r="F24" i="6" s="1"/>
  <c r="E10" i="5"/>
  <c r="F24" i="5" s="1"/>
  <c r="E10" i="1" l="1"/>
  <c r="F24" i="1" s="1"/>
</calcChain>
</file>

<file path=xl/sharedStrings.xml><?xml version="1.0" encoding="utf-8"?>
<sst xmlns="http://schemas.openxmlformats.org/spreadsheetml/2006/main" count="160" uniqueCount="65">
  <si>
    <t>4. Chi phí chung</t>
  </si>
  <si>
    <t>Mẫu số : S 25 - SKT/DNN</t>
  </si>
  <si>
    <t>Ban hành theo quyết định số</t>
  </si>
  <si>
    <t>của bộ tài chính</t>
  </si>
  <si>
    <t>THẺ TÍNH GIÁ THÀNH SẢN PHẨM</t>
  </si>
  <si>
    <t>Tháng 12/2015</t>
  </si>
  <si>
    <t>Khoản mục chi phí sản xuất kinh doanh</t>
  </si>
  <si>
    <t>Chi phí SXKD dở dang đầu kỳ</t>
  </si>
  <si>
    <t>Chi phí SXKD phát sinh trong kỳ</t>
  </si>
  <si>
    <t>Chi phí SXKD dở dang cuối kỳ</t>
  </si>
  <si>
    <t>Giá thành sản phẩm dịch vụ trong kỳ</t>
  </si>
  <si>
    <t xml:space="preserve">Giá thành </t>
  </si>
  <si>
    <t>Giá thành đơn vị</t>
  </si>
  <si>
    <t>1. Vật liệu</t>
  </si>
  <si>
    <t>2. Nhân công</t>
  </si>
  <si>
    <t>3. Máy</t>
  </si>
  <si>
    <t>Cộng</t>
  </si>
  <si>
    <t>Người ghi sổ</t>
  </si>
  <si>
    <t>Kế toán trưởng</t>
  </si>
  <si>
    <t>Giám đốc</t>
  </si>
  <si>
    <t>(Ký , họ tên)</t>
  </si>
  <si>
    <t>(Ký , họ tên,đóng dấu)</t>
  </si>
  <si>
    <t>Trụ sở chính:</t>
  </si>
  <si>
    <t>BẢNG BÁO CÁO SẢN LƯỢNG SẢN XUẤT VÀ TIÊU THỤ ĐIỆN SOLAR</t>
  </si>
  <si>
    <t xml:space="preserve">Công suất dự án : </t>
  </si>
  <si>
    <t>20 Kw</t>
  </si>
  <si>
    <t>Thời gian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</si>
  <si>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</si>
  <si>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</si>
  <si>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</si>
  <si>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</si>
  <si>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</si>
  <si>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</si>
  <si>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</si>
  <si>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</si>
  <si>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</si>
  <si>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</si>
  <si>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</si>
  <si>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</si>
  <si>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Sản lượng phát</t>
  </si>
  <si>
    <t>Sản lượng bán</t>
  </si>
  <si>
    <t>Sản lượng tiêu dùng</t>
  </si>
  <si>
    <t>Sản lượng phát bỏ</t>
  </si>
  <si>
    <t>Quý I</t>
  </si>
  <si>
    <t>Quý II</t>
  </si>
  <si>
    <t>Quý III</t>
  </si>
  <si>
    <t>Quý IV</t>
  </si>
  <si>
    <t>Hướng dẫn</t>
  </si>
  <si>
    <t>Sản lượng phát ghi số liệu từ phần mềm quản lý Solar</t>
  </si>
  <si>
    <t xml:space="preserve">Sản lượng phát bỏ ghi nhận điện lực không mua và những ngày cúp điện </t>
  </si>
  <si>
    <t xml:space="preserve">Sản lượng tiêu dùng là chênh lệch còn lại </t>
  </si>
  <si>
    <t>133/2016/TT-BTC ngày 14/06/2016</t>
  </si>
  <si>
    <t xml:space="preserve">Phương pháp tính giá thành : Giá thành thực tế </t>
  </si>
  <si>
    <t>Tên sản phẩm , dịch vụ : Điện năng lượng mặt trời</t>
  </si>
  <si>
    <t xml:space="preserve">Số lượng sản phẩm , dịch vụ hoàn thành trong kỳ : </t>
  </si>
  <si>
    <t>Sản lượng bán ghi số liệu từ cơ quan điện lực chốt sổ + SL nội suy đến cuối cuối tháng</t>
  </si>
  <si>
    <t>Tên doanh nghiệp:</t>
  </si>
  <si>
    <t>Cộng ty TNHH TM Sun Minh</t>
  </si>
  <si>
    <t>Ấp An Trại, Xã An Phú Tâ, Huyện Cầu Kè, Tỉnh Trà Vinh</t>
  </si>
  <si>
    <t>Tên DN:</t>
  </si>
  <si>
    <t>Công ty TNHH TM Sun Minh</t>
  </si>
  <si>
    <t>Ấp An Trại, Xã An Phú Tâ, Huyện Cầu Kè, Trà Vinh</t>
  </si>
  <si>
    <t>Năm 2023</t>
  </si>
  <si>
    <t>TỔNG</t>
  </si>
  <si>
    <t>treo 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</si>
</sst>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_₫_-;\-* #,##0.00\ _₫_-;_-* &quot;-&quot;??\ _₫_-;_-@_-"/>
    <numFmt numFmtId="165" formatCode="_(* #,##0_);_(* \(#,##0\);_(* &quot;-&quot;??_);_(@_)"/>
    <numFmt numFmtId="166" formatCode="_-* #,##0\ _₫_-;\-* #,##0\ _₫_-;_-* &quot;-&quot;??\ _₫_-;_-@_-"/>
  </numFmts>
  <fonts count="12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sz val="12"/>
      <color theme="1"/>
      <name val="Cambria"/>
      <family val="1"/>
      <scheme val="major"/>
    </font>
    <font>
      <b/>
      <sz val="10"/>
      <name val="Cambria"/>
      <family val="1"/>
      <scheme val="major"/>
    </font>
    <font>
      <i/>
      <sz val="10"/>
      <name val="Cambria"/>
      <family val="1"/>
      <scheme val="major"/>
    </font>
    <font>
      <b/>
      <sz val="14"/>
      <name val="Cambria"/>
      <family val="1"/>
      <scheme val="major"/>
    </font>
    <font>
      <sz val="10"/>
      <name val="Cambria"/>
      <family val="1"/>
      <scheme val="major"/>
    </font>
    <font>
      <i/>
      <sz val="8"/>
      <name val="Cambria"/>
      <family val="1"/>
      <scheme val="major"/>
    </font>
    <font>
      <sz val="8"/>
      <name val="Times New Roman"/>
      <family val="2"/>
      <charset val="163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FF0000"/>
      <name val="Times New Roman"/>
      <family val="2"/>
      <charset val="163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6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4" xfId="0" applyFont="1" applyBorder="1"/>
    <xf numFmtId="165" fontId="2" fillId="0" borderId="4" xfId="1" applyNumberFormat="1" applyFont="1" applyBorder="1"/>
    <xf numFmtId="0" fontId="2" fillId="0" borderId="5" xfId="0" applyFont="1" applyBorder="1"/>
    <xf numFmtId="165" fontId="2" fillId="0" borderId="5" xfId="1" applyNumberFormat="1" applyFont="1" applyBorder="1"/>
    <xf numFmtId="165" fontId="6" fillId="0" borderId="5" xfId="1" applyNumberFormat="1" applyFont="1" applyBorder="1" applyAlignment="1"/>
    <xf numFmtId="165" fontId="2" fillId="0" borderId="1" xfId="1" applyNumberFormat="1" applyFont="1" applyBorder="1" applyAlignment="1">
      <alignment vertical="center"/>
    </xf>
    <xf numFmtId="165" fontId="3" fillId="0" borderId="1" xfId="1" applyNumberFormat="1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165" fontId="6" fillId="0" borderId="0" xfId="1" applyNumberFormat="1" applyFont="1" applyBorder="1"/>
    <xf numFmtId="165" fontId="2" fillId="0" borderId="0" xfId="1" applyNumberFormat="1" applyFont="1" applyBorder="1"/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8" xfId="0" applyFont="1" applyBorder="1"/>
    <xf numFmtId="165" fontId="2" fillId="0" borderId="8" xfId="1" applyNumberFormat="1" applyFont="1" applyBorder="1"/>
    <xf numFmtId="0" fontId="2" fillId="0" borderId="9" xfId="0" applyFont="1" applyBorder="1"/>
    <xf numFmtId="165" fontId="2" fillId="0" borderId="9" xfId="1" applyNumberFormat="1" applyFont="1" applyBorder="1"/>
    <xf numFmtId="165" fontId="6" fillId="0" borderId="9" xfId="1" applyNumberFormat="1" applyFont="1" applyBorder="1" applyAlignment="1"/>
    <xf numFmtId="0" fontId="2" fillId="0" borderId="3" xfId="0" applyFont="1" applyBorder="1"/>
    <xf numFmtId="165" fontId="2" fillId="0" borderId="3" xfId="1" applyNumberFormat="1" applyFont="1" applyBorder="1"/>
    <xf numFmtId="0" fontId="2" fillId="0" borderId="10" xfId="0" applyFont="1" applyBorder="1"/>
    <xf numFmtId="165" fontId="2" fillId="0" borderId="10" xfId="1" applyNumberFormat="1" applyFont="1" applyBorder="1"/>
    <xf numFmtId="0" fontId="0" fillId="0" borderId="0" xfId="0" applyAlignment="1">
      <alignment horizontal="right"/>
    </xf>
    <xf numFmtId="0" fontId="0" fillId="0" borderId="5" xfId="0" applyBorder="1" applyAlignment="1">
      <alignment horizontal="center"/>
    </xf>
    <xf numFmtId="0" fontId="0" fillId="0" borderId="5" xfId="0" applyBorder="1"/>
    <xf numFmtId="0" fontId="9" fillId="0" borderId="0" xfId="0" applyFont="1"/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0" fillId="3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10" fillId="0" borderId="0" xfId="0" applyFont="1"/>
    <xf numFmtId="0" fontId="10" fillId="0" borderId="0" xfId="0" applyFont="1" applyFill="1" applyBorder="1"/>
    <xf numFmtId="0" fontId="0" fillId="4" borderId="0" xfId="0" applyFill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11" xfId="0" applyBorder="1" applyAlignment="1">
      <alignment horizontal="center"/>
    </xf>
    <xf numFmtId="0" fontId="0" fillId="0" borderId="11" xfId="0" applyBorder="1"/>
    <xf numFmtId="3" fontId="0" fillId="0" borderId="0" xfId="0" applyNumberFormat="1"/>
    <xf numFmtId="0" fontId="0" fillId="0" borderId="10" xfId="0" applyBorder="1" applyAlignment="1">
      <alignment horizontal="center"/>
    </xf>
    <xf numFmtId="0" fontId="0" fillId="0" borderId="10" xfId="0" applyBorder="1"/>
    <xf numFmtId="0" fontId="4" fillId="0" borderId="0" xfId="0" applyFont="1" applyAlignment="1">
      <alignment horizontal="center" vertical="center" wrapText="1"/>
    </xf>
    <xf numFmtId="3" fontId="6" fillId="0" borderId="0" xfId="0" applyNumberFormat="1" applyFont="1"/>
    <xf numFmtId="165" fontId="2" fillId="0" borderId="0" xfId="0" applyNumberFormat="1" applyFont="1"/>
    <xf numFmtId="166" fontId="2" fillId="0" borderId="0" xfId="1" applyNumberFormat="1" applyFont="1"/>
    <xf numFmtId="3" fontId="11" fillId="0" borderId="9" xfId="0" applyNumberFormat="1" applyFont="1" applyBorder="1"/>
    <xf numFmtId="0" fontId="9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3" fontId="0" fillId="0" borderId="5" xfId="0" applyNumberFormat="1" applyBorder="1"/>
    <xf numFmtId="3" fontId="0" fillId="0" borderId="9" xfId="0" applyNumberFormat="1" applyBorder="1"/>
    <xf numFmtId="3" fontId="0" fillId="0" borderId="8" xfId="0" applyNumberFormat="1" applyBorder="1"/>
    <xf numFmtId="3" fontId="0" fillId="0" borderId="2" xfId="0" applyNumberFormat="1" applyBorder="1"/>
    <xf numFmtId="3" fontId="0" fillId="0" borderId="11" xfId="0" applyNumberFormat="1" applyBorder="1"/>
    <xf numFmtId="3" fontId="0" fillId="0" borderId="8" xfId="0" applyNumberFormat="1" applyBorder="1" applyAlignment="1"/>
    <xf numFmtId="3" fontId="0" fillId="0" borderId="2" xfId="0" applyNumberFormat="1" applyBorder="1" applyAlignment="1">
      <alignment horizontal="right"/>
    </xf>
    <xf numFmtId="3" fontId="9" fillId="2" borderId="1" xfId="0" applyNumberFormat="1" applyFont="1" applyFill="1" applyBorder="1" applyAlignment="1">
      <alignment horizontal="right"/>
    </xf>
    <xf numFmtId="3" fontId="0" fillId="0" borderId="8" xfId="0" applyNumberFormat="1" applyBorder="1" applyAlignment="1">
      <alignment horizontal="right"/>
    </xf>
    <xf numFmtId="3" fontId="9" fillId="0" borderId="1" xfId="0" applyNumberFormat="1" applyFont="1" applyBorder="1"/>
    <xf numFmtId="0" fontId="0" fillId="0" borderId="1" xfId="0" applyBorder="1"/>
    <xf numFmtId="3" fontId="11" fillId="0" borderId="2" xfId="0" applyNumberFormat="1" applyFont="1" applyBorder="1"/>
    <xf numFmtId="3" fontId="11" fillId="0" borderId="5" xfId="0" applyNumberFormat="1" applyFont="1" applyBorder="1"/>
    <xf numFmtId="3" fontId="11" fillId="0" borderId="11" xfId="0" applyNumberFormat="1" applyFont="1" applyBorder="1"/>
    <xf numFmtId="3" fontId="11" fillId="0" borderId="8" xfId="0" applyNumberFormat="1" applyFont="1" applyBorder="1"/>
    <xf numFmtId="3" fontId="0" fillId="6" borderId="9" xfId="0" applyNumberFormat="1" applyFill="1" applyBorder="1"/>
    <xf numFmtId="3" fontId="0" fillId="5" borderId="8" xfId="0" applyNumberFormat="1" applyFill="1" applyBorder="1" applyAlignment="1">
      <alignment horizontal="right"/>
    </xf>
    <xf numFmtId="0" fontId="0" fillId="3" borderId="1" xfId="0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28"/>
  <sheetViews>
    <sheetView topLeftCell="A12" workbookViewId="0">
      <selection activeCell="D18" sqref="D18"/>
    </sheetView>
  </sheetViews>
  <sheetFormatPr defaultRowHeight="15.75" x14ac:dyDescent="0.25"/>
  <cols>
    <col min="1" max="1" width="15.375" customWidth="1"/>
    <col min="2" max="2" width="4.5" customWidth="1"/>
    <col min="3" max="5" width="15.625" customWidth="1"/>
    <col min="6" max="6" width="17.875" customWidth="1"/>
    <col min="7" max="7" width="10.125" customWidth="1"/>
  </cols>
  <sheetData>
    <row r="1" spans="1:7" ht="21.95" customHeight="1" x14ac:dyDescent="0.25">
      <c r="A1" t="s">
        <v>56</v>
      </c>
      <c r="C1" t="s">
        <v>57</v>
      </c>
    </row>
    <row r="2" spans="1:7" ht="21.95" customHeight="1" x14ac:dyDescent="0.25">
      <c r="A2" t="s">
        <v>22</v>
      </c>
      <c r="C2" t="s">
        <v>58</v>
      </c>
    </row>
    <row r="3" spans="1:7" ht="21.95" customHeight="1" x14ac:dyDescent="0.25">
      <c r="A3" s="74" t="s">
        <v>23</v>
      </c>
      <c r="B3" s="74"/>
      <c r="C3" s="74"/>
      <c r="D3" s="74"/>
      <c r="E3" s="74"/>
    </row>
    <row r="4" spans="1:7" ht="21.95" customHeight="1" x14ac:dyDescent="0.25"/>
    <row r="5" spans="1:7" ht="21.95" customHeight="1" x14ac:dyDescent="0.25">
      <c r="B5" t="s">
        <v>24</v>
      </c>
      <c r="D5" s="30" t="s">
        <v>25</v>
      </c>
      <c r="E5" s="27" t="s">
        <v>62</v>
      </c>
    </row>
    <row r="6" spans="1:7" ht="21.95" customHeight="1" x14ac:dyDescent="0.25"/>
    <row r="7" spans="1:7" ht="21.95" customHeight="1" x14ac:dyDescent="0.25">
      <c r="A7" s="73" t="s">
        <v>26</v>
      </c>
      <c r="B7" s="73"/>
      <c r="C7" s="35" t="s">
        <v>39</v>
      </c>
      <c r="D7" s="35" t="s">
        <v>40</v>
      </c>
      <c r="E7" s="35" t="s">
        <v>42</v>
      </c>
      <c r="F7" s="55" t="s">
        <v>41</v>
      </c>
      <c r="G7" s="41"/>
    </row>
    <row r="8" spans="1:7" ht="21.95" customHeight="1" x14ac:dyDescent="0.25">
      <c r="A8" s="42" t="s">
        <v>27</v>
      </c>
      <c r="B8" s="43"/>
      <c r="C8" s="62">
        <f>+D8+E8+F8</f>
        <v>78296</v>
      </c>
      <c r="D8" s="67">
        <v>76692</v>
      </c>
      <c r="E8" s="61">
        <v>1304</v>
      </c>
      <c r="F8" s="59">
        <v>300</v>
      </c>
      <c r="G8" s="41"/>
    </row>
    <row r="9" spans="1:7" ht="21.95" customHeight="1" x14ac:dyDescent="0.25">
      <c r="A9" s="28" t="s">
        <v>28</v>
      </c>
      <c r="B9" s="29"/>
      <c r="C9" s="62">
        <f t="shared" ref="C9:C10" si="0">+D9+E9+F9</f>
        <v>83490</v>
      </c>
      <c r="D9" s="68">
        <v>81996</v>
      </c>
      <c r="E9" s="61">
        <v>1394</v>
      </c>
      <c r="F9" s="56">
        <v>100</v>
      </c>
    </row>
    <row r="10" spans="1:7" ht="21.95" customHeight="1" x14ac:dyDescent="0.25">
      <c r="A10" s="44" t="s">
        <v>29</v>
      </c>
      <c r="B10" s="45"/>
      <c r="C10" s="62">
        <f t="shared" si="0"/>
        <v>111251</v>
      </c>
      <c r="D10" s="69">
        <v>109195</v>
      </c>
      <c r="E10" s="61">
        <v>1856</v>
      </c>
      <c r="F10" s="60">
        <v>200</v>
      </c>
    </row>
    <row r="11" spans="1:7" ht="21.95" customHeight="1" x14ac:dyDescent="0.25">
      <c r="A11" s="37" t="s">
        <v>43</v>
      </c>
      <c r="B11" s="38"/>
      <c r="C11" s="63">
        <f>SUM(C8:C10)</f>
        <v>273037</v>
      </c>
      <c r="D11" s="63">
        <f t="shared" ref="D11:F11" si="1">SUM(D8:D10)</f>
        <v>267883</v>
      </c>
      <c r="E11" s="63">
        <f t="shared" si="1"/>
        <v>4554</v>
      </c>
      <c r="F11" s="63">
        <f t="shared" si="1"/>
        <v>600</v>
      </c>
    </row>
    <row r="12" spans="1:7" ht="21.95" customHeight="1" x14ac:dyDescent="0.25">
      <c r="A12" s="33" t="s">
        <v>30</v>
      </c>
      <c r="B12" s="34"/>
      <c r="C12" s="64">
        <f>+D12+E12+F12</f>
        <v>106065</v>
      </c>
      <c r="D12" s="70">
        <v>104095</v>
      </c>
      <c r="E12" s="61">
        <v>1770</v>
      </c>
      <c r="F12" s="58">
        <v>200</v>
      </c>
    </row>
    <row r="13" spans="1:7" ht="21.95" customHeight="1" x14ac:dyDescent="0.25">
      <c r="A13" s="28" t="s">
        <v>31</v>
      </c>
      <c r="B13" s="29"/>
      <c r="C13" s="64">
        <f t="shared" ref="C13:C14" si="2">+D13+E13+F13</f>
        <v>93349</v>
      </c>
      <c r="D13" s="68">
        <v>91592</v>
      </c>
      <c r="E13" s="61">
        <v>1557</v>
      </c>
      <c r="F13" s="56">
        <v>200</v>
      </c>
    </row>
    <row r="14" spans="1:7" ht="21.95" customHeight="1" x14ac:dyDescent="0.25">
      <c r="A14" s="31" t="s">
        <v>32</v>
      </c>
      <c r="B14" s="32"/>
      <c r="C14" s="64">
        <f t="shared" si="2"/>
        <v>91012</v>
      </c>
      <c r="D14" s="53">
        <v>89196</v>
      </c>
      <c r="E14" s="61">
        <v>1516</v>
      </c>
      <c r="F14" s="57">
        <v>300</v>
      </c>
    </row>
    <row r="15" spans="1:7" ht="21.95" customHeight="1" x14ac:dyDescent="0.25">
      <c r="A15" s="37" t="s">
        <v>44</v>
      </c>
      <c r="B15" s="38"/>
      <c r="C15" s="63">
        <f>SUM(C12:C14)</f>
        <v>290426</v>
      </c>
      <c r="D15" s="63">
        <f t="shared" ref="D15:F15" si="3">SUM(D12:D14)</f>
        <v>284883</v>
      </c>
      <c r="E15" s="63">
        <f t="shared" si="3"/>
        <v>4843</v>
      </c>
      <c r="F15" s="63">
        <f t="shared" si="3"/>
        <v>700</v>
      </c>
    </row>
    <row r="16" spans="1:7" ht="21.95" customHeight="1" x14ac:dyDescent="0.25">
      <c r="A16" s="33" t="s">
        <v>33</v>
      </c>
      <c r="B16" s="34"/>
      <c r="C16" s="64">
        <f>+D16+E16+F16</f>
        <v>79825</v>
      </c>
      <c r="D16" s="70">
        <v>78196</v>
      </c>
      <c r="E16" s="61">
        <v>1329</v>
      </c>
      <c r="F16" s="58">
        <v>300</v>
      </c>
    </row>
    <row r="17" spans="1:7" ht="21.95" customHeight="1" x14ac:dyDescent="0.25">
      <c r="A17" s="28" t="s">
        <v>34</v>
      </c>
      <c r="B17" s="29"/>
      <c r="C17" s="64">
        <f t="shared" ref="C17:C18" si="4">+D17+E17+F17</f>
        <v>97930</v>
      </c>
      <c r="D17" s="68">
        <v>96195</v>
      </c>
      <c r="E17" s="61">
        <v>1635</v>
      </c>
      <c r="F17" s="56">
        <v>100</v>
      </c>
    </row>
    <row r="18" spans="1:7" ht="21.95" customHeight="1" x14ac:dyDescent="0.25">
      <c r="A18" s="47" t="s">
        <v>35</v>
      </c>
      <c r="B18" s="48"/>
      <c r="C18" s="64">
        <f t="shared" si="4"/>
        <v>79319</v>
      </c>
      <c r="D18" s="70">
        <v>77796</v>
      </c>
      <c r="E18" s="61">
        <v>1323</v>
      </c>
      <c r="F18" s="57">
        <v>200</v>
      </c>
    </row>
    <row r="19" spans="1:7" ht="21.95" customHeight="1" x14ac:dyDescent="0.25">
      <c r="A19" s="37" t="s">
        <v>45</v>
      </c>
      <c r="B19" s="38"/>
      <c r="C19" s="63">
        <f>SUM(C16:C18)</f>
        <v>257074</v>
      </c>
      <c r="D19" s="63">
        <f t="shared" ref="D19:F19" si="5">SUM(D16:D18)</f>
        <v>252187</v>
      </c>
      <c r="E19" s="63">
        <f t="shared" si="5"/>
        <v>4287</v>
      </c>
      <c r="F19" s="63">
        <f t="shared" si="5"/>
        <v>600</v>
      </c>
    </row>
    <row r="20" spans="1:7" ht="21.95" customHeight="1" x14ac:dyDescent="0.25">
      <c r="A20" s="33" t="s">
        <v>36</v>
      </c>
      <c r="B20" s="34"/>
      <c r="C20" s="64">
        <f>+D20+E20+F20</f>
        <v>88947</v>
      </c>
      <c r="D20" s="68">
        <v>87396</v>
      </c>
      <c r="E20" s="61">
        <v>1451</v>
      </c>
      <c r="F20" s="58">
        <v>100</v>
      </c>
    </row>
    <row r="21" spans="1:7" ht="21.95" customHeight="1" x14ac:dyDescent="0.25">
      <c r="A21" s="28" t="s">
        <v>37</v>
      </c>
      <c r="B21" s="29"/>
      <c r="C21" s="64">
        <f t="shared" ref="C21:C22" si="6">+D21+E21+F21</f>
        <v>83205</v>
      </c>
      <c r="D21" s="68">
        <v>81796</v>
      </c>
      <c r="E21" s="61">
        <v>1309</v>
      </c>
      <c r="F21" s="56">
        <v>100</v>
      </c>
    </row>
    <row r="22" spans="1:7" ht="21.95" customHeight="1" x14ac:dyDescent="0.25">
      <c r="A22" s="31" t="s">
        <v>38</v>
      </c>
      <c r="B22" s="32"/>
      <c r="C22" s="72">
        <f t="shared" si="6"/>
        <v>79954</v>
      </c>
      <c r="D22" s="71">
        <v>78596</v>
      </c>
      <c r="E22" s="61">
        <v>1258</v>
      </c>
      <c r="F22" s="57">
        <v>100</v>
      </c>
      <c r="G22" t="s">
        <v>64</v>
      </c>
    </row>
    <row r="23" spans="1:7" ht="21.95" customHeight="1" x14ac:dyDescent="0.25">
      <c r="A23" s="37" t="s">
        <v>46</v>
      </c>
      <c r="B23" s="38"/>
      <c r="C23" s="63">
        <f>SUM(C20:C22)</f>
        <v>252106</v>
      </c>
      <c r="D23" s="63">
        <f t="shared" ref="D23:F23" si="7">SUM(D20:D22)</f>
        <v>247788</v>
      </c>
      <c r="E23" s="63">
        <f t="shared" si="7"/>
        <v>4018</v>
      </c>
      <c r="F23" s="63">
        <f t="shared" si="7"/>
        <v>300</v>
      </c>
    </row>
    <row r="24" spans="1:7" ht="21.95" customHeight="1" x14ac:dyDescent="0.25">
      <c r="A24" s="54" t="s">
        <v>63</v>
      </c>
      <c r="B24" s="66"/>
      <c r="C24" s="65">
        <f>+C11+C15+C19+C23</f>
        <v>1072643</v>
      </c>
      <c r="D24" s="65">
        <f t="shared" ref="D24:F24" si="8">+D11+D15+D19+D23</f>
        <v>1052741</v>
      </c>
      <c r="E24" s="65">
        <f t="shared" si="8"/>
        <v>17702</v>
      </c>
      <c r="F24" s="65">
        <f t="shared" si="8"/>
        <v>2200</v>
      </c>
      <c r="G24" s="46"/>
    </row>
    <row r="25" spans="1:7" ht="21.95" customHeight="1" x14ac:dyDescent="0.25">
      <c r="A25" s="36" t="s">
        <v>47</v>
      </c>
      <c r="C25" s="39" t="s">
        <v>48</v>
      </c>
    </row>
    <row r="26" spans="1:7" ht="21.95" customHeight="1" x14ac:dyDescent="0.25">
      <c r="C26" s="39" t="s">
        <v>55</v>
      </c>
    </row>
    <row r="27" spans="1:7" ht="21.95" customHeight="1" x14ac:dyDescent="0.25">
      <c r="C27" s="39" t="s">
        <v>49</v>
      </c>
    </row>
    <row r="28" spans="1:7" ht="21.95" customHeight="1" x14ac:dyDescent="0.25">
      <c r="C28" s="40" t="s">
        <v>50</v>
      </c>
    </row>
  </sheetData>
  <mergeCells count="2">
    <mergeCell ref="A7:B7"/>
    <mergeCell ref="A3:E3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opLeftCell="A13" workbookViewId="0">
      <selection activeCell="C24" sqref="C24"/>
    </sheetView>
  </sheetViews>
  <sheetFormatPr defaultRowHeight="15.75" x14ac:dyDescent="0.25"/>
  <cols>
    <col min="1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t="s">
        <v>59</v>
      </c>
      <c r="B1" t="s">
        <v>60</v>
      </c>
      <c r="D1"/>
      <c r="E1" s="76" t="s">
        <v>1</v>
      </c>
      <c r="F1" s="76"/>
    </row>
    <row r="2" spans="1:6" ht="14.25" customHeight="1" x14ac:dyDescent="0.25">
      <c r="A2" t="s">
        <v>22</v>
      </c>
      <c r="B2" t="s">
        <v>61</v>
      </c>
      <c r="D2"/>
      <c r="E2" s="77" t="s">
        <v>2</v>
      </c>
      <c r="F2" s="77"/>
    </row>
    <row r="3" spans="1:6" ht="15.75" customHeight="1" x14ac:dyDescent="0.25">
      <c r="E3" s="77" t="s">
        <v>51</v>
      </c>
      <c r="F3" s="77"/>
    </row>
    <row r="4" spans="1:6" x14ac:dyDescent="0.25">
      <c r="E4" s="77" t="s">
        <v>3</v>
      </c>
      <c r="F4" s="77"/>
    </row>
    <row r="5" spans="1:6" x14ac:dyDescent="0.25">
      <c r="E5" s="2"/>
      <c r="F5" s="2"/>
    </row>
    <row r="6" spans="1:6" ht="18" x14ac:dyDescent="0.25">
      <c r="A6" s="78" t="s">
        <v>4</v>
      </c>
      <c r="B6" s="78"/>
      <c r="C6" s="78"/>
      <c r="D6" s="78"/>
      <c r="E6" s="78"/>
      <c r="F6" s="78"/>
    </row>
    <row r="7" spans="1:6" x14ac:dyDescent="0.25">
      <c r="A7" s="75" t="s">
        <v>5</v>
      </c>
      <c r="B7" s="75"/>
      <c r="C7" s="75"/>
      <c r="D7" s="75"/>
      <c r="E7" s="75"/>
      <c r="F7" s="75"/>
    </row>
    <row r="9" spans="1:6" x14ac:dyDescent="0.25">
      <c r="B9" s="3" t="s">
        <v>53</v>
      </c>
      <c r="C9" s="4"/>
      <c r="D9" s="4"/>
      <c r="E9" s="4"/>
      <c r="F9" s="4"/>
    </row>
    <row r="10" spans="1:6" x14ac:dyDescent="0.25">
      <c r="B10" s="3" t="s">
        <v>54</v>
      </c>
      <c r="C10" s="4"/>
      <c r="D10" s="4"/>
      <c r="E10" s="50">
        <f>'bao cao 2023'!C11</f>
        <v>273037</v>
      </c>
      <c r="F10" s="4"/>
    </row>
    <row r="11" spans="1:6" x14ac:dyDescent="0.25">
      <c r="B11" s="3" t="s">
        <v>52</v>
      </c>
      <c r="C11" s="4"/>
      <c r="D11" s="4"/>
      <c r="E11" s="4"/>
      <c r="F11" s="4"/>
    </row>
    <row r="13" spans="1:6" ht="30.75" customHeight="1" x14ac:dyDescent="0.25">
      <c r="A13" s="79" t="s">
        <v>6</v>
      </c>
      <c r="B13" s="79" t="s">
        <v>7</v>
      </c>
      <c r="C13" s="79" t="s">
        <v>8</v>
      </c>
      <c r="D13" s="79" t="s">
        <v>9</v>
      </c>
      <c r="E13" s="81" t="s">
        <v>10</v>
      </c>
      <c r="F13" s="82"/>
    </row>
    <row r="14" spans="1:6" ht="21.75" customHeight="1" x14ac:dyDescent="0.25">
      <c r="A14" s="80"/>
      <c r="B14" s="80"/>
      <c r="C14" s="80"/>
      <c r="D14" s="80"/>
      <c r="E14" s="5" t="s">
        <v>11</v>
      </c>
      <c r="F14" s="5" t="s">
        <v>12</v>
      </c>
    </row>
    <row r="15" spans="1:6" ht="21" customHeight="1" x14ac:dyDescent="0.25">
      <c r="A15" s="6" t="s">
        <v>13</v>
      </c>
      <c r="B15" s="7"/>
      <c r="C15" s="7"/>
      <c r="D15" s="7"/>
      <c r="E15" s="7"/>
      <c r="F15" s="7"/>
    </row>
    <row r="16" spans="1:6" ht="21" customHeight="1" x14ac:dyDescent="0.25">
      <c r="A16" s="18"/>
      <c r="B16" s="19"/>
      <c r="C16" s="19"/>
      <c r="D16" s="19"/>
      <c r="E16" s="19"/>
      <c r="F16" s="19"/>
    </row>
    <row r="17" spans="1:6" ht="21" customHeight="1" x14ac:dyDescent="0.25">
      <c r="A17" s="18"/>
      <c r="B17" s="19"/>
      <c r="C17" s="19"/>
      <c r="D17" s="19"/>
      <c r="E17" s="19"/>
      <c r="F17" s="19"/>
    </row>
    <row r="18" spans="1:6" ht="21" customHeight="1" x14ac:dyDescent="0.25">
      <c r="A18" s="8" t="s">
        <v>14</v>
      </c>
      <c r="B18" s="9"/>
      <c r="C18" s="9"/>
      <c r="D18" s="9"/>
      <c r="E18" s="9"/>
      <c r="F18" s="9"/>
    </row>
    <row r="19" spans="1:6" ht="21" customHeight="1" x14ac:dyDescent="0.25">
      <c r="A19" s="8"/>
      <c r="B19" s="9"/>
      <c r="C19" s="9"/>
      <c r="D19" s="9"/>
      <c r="E19" s="9"/>
      <c r="F19" s="9"/>
    </row>
    <row r="20" spans="1:6" ht="21" customHeight="1" x14ac:dyDescent="0.25">
      <c r="A20" s="8"/>
      <c r="B20" s="9"/>
      <c r="C20" s="9"/>
      <c r="D20" s="9"/>
      <c r="E20" s="9"/>
      <c r="F20" s="9"/>
    </row>
    <row r="21" spans="1:6" ht="21" customHeight="1" x14ac:dyDescent="0.25">
      <c r="A21" s="8" t="s">
        <v>15</v>
      </c>
      <c r="B21" s="9"/>
      <c r="C21" s="9"/>
      <c r="D21" s="9"/>
      <c r="E21" s="10"/>
      <c r="F21" s="10"/>
    </row>
    <row r="22" spans="1:6" ht="21" customHeight="1" x14ac:dyDescent="0.25">
      <c r="A22" s="20"/>
      <c r="B22" s="21"/>
      <c r="C22" s="21"/>
      <c r="D22" s="21"/>
      <c r="E22" s="22"/>
      <c r="F22" s="22"/>
    </row>
    <row r="23" spans="1:6" ht="21" customHeight="1" x14ac:dyDescent="0.25">
      <c r="A23" s="20"/>
      <c r="B23" s="21"/>
      <c r="C23" s="21"/>
      <c r="D23" s="21"/>
      <c r="E23" s="22"/>
      <c r="F23" s="22"/>
    </row>
    <row r="24" spans="1:6" ht="21" customHeight="1" x14ac:dyDescent="0.25">
      <c r="A24" s="8" t="s">
        <v>0</v>
      </c>
      <c r="B24" s="9"/>
      <c r="C24" s="9">
        <f>147478434+134441667</f>
        <v>281920101</v>
      </c>
      <c r="D24" s="9"/>
      <c r="E24" s="9">
        <f>+B24+C24-D24</f>
        <v>281920101</v>
      </c>
      <c r="F24" s="9">
        <f>+E24/E10</f>
        <v>1032.5344220746638</v>
      </c>
    </row>
    <row r="25" spans="1:6" ht="21" customHeight="1" x14ac:dyDescent="0.25">
      <c r="A25" s="25"/>
      <c r="B25" s="26"/>
      <c r="C25" s="26"/>
      <c r="D25" s="26"/>
      <c r="E25" s="26"/>
      <c r="F25" s="26"/>
    </row>
    <row r="26" spans="1:6" ht="21" customHeight="1" x14ac:dyDescent="0.25">
      <c r="A26" s="23"/>
      <c r="B26" s="24"/>
      <c r="C26" s="24"/>
      <c r="D26" s="24"/>
      <c r="E26" s="24"/>
      <c r="F26" s="24"/>
    </row>
    <row r="27" spans="1:6" ht="21" customHeight="1" x14ac:dyDescent="0.25">
      <c r="A27" s="5" t="s">
        <v>16</v>
      </c>
      <c r="B27" s="11"/>
      <c r="C27" s="11"/>
      <c r="D27" s="11"/>
      <c r="E27" s="12"/>
      <c r="F27" s="11"/>
    </row>
    <row r="28" spans="1:6" ht="21" customHeight="1" x14ac:dyDescent="0.25">
      <c r="A28" s="13"/>
      <c r="B28" s="14"/>
      <c r="C28" s="15"/>
      <c r="D28" s="15"/>
      <c r="E28" s="15"/>
      <c r="F28" s="15"/>
    </row>
    <row r="29" spans="1:6" ht="21" customHeight="1" x14ac:dyDescent="0.25"/>
    <row r="30" spans="1:6" ht="21" customHeight="1" x14ac:dyDescent="0.25">
      <c r="A30" s="16" t="s">
        <v>17</v>
      </c>
      <c r="B30" s="16"/>
      <c r="C30" s="16" t="s">
        <v>18</v>
      </c>
      <c r="D30" s="16"/>
      <c r="E30" s="16" t="s">
        <v>19</v>
      </c>
      <c r="F30" s="16"/>
    </row>
    <row r="31" spans="1:6" ht="21" customHeight="1" x14ac:dyDescent="0.25">
      <c r="A31" s="17" t="s">
        <v>20</v>
      </c>
      <c r="B31" s="17"/>
      <c r="C31" s="17" t="s">
        <v>20</v>
      </c>
      <c r="D31" s="17"/>
      <c r="E31" s="17" t="s">
        <v>21</v>
      </c>
      <c r="F31" s="17"/>
    </row>
    <row r="32" spans="1:6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  <row r="40" ht="21" customHeight="1" x14ac:dyDescent="0.25"/>
    <row r="41" ht="21" customHeight="1" x14ac:dyDescent="0.25"/>
    <row r="42" ht="21" customHeight="1" x14ac:dyDescent="0.25"/>
    <row r="43" ht="21" customHeight="1" x14ac:dyDescent="0.25"/>
    <row r="44" ht="21" customHeight="1" x14ac:dyDescent="0.25"/>
    <row r="45" ht="21" customHeight="1" x14ac:dyDescent="0.25"/>
    <row r="46" ht="21" customHeight="1" x14ac:dyDescent="0.25"/>
  </sheetData>
  <mergeCells count="11">
    <mergeCell ref="A13:A14"/>
    <mergeCell ref="B13:B14"/>
    <mergeCell ref="C13:C14"/>
    <mergeCell ref="D13:D14"/>
    <mergeCell ref="E13:F13"/>
    <mergeCell ref="A7:F7"/>
    <mergeCell ref="E1:F1"/>
    <mergeCell ref="E2:F2"/>
    <mergeCell ref="E3:F3"/>
    <mergeCell ref="E4:F4"/>
    <mergeCell ref="A6:F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7" workbookViewId="0">
      <selection activeCell="C24" sqref="C24"/>
    </sheetView>
  </sheetViews>
  <sheetFormatPr defaultRowHeight="15.75" x14ac:dyDescent="0.25"/>
  <cols>
    <col min="1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x14ac:dyDescent="0.25">
      <c r="A1" t="s">
        <v>59</v>
      </c>
      <c r="B1" t="s">
        <v>60</v>
      </c>
      <c r="E1" s="76" t="s">
        <v>1</v>
      </c>
      <c r="F1" s="76"/>
    </row>
    <row r="2" spans="1:6" x14ac:dyDescent="0.25">
      <c r="A2" t="s">
        <v>22</v>
      </c>
      <c r="B2" t="s">
        <v>61</v>
      </c>
      <c r="E2" s="77" t="s">
        <v>2</v>
      </c>
      <c r="F2" s="77"/>
    </row>
    <row r="3" spans="1:6" x14ac:dyDescent="0.25">
      <c r="E3" s="77" t="s">
        <v>51</v>
      </c>
      <c r="F3" s="77"/>
    </row>
    <row r="4" spans="1:6" x14ac:dyDescent="0.25">
      <c r="E4" s="77" t="s">
        <v>3</v>
      </c>
      <c r="F4" s="77"/>
    </row>
    <row r="5" spans="1:6" x14ac:dyDescent="0.25">
      <c r="E5" s="49"/>
      <c r="F5" s="49"/>
    </row>
    <row r="6" spans="1:6" ht="18" x14ac:dyDescent="0.25">
      <c r="A6" s="78" t="s">
        <v>4</v>
      </c>
      <c r="B6" s="78"/>
      <c r="C6" s="78"/>
      <c r="D6" s="78"/>
      <c r="E6" s="78"/>
      <c r="F6" s="78"/>
    </row>
    <row r="7" spans="1:6" x14ac:dyDescent="0.25">
      <c r="A7" s="75" t="s">
        <v>5</v>
      </c>
      <c r="B7" s="75"/>
      <c r="C7" s="75"/>
      <c r="D7" s="75"/>
      <c r="E7" s="75"/>
      <c r="F7" s="75"/>
    </row>
    <row r="9" spans="1:6" x14ac:dyDescent="0.25">
      <c r="B9" s="3" t="s">
        <v>53</v>
      </c>
      <c r="C9" s="4"/>
      <c r="D9" s="4"/>
      <c r="E9" s="4"/>
      <c r="F9" s="4"/>
    </row>
    <row r="10" spans="1:6" x14ac:dyDescent="0.25">
      <c r="B10" s="3" t="s">
        <v>54</v>
      </c>
      <c r="C10" s="4"/>
      <c r="D10" s="4"/>
      <c r="E10" s="50">
        <f>'bao cao 2023'!C15</f>
        <v>290426</v>
      </c>
      <c r="F10" s="4"/>
    </row>
    <row r="11" spans="1:6" x14ac:dyDescent="0.25">
      <c r="B11" s="3" t="s">
        <v>52</v>
      </c>
      <c r="C11" s="4"/>
      <c r="D11" s="4"/>
      <c r="E11" s="4"/>
      <c r="F11" s="4"/>
    </row>
    <row r="13" spans="1:6" x14ac:dyDescent="0.25">
      <c r="A13" s="79" t="s">
        <v>6</v>
      </c>
      <c r="B13" s="79" t="s">
        <v>7</v>
      </c>
      <c r="C13" s="79" t="s">
        <v>8</v>
      </c>
      <c r="D13" s="79" t="s">
        <v>9</v>
      </c>
      <c r="E13" s="81" t="s">
        <v>10</v>
      </c>
      <c r="F13" s="82"/>
    </row>
    <row r="14" spans="1:6" x14ac:dyDescent="0.25">
      <c r="A14" s="80"/>
      <c r="B14" s="80"/>
      <c r="C14" s="80"/>
      <c r="D14" s="80"/>
      <c r="E14" s="5" t="s">
        <v>11</v>
      </c>
      <c r="F14" s="5" t="s">
        <v>12</v>
      </c>
    </row>
    <row r="15" spans="1:6" x14ac:dyDescent="0.25">
      <c r="A15" s="6" t="s">
        <v>13</v>
      </c>
      <c r="B15" s="7"/>
      <c r="C15" s="7"/>
      <c r="D15" s="7"/>
      <c r="E15" s="7"/>
      <c r="F15" s="7"/>
    </row>
    <row r="16" spans="1:6" x14ac:dyDescent="0.25">
      <c r="A16" s="18"/>
      <c r="B16" s="19"/>
      <c r="C16" s="19"/>
      <c r="D16" s="19"/>
      <c r="E16" s="19"/>
      <c r="F16" s="19"/>
    </row>
    <row r="17" spans="1:6" x14ac:dyDescent="0.25">
      <c r="A17" s="18"/>
      <c r="B17" s="19"/>
      <c r="C17" s="19"/>
      <c r="D17" s="19"/>
      <c r="E17" s="19"/>
      <c r="F17" s="19"/>
    </row>
    <row r="18" spans="1:6" x14ac:dyDescent="0.25">
      <c r="A18" s="8" t="s">
        <v>14</v>
      </c>
      <c r="B18" s="9"/>
      <c r="C18" s="9"/>
      <c r="D18" s="9"/>
      <c r="E18" s="9"/>
      <c r="F18" s="9"/>
    </row>
    <row r="19" spans="1:6" x14ac:dyDescent="0.25">
      <c r="A19" s="8"/>
      <c r="B19" s="9"/>
      <c r="C19" s="9"/>
      <c r="D19" s="9"/>
      <c r="E19" s="9"/>
      <c r="F19" s="9"/>
    </row>
    <row r="20" spans="1:6" x14ac:dyDescent="0.25">
      <c r="A20" s="8"/>
      <c r="B20" s="9"/>
      <c r="C20" s="9"/>
      <c r="D20" s="9"/>
      <c r="E20" s="9"/>
      <c r="F20" s="9"/>
    </row>
    <row r="21" spans="1:6" x14ac:dyDescent="0.25">
      <c r="A21" s="8" t="s">
        <v>15</v>
      </c>
      <c r="B21" s="9"/>
      <c r="C21" s="9"/>
      <c r="D21" s="9"/>
      <c r="E21" s="10"/>
      <c r="F21" s="10"/>
    </row>
    <row r="22" spans="1:6" x14ac:dyDescent="0.25">
      <c r="A22" s="20"/>
      <c r="B22" s="21"/>
      <c r="C22" s="21"/>
      <c r="D22" s="21"/>
      <c r="E22" s="22"/>
      <c r="F22" s="22"/>
    </row>
    <row r="23" spans="1:6" x14ac:dyDescent="0.25">
      <c r="A23" s="20"/>
      <c r="B23" s="21"/>
      <c r="C23" s="21"/>
      <c r="D23" s="21"/>
      <c r="E23" s="22"/>
      <c r="F23" s="22"/>
    </row>
    <row r="24" spans="1:6" x14ac:dyDescent="0.25">
      <c r="A24" s="8" t="s">
        <v>0</v>
      </c>
      <c r="B24" s="9"/>
      <c r="C24" s="9">
        <f>147478434+134441667</f>
        <v>281920101</v>
      </c>
      <c r="D24" s="9"/>
      <c r="E24" s="9">
        <f>+B24+C24-D24</f>
        <v>281920101</v>
      </c>
      <c r="F24" s="9">
        <f>+E24/E10</f>
        <v>970.71233636106956</v>
      </c>
    </row>
    <row r="25" spans="1:6" x14ac:dyDescent="0.25">
      <c r="A25" s="25"/>
      <c r="B25" s="26"/>
      <c r="C25" s="26"/>
      <c r="D25" s="26"/>
      <c r="E25" s="26"/>
      <c r="F25" s="26"/>
    </row>
    <row r="26" spans="1:6" x14ac:dyDescent="0.25">
      <c r="A26" s="23"/>
      <c r="B26" s="24"/>
      <c r="C26" s="24"/>
      <c r="D26" s="24"/>
      <c r="E26" s="24"/>
      <c r="F26" s="24"/>
    </row>
    <row r="27" spans="1:6" x14ac:dyDescent="0.25">
      <c r="A27" s="5" t="s">
        <v>16</v>
      </c>
      <c r="B27" s="11"/>
      <c r="C27" s="11"/>
      <c r="D27" s="11"/>
      <c r="E27" s="12"/>
      <c r="F27" s="11"/>
    </row>
    <row r="28" spans="1:6" x14ac:dyDescent="0.25">
      <c r="A28" s="13"/>
      <c r="B28" s="14"/>
      <c r="C28" s="15"/>
      <c r="D28" s="15"/>
      <c r="E28" s="15"/>
      <c r="F28" s="15"/>
    </row>
    <row r="30" spans="1:6" x14ac:dyDescent="0.25">
      <c r="A30" s="16" t="s">
        <v>17</v>
      </c>
      <c r="B30" s="16"/>
      <c r="C30" s="16" t="s">
        <v>18</v>
      </c>
      <c r="D30" s="16"/>
      <c r="E30" s="16" t="s">
        <v>19</v>
      </c>
      <c r="F30" s="16"/>
    </row>
    <row r="31" spans="1:6" x14ac:dyDescent="0.25">
      <c r="A31" s="17" t="s">
        <v>20</v>
      </c>
      <c r="B31" s="17"/>
      <c r="C31" s="17" t="s">
        <v>20</v>
      </c>
      <c r="D31" s="17"/>
      <c r="E31" s="17" t="s">
        <v>21</v>
      </c>
      <c r="F31" s="17"/>
    </row>
  </sheetData>
  <mergeCells count="11">
    <mergeCell ref="A13:A14"/>
    <mergeCell ref="B13:B14"/>
    <mergeCell ref="C13:C14"/>
    <mergeCell ref="D13:D14"/>
    <mergeCell ref="E13:F13"/>
    <mergeCell ref="A7:F7"/>
    <mergeCell ref="E1:F1"/>
    <mergeCell ref="E2:F2"/>
    <mergeCell ref="E3:F3"/>
    <mergeCell ref="E4:F4"/>
    <mergeCell ref="A6:F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10" workbookViewId="0">
      <selection activeCell="C24" sqref="C24"/>
    </sheetView>
  </sheetViews>
  <sheetFormatPr defaultRowHeight="15.75" x14ac:dyDescent="0.25"/>
  <cols>
    <col min="1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x14ac:dyDescent="0.25">
      <c r="A1" t="s">
        <v>59</v>
      </c>
      <c r="B1" t="s">
        <v>60</v>
      </c>
      <c r="E1" s="76" t="s">
        <v>1</v>
      </c>
      <c r="F1" s="76"/>
    </row>
    <row r="2" spans="1:6" x14ac:dyDescent="0.25">
      <c r="A2" t="s">
        <v>22</v>
      </c>
      <c r="B2" t="s">
        <v>61</v>
      </c>
      <c r="E2" s="77" t="s">
        <v>2</v>
      </c>
      <c r="F2" s="77"/>
    </row>
    <row r="3" spans="1:6" x14ac:dyDescent="0.25">
      <c r="E3" s="77" t="s">
        <v>51</v>
      </c>
      <c r="F3" s="77"/>
    </row>
    <row r="4" spans="1:6" x14ac:dyDescent="0.25">
      <c r="E4" s="77" t="s">
        <v>3</v>
      </c>
      <c r="F4" s="77"/>
    </row>
    <row r="5" spans="1:6" x14ac:dyDescent="0.25">
      <c r="E5" s="49"/>
      <c r="F5" s="49"/>
    </row>
    <row r="6" spans="1:6" ht="18" x14ac:dyDescent="0.25">
      <c r="A6" s="78" t="s">
        <v>4</v>
      </c>
      <c r="B6" s="78"/>
      <c r="C6" s="78"/>
      <c r="D6" s="78"/>
      <c r="E6" s="78"/>
      <c r="F6" s="78"/>
    </row>
    <row r="7" spans="1:6" x14ac:dyDescent="0.25">
      <c r="A7" s="75" t="s">
        <v>5</v>
      </c>
      <c r="B7" s="75"/>
      <c r="C7" s="75"/>
      <c r="D7" s="75"/>
      <c r="E7" s="75"/>
      <c r="F7" s="75"/>
    </row>
    <row r="9" spans="1:6" x14ac:dyDescent="0.25">
      <c r="B9" s="3" t="s">
        <v>53</v>
      </c>
      <c r="C9" s="4"/>
      <c r="D9" s="4"/>
      <c r="E9" s="4"/>
      <c r="F9" s="4"/>
    </row>
    <row r="10" spans="1:6" x14ac:dyDescent="0.25">
      <c r="B10" s="3" t="s">
        <v>54</v>
      </c>
      <c r="C10" s="4"/>
      <c r="D10" s="4"/>
      <c r="E10" s="50">
        <f>'bao cao 2023'!C19</f>
        <v>257074</v>
      </c>
      <c r="F10" s="4"/>
    </row>
    <row r="11" spans="1:6" x14ac:dyDescent="0.25">
      <c r="B11" s="3" t="s">
        <v>52</v>
      </c>
      <c r="C11" s="4"/>
      <c r="D11" s="4"/>
      <c r="E11" s="4"/>
      <c r="F11" s="4"/>
    </row>
    <row r="13" spans="1:6" x14ac:dyDescent="0.25">
      <c r="A13" s="79" t="s">
        <v>6</v>
      </c>
      <c r="B13" s="79" t="s">
        <v>7</v>
      </c>
      <c r="C13" s="79" t="s">
        <v>8</v>
      </c>
      <c r="D13" s="79" t="s">
        <v>9</v>
      </c>
      <c r="E13" s="81" t="s">
        <v>10</v>
      </c>
      <c r="F13" s="82"/>
    </row>
    <row r="14" spans="1:6" x14ac:dyDescent="0.25">
      <c r="A14" s="80"/>
      <c r="B14" s="80"/>
      <c r="C14" s="80"/>
      <c r="D14" s="80"/>
      <c r="E14" s="5" t="s">
        <v>11</v>
      </c>
      <c r="F14" s="5" t="s">
        <v>12</v>
      </c>
    </row>
    <row r="15" spans="1:6" x14ac:dyDescent="0.25">
      <c r="A15" s="6" t="s">
        <v>13</v>
      </c>
      <c r="B15" s="7"/>
      <c r="C15" s="7"/>
      <c r="D15" s="7"/>
      <c r="E15" s="7"/>
      <c r="F15" s="7"/>
    </row>
    <row r="16" spans="1:6" x14ac:dyDescent="0.25">
      <c r="A16" s="18"/>
      <c r="B16" s="19"/>
      <c r="C16" s="19"/>
      <c r="D16" s="19"/>
      <c r="E16" s="19"/>
      <c r="F16" s="19"/>
    </row>
    <row r="17" spans="1:6" x14ac:dyDescent="0.25">
      <c r="A17" s="18"/>
      <c r="B17" s="19"/>
      <c r="C17" s="19"/>
      <c r="D17" s="19"/>
      <c r="E17" s="19"/>
      <c r="F17" s="19"/>
    </row>
    <row r="18" spans="1:6" x14ac:dyDescent="0.25">
      <c r="A18" s="8" t="s">
        <v>14</v>
      </c>
      <c r="B18" s="9"/>
      <c r="C18" s="9"/>
      <c r="D18" s="9"/>
      <c r="E18" s="9"/>
      <c r="F18" s="9"/>
    </row>
    <row r="19" spans="1:6" x14ac:dyDescent="0.25">
      <c r="A19" s="8"/>
      <c r="B19" s="9"/>
      <c r="C19" s="9"/>
      <c r="D19" s="9"/>
      <c r="E19" s="9"/>
      <c r="F19" s="9"/>
    </row>
    <row r="20" spans="1:6" x14ac:dyDescent="0.25">
      <c r="A20" s="8"/>
      <c r="B20" s="9"/>
      <c r="C20" s="9"/>
      <c r="D20" s="9"/>
      <c r="E20" s="9"/>
      <c r="F20" s="9"/>
    </row>
    <row r="21" spans="1:6" x14ac:dyDescent="0.25">
      <c r="A21" s="8" t="s">
        <v>15</v>
      </c>
      <c r="B21" s="9"/>
      <c r="C21" s="9"/>
      <c r="D21" s="9"/>
      <c r="E21" s="10"/>
      <c r="F21" s="10"/>
    </row>
    <row r="22" spans="1:6" x14ac:dyDescent="0.25">
      <c r="A22" s="20"/>
      <c r="B22" s="21"/>
      <c r="C22" s="21"/>
      <c r="D22" s="21"/>
      <c r="E22" s="22"/>
      <c r="F22" s="22"/>
    </row>
    <row r="23" spans="1:6" x14ac:dyDescent="0.25">
      <c r="A23" s="20"/>
      <c r="B23" s="21"/>
      <c r="C23" s="21"/>
      <c r="D23" s="21"/>
      <c r="E23" s="22"/>
      <c r="F23" s="22"/>
    </row>
    <row r="24" spans="1:6" x14ac:dyDescent="0.25">
      <c r="A24" s="8" t="s">
        <v>0</v>
      </c>
      <c r="B24" s="9"/>
      <c r="C24" s="9">
        <f>147478434+132541667</f>
        <v>280020101</v>
      </c>
      <c r="D24" s="9"/>
      <c r="E24" s="9">
        <f>+B24+C24-D24</f>
        <v>280020101</v>
      </c>
      <c r="F24" s="9">
        <f>+E24/E10</f>
        <v>1089.2587387289263</v>
      </c>
    </row>
    <row r="25" spans="1:6" x14ac:dyDescent="0.25">
      <c r="A25" s="25"/>
      <c r="B25" s="26"/>
      <c r="C25" s="26"/>
      <c r="D25" s="26"/>
      <c r="E25" s="26"/>
      <c r="F25" s="26"/>
    </row>
    <row r="26" spans="1:6" x14ac:dyDescent="0.25">
      <c r="A26" s="23"/>
      <c r="B26" s="24"/>
      <c r="C26" s="24"/>
      <c r="D26" s="24"/>
      <c r="E26" s="24"/>
      <c r="F26" s="24"/>
    </row>
    <row r="27" spans="1:6" x14ac:dyDescent="0.25">
      <c r="A27" s="5" t="s">
        <v>16</v>
      </c>
      <c r="B27" s="11"/>
      <c r="C27" s="11"/>
      <c r="D27" s="11"/>
      <c r="E27" s="12"/>
      <c r="F27" s="11"/>
    </row>
    <row r="28" spans="1:6" x14ac:dyDescent="0.25">
      <c r="A28" s="13"/>
      <c r="B28" s="14"/>
      <c r="C28" s="15"/>
      <c r="D28" s="15"/>
      <c r="E28" s="15"/>
      <c r="F28" s="15"/>
    </row>
    <row r="30" spans="1:6" x14ac:dyDescent="0.25">
      <c r="A30" s="16" t="s">
        <v>17</v>
      </c>
      <c r="B30" s="16"/>
      <c r="C30" s="16" t="s">
        <v>18</v>
      </c>
      <c r="D30" s="16"/>
      <c r="E30" s="16" t="s">
        <v>19</v>
      </c>
      <c r="F30" s="16"/>
    </row>
    <row r="31" spans="1:6" x14ac:dyDescent="0.25">
      <c r="A31" s="17" t="s">
        <v>20</v>
      </c>
      <c r="B31" s="17"/>
      <c r="C31" s="17" t="s">
        <v>20</v>
      </c>
      <c r="D31" s="17"/>
      <c r="E31" s="17" t="s">
        <v>21</v>
      </c>
      <c r="F31" s="17"/>
    </row>
  </sheetData>
  <mergeCells count="11">
    <mergeCell ref="A13:A14"/>
    <mergeCell ref="B13:B14"/>
    <mergeCell ref="C13:C14"/>
    <mergeCell ref="D13:D14"/>
    <mergeCell ref="E13:F13"/>
    <mergeCell ref="A7:F7"/>
    <mergeCell ref="E1:F1"/>
    <mergeCell ref="E2:F2"/>
    <mergeCell ref="E3:F3"/>
    <mergeCell ref="E4:F4"/>
    <mergeCell ref="A6:F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topLeftCell="A10" workbookViewId="0">
      <selection activeCell="C24" sqref="C24"/>
    </sheetView>
  </sheetViews>
  <sheetFormatPr defaultRowHeight="15.75" x14ac:dyDescent="0.25"/>
  <cols>
    <col min="1" max="4" width="13.75" style="1" customWidth="1"/>
    <col min="5" max="6" width="15.5" style="1" customWidth="1"/>
    <col min="7" max="7" width="19.25" style="1" bestFit="1" customWidth="1"/>
    <col min="8" max="9" width="9" style="1"/>
    <col min="10" max="10" width="15" style="52" bestFit="1" customWidth="1"/>
    <col min="11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x14ac:dyDescent="0.25">
      <c r="A1" t="s">
        <v>59</v>
      </c>
      <c r="B1" t="s">
        <v>60</v>
      </c>
      <c r="E1" s="76" t="s">
        <v>1</v>
      </c>
      <c r="F1" s="76"/>
    </row>
    <row r="2" spans="1:6" x14ac:dyDescent="0.25">
      <c r="A2" t="s">
        <v>22</v>
      </c>
      <c r="B2" t="s">
        <v>61</v>
      </c>
      <c r="E2" s="77" t="s">
        <v>2</v>
      </c>
      <c r="F2" s="77"/>
    </row>
    <row r="3" spans="1:6" x14ac:dyDescent="0.25">
      <c r="E3" s="77" t="s">
        <v>51</v>
      </c>
      <c r="F3" s="77"/>
    </row>
    <row r="4" spans="1:6" x14ac:dyDescent="0.25">
      <c r="E4" s="77" t="s">
        <v>3</v>
      </c>
      <c r="F4" s="77"/>
    </row>
    <row r="5" spans="1:6" x14ac:dyDescent="0.25">
      <c r="E5" s="49"/>
      <c r="F5" s="49"/>
    </row>
    <row r="6" spans="1:6" ht="18" x14ac:dyDescent="0.25">
      <c r="A6" s="78" t="s">
        <v>4</v>
      </c>
      <c r="B6" s="78"/>
      <c r="C6" s="78"/>
      <c r="D6" s="78"/>
      <c r="E6" s="78"/>
      <c r="F6" s="78"/>
    </row>
    <row r="7" spans="1:6" x14ac:dyDescent="0.25">
      <c r="A7" s="75" t="s">
        <v>5</v>
      </c>
      <c r="B7" s="75"/>
      <c r="C7" s="75"/>
      <c r="D7" s="75"/>
      <c r="E7" s="75"/>
      <c r="F7" s="75"/>
    </row>
    <row r="9" spans="1:6" x14ac:dyDescent="0.25">
      <c r="B9" s="3" t="s">
        <v>53</v>
      </c>
      <c r="C9" s="4"/>
      <c r="D9" s="4"/>
      <c r="E9" s="4"/>
      <c r="F9" s="4"/>
    </row>
    <row r="10" spans="1:6" x14ac:dyDescent="0.25">
      <c r="B10" s="3" t="s">
        <v>54</v>
      </c>
      <c r="C10" s="4"/>
      <c r="D10" s="4"/>
      <c r="E10" s="50">
        <f>'bao cao 2023'!C23</f>
        <v>252106</v>
      </c>
      <c r="F10" s="4"/>
    </row>
    <row r="11" spans="1:6" x14ac:dyDescent="0.25">
      <c r="B11" s="3" t="s">
        <v>52</v>
      </c>
      <c r="C11" s="4"/>
      <c r="D11" s="4"/>
      <c r="E11" s="4"/>
      <c r="F11" s="4"/>
    </row>
    <row r="13" spans="1:6" x14ac:dyDescent="0.25">
      <c r="A13" s="79" t="s">
        <v>6</v>
      </c>
      <c r="B13" s="79" t="s">
        <v>7</v>
      </c>
      <c r="C13" s="79" t="s">
        <v>8</v>
      </c>
      <c r="D13" s="79" t="s">
        <v>9</v>
      </c>
      <c r="E13" s="81" t="s">
        <v>10</v>
      </c>
      <c r="F13" s="82"/>
    </row>
    <row r="14" spans="1:6" x14ac:dyDescent="0.25">
      <c r="A14" s="80"/>
      <c r="B14" s="80"/>
      <c r="C14" s="80"/>
      <c r="D14" s="80"/>
      <c r="E14" s="5" t="s">
        <v>11</v>
      </c>
      <c r="F14" s="5" t="s">
        <v>12</v>
      </c>
    </row>
    <row r="15" spans="1:6" x14ac:dyDescent="0.25">
      <c r="A15" s="6" t="s">
        <v>13</v>
      </c>
      <c r="B15" s="7"/>
      <c r="C15" s="7"/>
      <c r="D15" s="7"/>
      <c r="E15" s="7"/>
      <c r="F15" s="7"/>
    </row>
    <row r="16" spans="1:6" x14ac:dyDescent="0.25">
      <c r="A16" s="18"/>
      <c r="B16" s="19"/>
      <c r="C16" s="19"/>
      <c r="D16" s="19"/>
      <c r="E16" s="19"/>
      <c r="F16" s="19"/>
    </row>
    <row r="17" spans="1:8" x14ac:dyDescent="0.25">
      <c r="A17" s="18"/>
      <c r="B17" s="19"/>
      <c r="C17" s="19"/>
      <c r="D17" s="19"/>
      <c r="E17" s="19"/>
      <c r="F17" s="19"/>
      <c r="G17" s="52">
        <v>589913736</v>
      </c>
      <c r="H17" s="1">
        <v>6274</v>
      </c>
    </row>
    <row r="18" spans="1:8" x14ac:dyDescent="0.25">
      <c r="A18" s="8" t="s">
        <v>14</v>
      </c>
      <c r="B18" s="9"/>
      <c r="C18" s="9"/>
      <c r="D18" s="9"/>
      <c r="E18" s="9"/>
      <c r="F18" s="9"/>
      <c r="G18" s="52">
        <v>536655540</v>
      </c>
      <c r="H18" s="1">
        <v>6277</v>
      </c>
    </row>
    <row r="19" spans="1:8" x14ac:dyDescent="0.25">
      <c r="A19" s="8"/>
      <c r="B19" s="9"/>
      <c r="C19" s="9"/>
      <c r="D19" s="9"/>
      <c r="E19" s="9"/>
      <c r="F19" s="9"/>
      <c r="G19" s="52">
        <f>+G17+G18</f>
        <v>1126569276</v>
      </c>
    </row>
    <row r="20" spans="1:8" x14ac:dyDescent="0.25">
      <c r="A20" s="8"/>
      <c r="B20" s="9"/>
      <c r="C20" s="9"/>
      <c r="D20" s="9"/>
      <c r="E20" s="9"/>
      <c r="F20" s="9"/>
    </row>
    <row r="21" spans="1:8" x14ac:dyDescent="0.25">
      <c r="A21" s="8" t="s">
        <v>15</v>
      </c>
      <c r="B21" s="9"/>
      <c r="C21" s="9"/>
      <c r="D21" s="9"/>
      <c r="E21" s="10"/>
      <c r="F21" s="10"/>
    </row>
    <row r="22" spans="1:8" x14ac:dyDescent="0.25">
      <c r="A22" s="20"/>
      <c r="B22" s="21"/>
      <c r="C22" s="21"/>
      <c r="D22" s="21"/>
      <c r="E22" s="22"/>
      <c r="F22" s="22"/>
    </row>
    <row r="23" spans="1:8" x14ac:dyDescent="0.25">
      <c r="A23" s="20"/>
      <c r="B23" s="21"/>
      <c r="C23" s="21"/>
      <c r="D23" s="21"/>
      <c r="E23" s="22"/>
      <c r="F23" s="22"/>
    </row>
    <row r="24" spans="1:8" x14ac:dyDescent="0.25">
      <c r="A24" s="8" t="s">
        <v>0</v>
      </c>
      <c r="B24" s="9"/>
      <c r="C24" s="9">
        <f>147478434+135230539</f>
        <v>282708973</v>
      </c>
      <c r="D24" s="9"/>
      <c r="E24" s="9">
        <f>+B24+C24-D24</f>
        <v>282708973</v>
      </c>
      <c r="F24" s="9">
        <f>+E24/E10</f>
        <v>1121.3893084654867</v>
      </c>
      <c r="G24" s="51">
        <f>+'GT Q1'!C24+'GT Q2'!C24+'GT Q3'!C24+'GT Q4'!C24</f>
        <v>1126569276</v>
      </c>
    </row>
    <row r="25" spans="1:8" x14ac:dyDescent="0.25">
      <c r="A25" s="25"/>
      <c r="B25" s="26"/>
      <c r="C25" s="26"/>
      <c r="D25" s="26"/>
      <c r="E25" s="26"/>
      <c r="F25" s="26"/>
    </row>
    <row r="26" spans="1:8" x14ac:dyDescent="0.25">
      <c r="A26" s="23"/>
      <c r="B26" s="24"/>
      <c r="C26" s="24"/>
      <c r="D26" s="24"/>
      <c r="E26" s="24"/>
      <c r="F26" s="24"/>
    </row>
    <row r="27" spans="1:8" x14ac:dyDescent="0.25">
      <c r="A27" s="5" t="s">
        <v>16</v>
      </c>
      <c r="B27" s="11"/>
      <c r="C27" s="11"/>
      <c r="D27" s="11"/>
      <c r="E27" s="12"/>
      <c r="F27" s="11"/>
    </row>
    <row r="28" spans="1:8" x14ac:dyDescent="0.25">
      <c r="A28" s="13"/>
      <c r="B28" s="14"/>
      <c r="C28" s="15"/>
      <c r="D28" s="15"/>
      <c r="E28" s="15"/>
      <c r="F28" s="15"/>
    </row>
    <row r="30" spans="1:8" x14ac:dyDescent="0.25">
      <c r="A30" s="16" t="s">
        <v>17</v>
      </c>
      <c r="B30" s="16"/>
      <c r="C30" s="16" t="s">
        <v>18</v>
      </c>
      <c r="D30" s="16"/>
      <c r="E30" s="16" t="s">
        <v>19</v>
      </c>
      <c r="F30" s="16"/>
    </row>
    <row r="31" spans="1:8" x14ac:dyDescent="0.25">
      <c r="A31" s="17" t="s">
        <v>20</v>
      </c>
      <c r="B31" s="17"/>
      <c r="C31" s="17" t="s">
        <v>20</v>
      </c>
      <c r="D31" s="17"/>
      <c r="E31" s="17" t="s">
        <v>21</v>
      </c>
      <c r="F31" s="17"/>
    </row>
  </sheetData>
  <mergeCells count="11">
    <mergeCell ref="A13:A14"/>
    <mergeCell ref="B13:B14"/>
    <mergeCell ref="C13:C14"/>
    <mergeCell ref="D13:D14"/>
    <mergeCell ref="E13:F13"/>
    <mergeCell ref="A7:F7"/>
    <mergeCell ref="E1:F1"/>
    <mergeCell ref="E2:F2"/>
    <mergeCell ref="E3:F3"/>
    <mergeCell ref="E4:F4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bao cao 2023</vt:lpstr>
      <vt:lpstr>GT Q1</vt:lpstr>
      <vt:lpstr>GT Q2</vt:lpstr>
      <vt:lpstr>GT Q3</vt:lpstr>
      <vt:lpstr>GT Q4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CHIENTHUAT</cp:lastModifiedBy>
  <dcterms:created xsi:type="dcterms:W3CDTF">2016-04-11T03:39:34Z</dcterms:created>
  <dcterms:modified xsi:type="dcterms:W3CDTF">2024-03-02T01:32:56Z</dcterms:modified>
</cp:coreProperties>
</file>