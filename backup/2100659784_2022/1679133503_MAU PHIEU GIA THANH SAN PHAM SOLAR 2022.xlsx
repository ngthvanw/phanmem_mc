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0370" yWindow="-120" windowWidth="20730" windowHeight="11760" activeTab="5"/>
  </bookViews>
  <sheets>
    <sheet name="bao cao 2021" sheetId="4" r:id="rId1"/>
    <sheet name="bao cao 2022" sheetId="3" r:id="rId2"/>
    <sheet name="GT Q1" sheetId="1" r:id="rId3"/>
    <sheet name="GT Q2" sheetId="5" r:id="rId4"/>
    <sheet name="GT Q3" sheetId="6" r:id="rId5"/>
    <sheet name="GT Q4" sheetId="7" r:id="rId6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7" l="1"/>
  <c r="C24" i="6"/>
  <c r="C24" i="5" l="1"/>
  <c r="C24" i="1"/>
  <c r="E8" i="3"/>
  <c r="E10" i="3"/>
  <c r="E9" i="3"/>
  <c r="E12" i="3" l="1"/>
  <c r="E13" i="3"/>
  <c r="E14" i="3"/>
  <c r="E16" i="3"/>
  <c r="E17" i="3"/>
  <c r="E18" i="3"/>
  <c r="E20" i="3"/>
  <c r="E21" i="3"/>
  <c r="E22" i="3"/>
  <c r="G19" i="7" l="1"/>
  <c r="G24" i="7"/>
  <c r="E24" i="7"/>
  <c r="E24" i="6"/>
  <c r="E24" i="5"/>
  <c r="E24" i="1"/>
  <c r="H25" i="4" l="1"/>
  <c r="E24" i="4"/>
  <c r="D23" i="3"/>
  <c r="E23" i="3" l="1"/>
  <c r="F24" i="4"/>
  <c r="D24" i="4"/>
  <c r="I23" i="4"/>
  <c r="H23" i="4"/>
  <c r="E23" i="4"/>
  <c r="C23" i="4" s="1"/>
  <c r="I22" i="4"/>
  <c r="H22" i="4"/>
  <c r="E22" i="4"/>
  <c r="C22" i="4" s="1"/>
  <c r="I21" i="4"/>
  <c r="H21" i="4"/>
  <c r="E21" i="4"/>
  <c r="I24" i="4" s="1"/>
  <c r="F20" i="4"/>
  <c r="D20" i="4"/>
  <c r="H20" i="4" s="1"/>
  <c r="H19" i="4"/>
  <c r="E19" i="4"/>
  <c r="C19" i="4" s="1"/>
  <c r="H18" i="4"/>
  <c r="E18" i="4"/>
  <c r="C18" i="4" s="1"/>
  <c r="H17" i="4"/>
  <c r="E17" i="4"/>
  <c r="C17" i="4" s="1"/>
  <c r="C20" i="4" s="1"/>
  <c r="F16" i="4"/>
  <c r="D16" i="4"/>
  <c r="H16" i="4" s="1"/>
  <c r="I15" i="4"/>
  <c r="H15" i="4"/>
  <c r="E15" i="4"/>
  <c r="C15" i="4" s="1"/>
  <c r="I14" i="4"/>
  <c r="H14" i="4"/>
  <c r="E14" i="4"/>
  <c r="C14" i="4" s="1"/>
  <c r="I13" i="4"/>
  <c r="H13" i="4"/>
  <c r="E13" i="4"/>
  <c r="I16" i="4" s="1"/>
  <c r="F12" i="4"/>
  <c r="L24" i="4" s="1"/>
  <c r="O25" i="4" s="1"/>
  <c r="D12" i="4"/>
  <c r="H12" i="4" s="1"/>
  <c r="H11" i="4"/>
  <c r="E11" i="4"/>
  <c r="C11" i="4" s="1"/>
  <c r="H10" i="4"/>
  <c r="E10" i="4"/>
  <c r="C10" i="4" s="1"/>
  <c r="H9" i="4"/>
  <c r="E9" i="4"/>
  <c r="I9" i="4" s="1"/>
  <c r="D9" i="4"/>
  <c r="H8" i="4"/>
  <c r="D8" i="4"/>
  <c r="E8" i="4" s="1"/>
  <c r="I8" i="4" s="1"/>
  <c r="C2" i="4"/>
  <c r="C1" i="4"/>
  <c r="C8" i="4" l="1"/>
  <c r="C13" i="4"/>
  <c r="C16" i="4" s="1"/>
  <c r="I20" i="4"/>
  <c r="C21" i="4"/>
  <c r="C24" i="4" s="1"/>
  <c r="H24" i="4" s="1"/>
  <c r="C9" i="4"/>
  <c r="C12" i="4" s="1"/>
  <c r="I10" i="4"/>
  <c r="I11" i="4"/>
  <c r="I17" i="4"/>
  <c r="I18" i="4"/>
  <c r="I19" i="4"/>
  <c r="I12" i="4" l="1"/>
  <c r="M24" i="4"/>
  <c r="O24" i="4" s="1"/>
  <c r="O26" i="4" s="1"/>
  <c r="E15" i="3" l="1"/>
  <c r="C20" i="3" l="1"/>
  <c r="C21" i="3"/>
  <c r="C16" i="3"/>
  <c r="C10" i="3"/>
  <c r="C14" i="3"/>
  <c r="C9" i="3"/>
  <c r="C18" i="3"/>
  <c r="C13" i="3"/>
  <c r="E19" i="3"/>
  <c r="C22" i="3"/>
  <c r="C17" i="3"/>
  <c r="C12" i="3"/>
  <c r="C8" i="3" l="1"/>
  <c r="C11" i="3" s="1"/>
  <c r="C23" i="3"/>
  <c r="E10" i="7" s="1"/>
  <c r="F24" i="7" s="1"/>
  <c r="C19" i="3"/>
  <c r="E10" i="6" s="1"/>
  <c r="F24" i="6" s="1"/>
  <c r="C15" i="3"/>
  <c r="E10" i="5" s="1"/>
  <c r="F24" i="5" s="1"/>
  <c r="E10" i="1" l="1"/>
  <c r="F24" i="1" s="1"/>
  <c r="E11" i="3"/>
  <c r="G24" i="3" s="1"/>
</calcChain>
</file>

<file path=xl/sharedStrings.xml><?xml version="1.0" encoding="utf-8"?>
<sst xmlns="http://schemas.openxmlformats.org/spreadsheetml/2006/main" count="192" uniqueCount="68">
  <si>
    <t>4. Chi phí chung</t>
  </si>
  <si>
    <t>Mẫu số : S 25 - SKT/DNN</t>
  </si>
  <si>
    <t>Ban hành theo quyết định số</t>
  </si>
  <si>
    <t>của bộ tài chính</t>
  </si>
  <si>
    <t>THẺ TÍNH GIÁ THÀNH SẢN PHẨM</t>
  </si>
  <si>
    <t>Tháng 12/2015</t>
  </si>
  <si>
    <t>Khoản mục chi phí sản xuất kinh doanh</t>
  </si>
  <si>
    <t>Chi phí SXKD dở dang đầu kỳ</t>
  </si>
  <si>
    <t>Chi phí SXKD phát sinh trong kỳ</t>
  </si>
  <si>
    <t>Chi phí SXKD dở dang cuối kỳ</t>
  </si>
  <si>
    <t>Giá thành sản phẩm dịch vụ trong kỳ</t>
  </si>
  <si>
    <t xml:space="preserve">Giá thành </t>
  </si>
  <si>
    <t>Giá thành đơn vị</t>
  </si>
  <si>
    <t>1. Vật liệu</t>
  </si>
  <si>
    <t>2. Nhân công</t>
  </si>
  <si>
    <t>3. Máy</t>
  </si>
  <si>
    <t>Cộng</t>
  </si>
  <si>
    <t>Người ghi sổ</t>
  </si>
  <si>
    <t>Kế toán trưởng</t>
  </si>
  <si>
    <t>Giám đốc</t>
  </si>
  <si>
    <t>(Ký , họ tên)</t>
  </si>
  <si>
    <t>(Ký , họ tên,đóng dấu)</t>
  </si>
  <si>
    <t xml:space="preserve">Tên doanh nghiệp: </t>
  </si>
  <si>
    <t>Trụ sở chính:</t>
  </si>
  <si>
    <t>BẢNG BÁO CÁO SẢN LƯỢNG SẢN XUẤT VÀ TIÊU THỤ ĐIỆN SOLAR</t>
  </si>
  <si>
    <t xml:space="preserve">Công suất dự án : </t>
  </si>
  <si>
    <t>20 Kw</t>
  </si>
  <si>
    <t>Thời gian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</si>
  <si>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</si>
  <si>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</si>
  <si>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</si>
  <si>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</si>
  <si>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</si>
  <si>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</si>
  <si>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</si>
  <si>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</si>
  <si>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</si>
  <si>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</si>
  <si>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</si>
  <si>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</si>
  <si>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Sản lượng phát</t>
  </si>
  <si>
    <t>Sản lượng bán</t>
  </si>
  <si>
    <t>Sản lượng tiêu dùng</t>
  </si>
  <si>
    <t>Sản lượng phát bỏ</t>
  </si>
  <si>
    <t>Quý I</t>
  </si>
  <si>
    <t>Quý II</t>
  </si>
  <si>
    <t>Quý III</t>
  </si>
  <si>
    <t>Quý IV</t>
  </si>
  <si>
    <t>Hướng dẫn</t>
  </si>
  <si>
    <t>Sản lượng phát ghi số liệu từ phần mềm quản lý Solar</t>
  </si>
  <si>
    <t xml:space="preserve">Sản lượng phát bỏ ghi nhận điện lực không mua và những ngày cúp điện </t>
  </si>
  <si>
    <t xml:space="preserve">Sản lượng tiêu dùng là chênh lệch còn lại </t>
  </si>
  <si>
    <t xml:space="preserve">Năm </t>
  </si>
  <si>
    <t>133/2016/TT-BTC ngày 14/06/2016</t>
  </si>
  <si>
    <t xml:space="preserve">Phương pháp tính giá thành : Giá thành thực tế </t>
  </si>
  <si>
    <t>Tên sản phẩm , dịch vụ : Điện năng lượng mặt trời</t>
  </si>
  <si>
    <t xml:space="preserve">Số lượng sản phẩm , dịch vụ hoàn thành trong kỳ : </t>
  </si>
  <si>
    <t>Sản lượng bán ghi số liệu từ cơ quan điện lực chốt sổ + SL nội suy đến cuối cuối tháng</t>
  </si>
  <si>
    <t>SL (KW)</t>
  </si>
  <si>
    <t>hoá đơn xuất tháng 1/2021 nhưng nội dung là từ ngày 11/12/2020 -31/12/2020 , nên chị chưa cộng vào  tháng 1/2021</t>
  </si>
  <si>
    <t>Tháng 12/2020</t>
  </si>
  <si>
    <t>Tên doanh nghiệp:</t>
  </si>
  <si>
    <t>Cộng ty TNHH TM Sun Minh</t>
  </si>
  <si>
    <t>Ấp An Trại, Xã An Phú Tâ, Huyện Cầu Kè, Tỉnh Trà Vinh</t>
  </si>
  <si>
    <t>Năm 2022</t>
  </si>
  <si>
    <t>Tên DN:</t>
  </si>
  <si>
    <t>Công ty TNHH TM Sun Minh</t>
  </si>
  <si>
    <t>Ấp An Trại, Xã An Phú Tâ, Huyện Cầu Kè, Trà Vinh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</si>
</sst>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_₫_-;\-* #,##0.00\ _₫_-;_-* &quot;-&quot;??\ _₫_-;_-@_-"/>
    <numFmt numFmtId="165" formatCode="_(* #,##0_);_(* \(#,##0\);_(* &quot;-&quot;??_);_(@_)"/>
    <numFmt numFmtId="166" formatCode="_-* #,##0\ _₫_-;\-* #,##0\ _₫_-;_-* &quot;-&quot;??\ _₫_-;_-@_-"/>
  </numFmts>
  <fonts count="12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sz val="12"/>
      <color theme="1"/>
      <name val="Cambria"/>
      <family val="1"/>
      <scheme val="major"/>
    </font>
    <font>
      <b/>
      <sz val="10"/>
      <name val="Cambria"/>
      <family val="1"/>
      <scheme val="major"/>
    </font>
    <font>
      <i/>
      <sz val="10"/>
      <name val="Cambria"/>
      <family val="1"/>
      <scheme val="major"/>
    </font>
    <font>
      <b/>
      <sz val="14"/>
      <name val="Cambria"/>
      <family val="1"/>
      <scheme val="major"/>
    </font>
    <font>
      <sz val="10"/>
      <name val="Cambria"/>
      <family val="1"/>
      <scheme val="major"/>
    </font>
    <font>
      <i/>
      <sz val="8"/>
      <name val="Cambria"/>
      <family val="1"/>
      <scheme val="major"/>
    </font>
    <font>
      <sz val="8"/>
      <name val="Times New Roman"/>
      <family val="2"/>
      <charset val="163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FF0000"/>
      <name val="Times New Roman"/>
      <family val="2"/>
      <charset val="163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8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6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4" xfId="0" applyFont="1" applyBorder="1"/>
    <xf numFmtId="165" fontId="2" fillId="0" borderId="4" xfId="1" applyNumberFormat="1" applyFont="1" applyBorder="1"/>
    <xf numFmtId="0" fontId="2" fillId="0" borderId="5" xfId="0" applyFont="1" applyBorder="1"/>
    <xf numFmtId="165" fontId="2" fillId="0" borderId="5" xfId="1" applyNumberFormat="1" applyFont="1" applyBorder="1"/>
    <xf numFmtId="165" fontId="6" fillId="0" borderId="5" xfId="1" applyNumberFormat="1" applyFont="1" applyBorder="1" applyAlignment="1"/>
    <xf numFmtId="165" fontId="2" fillId="0" borderId="1" xfId="1" applyNumberFormat="1" applyFont="1" applyBorder="1" applyAlignment="1">
      <alignment vertical="center"/>
    </xf>
    <xf numFmtId="165" fontId="3" fillId="0" borderId="1" xfId="1" applyNumberFormat="1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165" fontId="6" fillId="0" borderId="0" xfId="1" applyNumberFormat="1" applyFont="1" applyBorder="1"/>
    <xf numFmtId="165" fontId="2" fillId="0" borderId="0" xfId="1" applyNumberFormat="1" applyFont="1" applyBorder="1"/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8" xfId="0" applyFont="1" applyBorder="1"/>
    <xf numFmtId="165" fontId="2" fillId="0" borderId="8" xfId="1" applyNumberFormat="1" applyFont="1" applyBorder="1"/>
    <xf numFmtId="0" fontId="2" fillId="0" borderId="9" xfId="0" applyFont="1" applyBorder="1"/>
    <xf numFmtId="165" fontId="2" fillId="0" borderId="9" xfId="1" applyNumberFormat="1" applyFont="1" applyBorder="1"/>
    <xf numFmtId="165" fontId="6" fillId="0" borderId="9" xfId="1" applyNumberFormat="1" applyFont="1" applyBorder="1" applyAlignment="1"/>
    <xf numFmtId="0" fontId="2" fillId="0" borderId="3" xfId="0" applyFont="1" applyBorder="1"/>
    <xf numFmtId="165" fontId="2" fillId="0" borderId="3" xfId="1" applyNumberFormat="1" applyFont="1" applyBorder="1"/>
    <xf numFmtId="0" fontId="2" fillId="0" borderId="10" xfId="0" applyFont="1" applyBorder="1"/>
    <xf numFmtId="165" fontId="2" fillId="0" borderId="10" xfId="1" applyNumberFormat="1" applyFont="1" applyBorder="1"/>
    <xf numFmtId="0" fontId="0" fillId="0" borderId="0" xfId="0" applyAlignment="1">
      <alignment horizontal="right"/>
    </xf>
    <xf numFmtId="0" fontId="0" fillId="0" borderId="5" xfId="0" applyBorder="1" applyAlignment="1">
      <alignment horizontal="center"/>
    </xf>
    <xf numFmtId="0" fontId="0" fillId="0" borderId="5" xfId="0" applyBorder="1"/>
    <xf numFmtId="0" fontId="9" fillId="0" borderId="0" xfId="0" applyFont="1"/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0" fillId="3" borderId="1" xfId="0" applyFill="1" applyBorder="1" applyAlignment="1">
      <alignment horizontal="center" vertical="center"/>
    </xf>
    <xf numFmtId="3" fontId="0" fillId="0" borderId="4" xfId="0" applyNumberFormat="1" applyBorder="1"/>
    <xf numFmtId="3" fontId="0" fillId="0" borderId="5" xfId="0" applyNumberFormat="1" applyBorder="1"/>
    <xf numFmtId="3" fontId="0" fillId="0" borderId="9" xfId="0" applyNumberFormat="1" applyBorder="1"/>
    <xf numFmtId="3" fontId="0" fillId="0" borderId="8" xfId="0" applyNumberFormat="1" applyBorder="1"/>
    <xf numFmtId="0" fontId="0" fillId="0" borderId="0" xfId="0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/>
    <xf numFmtId="3" fontId="9" fillId="2" borderId="1" xfId="0" applyNumberFormat="1" applyFont="1" applyFill="1" applyBorder="1"/>
    <xf numFmtId="0" fontId="10" fillId="0" borderId="0" xfId="0" applyFont="1"/>
    <xf numFmtId="0" fontId="10" fillId="0" borderId="0" xfId="0" applyFont="1" applyFill="1" applyBorder="1"/>
    <xf numFmtId="0" fontId="9" fillId="0" borderId="0" xfId="0" applyFont="1" applyAlignment="1">
      <alignment horizontal="left"/>
    </xf>
    <xf numFmtId="0" fontId="0" fillId="4" borderId="0" xfId="0" applyFill="1"/>
    <xf numFmtId="0" fontId="11" fillId="5" borderId="11" xfId="0" applyFont="1" applyFill="1" applyBorder="1" applyAlignment="1">
      <alignment horizontal="center" vertical="center"/>
    </xf>
    <xf numFmtId="0" fontId="11" fillId="5" borderId="0" xfId="0" applyFont="1" applyFill="1"/>
    <xf numFmtId="166" fontId="11" fillId="5" borderId="0" xfId="1" applyNumberFormat="1" applyFont="1" applyFill="1"/>
    <xf numFmtId="0" fontId="11" fillId="5" borderId="0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right" vertical="center"/>
    </xf>
    <xf numFmtId="3" fontId="0" fillId="0" borderId="5" xfId="0" applyNumberFormat="1" applyBorder="1" applyAlignment="1"/>
    <xf numFmtId="3" fontId="9" fillId="2" borderId="1" xfId="0" applyNumberFormat="1" applyFont="1" applyFill="1" applyBorder="1" applyAlignment="1"/>
    <xf numFmtId="3" fontId="0" fillId="0" borderId="8" xfId="0" applyNumberFormat="1" applyBorder="1" applyAlignment="1"/>
    <xf numFmtId="0" fontId="0" fillId="0" borderId="2" xfId="0" applyBorder="1" applyAlignment="1">
      <alignment horizontal="center"/>
    </xf>
    <xf numFmtId="0" fontId="0" fillId="0" borderId="2" xfId="0" applyBorder="1"/>
    <xf numFmtId="3" fontId="0" fillId="0" borderId="2" xfId="0" applyNumberFormat="1" applyBorder="1"/>
    <xf numFmtId="0" fontId="0" fillId="0" borderId="12" xfId="0" applyBorder="1" applyAlignment="1">
      <alignment horizontal="center"/>
    </xf>
    <xf numFmtId="0" fontId="0" fillId="0" borderId="12" xfId="0" applyBorder="1"/>
    <xf numFmtId="3" fontId="0" fillId="0" borderId="12" xfId="0" applyNumberFormat="1" applyBorder="1"/>
    <xf numFmtId="3" fontId="0" fillId="0" borderId="12" xfId="0" applyNumberFormat="1" applyBorder="1" applyAlignment="1"/>
    <xf numFmtId="3" fontId="0" fillId="0" borderId="1" xfId="0" applyNumberFormat="1" applyBorder="1" applyAlignment="1"/>
    <xf numFmtId="3" fontId="0" fillId="2" borderId="3" xfId="0" applyNumberFormat="1" applyFill="1" applyBorder="1" applyAlignment="1"/>
    <xf numFmtId="3" fontId="0" fillId="2" borderId="1" xfId="0" applyNumberFormat="1" applyFill="1" applyBorder="1" applyAlignment="1"/>
    <xf numFmtId="3" fontId="0" fillId="0" borderId="0" xfId="0" applyNumberFormat="1"/>
    <xf numFmtId="166" fontId="0" fillId="0" borderId="0" xfId="1" applyNumberFormat="1" applyFont="1"/>
    <xf numFmtId="3" fontId="0" fillId="5" borderId="2" xfId="0" applyNumberFormat="1" applyFill="1" applyBorder="1" applyAlignment="1">
      <alignment horizontal="right" vertical="center"/>
    </xf>
    <xf numFmtId="3" fontId="0" fillId="0" borderId="2" xfId="0" applyNumberFormat="1" applyBorder="1" applyAlignment="1">
      <alignment horizontal="right"/>
    </xf>
    <xf numFmtId="3" fontId="0" fillId="0" borderId="5" xfId="0" applyNumberFormat="1" applyBorder="1" applyAlignment="1">
      <alignment horizontal="right"/>
    </xf>
    <xf numFmtId="3" fontId="0" fillId="0" borderId="12" xfId="0" applyNumberFormat="1" applyBorder="1" applyAlignment="1">
      <alignment horizontal="right"/>
    </xf>
    <xf numFmtId="3" fontId="9" fillId="2" borderId="1" xfId="0" applyNumberFormat="1" applyFont="1" applyFill="1" applyBorder="1" applyAlignment="1">
      <alignment horizontal="right"/>
    </xf>
    <xf numFmtId="3" fontId="0" fillId="0" borderId="8" xfId="0" applyNumberFormat="1" applyBorder="1" applyAlignment="1">
      <alignment horizontal="right"/>
    </xf>
    <xf numFmtId="0" fontId="0" fillId="3" borderId="1" xfId="0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3" borderId="11" xfId="0" applyFill="1" applyBorder="1" applyAlignment="1">
      <alignment horizontal="center" vertical="center"/>
    </xf>
    <xf numFmtId="0" fontId="0" fillId="5" borderId="0" xfId="0" applyFill="1" applyBorder="1" applyAlignment="1">
      <alignment horizontal="right" vertical="center"/>
    </xf>
    <xf numFmtId="3" fontId="9" fillId="2" borderId="0" xfId="0" applyNumberFormat="1" applyFont="1" applyFill="1" applyBorder="1"/>
    <xf numFmtId="166" fontId="0" fillId="5" borderId="0" xfId="1" applyNumberFormat="1" applyFont="1" applyFill="1" applyBorder="1" applyAlignment="1">
      <alignment horizontal="right" vertic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4" fillId="0" borderId="0" xfId="0" applyFont="1" applyAlignment="1">
      <alignment horizontal="center" vertical="center" wrapText="1"/>
    </xf>
    <xf numFmtId="3" fontId="6" fillId="0" borderId="0" xfId="0" applyNumberFormat="1" applyFont="1"/>
    <xf numFmtId="165" fontId="2" fillId="0" borderId="0" xfId="0" applyNumberFormat="1" applyFont="1"/>
    <xf numFmtId="166" fontId="2" fillId="0" borderId="0" xfId="1" applyNumberFormat="1" applyFont="1"/>
    <xf numFmtId="3" fontId="11" fillId="0" borderId="9" xfId="0" applyNumberFormat="1" applyFont="1" applyBorder="1"/>
    <xf numFmtId="0" fontId="9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topLeftCell="A4" workbookViewId="0">
      <selection activeCell="E8" sqref="E8"/>
    </sheetView>
  </sheetViews>
  <sheetFormatPr defaultRowHeight="15.75" x14ac:dyDescent="0.25"/>
  <cols>
    <col min="1" max="1" width="12" customWidth="1"/>
    <col min="2" max="2" width="2.625" customWidth="1"/>
    <col min="3" max="11" width="15.625" customWidth="1"/>
    <col min="12" max="12" width="11.875" bestFit="1" customWidth="1"/>
    <col min="15" max="15" width="15.5" bestFit="1" customWidth="1"/>
  </cols>
  <sheetData>
    <row r="1" spans="1:20" ht="21.95" customHeight="1" x14ac:dyDescent="0.25">
      <c r="A1" t="s">
        <v>22</v>
      </c>
      <c r="C1" t="e">
        <f>#REF!</f>
        <v>#REF!</v>
      </c>
    </row>
    <row r="2" spans="1:20" ht="21.95" customHeight="1" x14ac:dyDescent="0.25">
      <c r="A2" t="s">
        <v>23</v>
      </c>
      <c r="C2" t="e">
        <f>#REF!</f>
        <v>#REF!</v>
      </c>
    </row>
    <row r="3" spans="1:20" ht="21.95" customHeight="1" x14ac:dyDescent="0.25">
      <c r="A3" s="88" t="s">
        <v>24</v>
      </c>
      <c r="B3" s="88"/>
      <c r="C3" s="88"/>
      <c r="D3" s="88"/>
      <c r="E3" s="88"/>
      <c r="F3" s="88"/>
      <c r="G3" s="76"/>
      <c r="H3" s="76"/>
      <c r="I3" s="76"/>
      <c r="J3" s="76"/>
      <c r="K3" s="76"/>
    </row>
    <row r="4" spans="1:20" ht="21.95" customHeight="1" x14ac:dyDescent="0.25"/>
    <row r="5" spans="1:20" ht="21.95" customHeight="1" x14ac:dyDescent="0.25">
      <c r="B5" t="s">
        <v>25</v>
      </c>
      <c r="D5" s="30" t="s">
        <v>26</v>
      </c>
      <c r="E5" s="27" t="s">
        <v>52</v>
      </c>
      <c r="F5" s="46">
        <v>2021</v>
      </c>
      <c r="G5" s="46"/>
      <c r="H5" s="46"/>
      <c r="I5" s="46"/>
      <c r="J5" s="46"/>
      <c r="K5" s="46"/>
    </row>
    <row r="6" spans="1:20" ht="21.95" customHeight="1" x14ac:dyDescent="0.25"/>
    <row r="7" spans="1:20" ht="21.95" customHeight="1" x14ac:dyDescent="0.25">
      <c r="A7" s="89" t="s">
        <v>27</v>
      </c>
      <c r="B7" s="89"/>
      <c r="C7" s="75" t="s">
        <v>40</v>
      </c>
      <c r="D7" s="75" t="s">
        <v>41</v>
      </c>
      <c r="E7" s="75" t="s">
        <v>43</v>
      </c>
      <c r="F7" s="75" t="s">
        <v>42</v>
      </c>
      <c r="G7" s="77"/>
      <c r="H7" s="77"/>
      <c r="I7" s="77"/>
      <c r="J7" s="77"/>
      <c r="K7" s="77"/>
      <c r="L7" s="48" t="s">
        <v>58</v>
      </c>
      <c r="M7" s="49"/>
      <c r="N7" s="49"/>
      <c r="O7" s="49"/>
      <c r="P7" s="49"/>
      <c r="Q7" s="49"/>
      <c r="R7" s="49"/>
      <c r="S7" s="49"/>
      <c r="T7" s="47"/>
    </row>
    <row r="8" spans="1:20" ht="21.95" customHeight="1" x14ac:dyDescent="0.25">
      <c r="A8" s="52" t="s">
        <v>60</v>
      </c>
      <c r="B8" s="52"/>
      <c r="C8" s="69">
        <f>D8+E8</f>
        <v>72008.94</v>
      </c>
      <c r="D8" s="36">
        <f>22800+47797</f>
        <v>70597</v>
      </c>
      <c r="E8" s="64">
        <f>D8*2%</f>
        <v>1411.94</v>
      </c>
      <c r="F8" s="53">
        <v>0</v>
      </c>
      <c r="G8" s="78">
        <v>1938</v>
      </c>
      <c r="H8" s="80">
        <f>D8*G8</f>
        <v>136816986</v>
      </c>
      <c r="I8" s="80">
        <f>E8*G8</f>
        <v>2736339.72</v>
      </c>
      <c r="J8" s="80"/>
      <c r="K8" s="80"/>
      <c r="L8" s="51"/>
      <c r="M8" s="49"/>
      <c r="N8" s="49"/>
      <c r="O8" s="49"/>
      <c r="P8" s="49"/>
      <c r="Q8" s="49"/>
      <c r="R8" s="49"/>
      <c r="S8" s="49"/>
      <c r="T8" s="47"/>
    </row>
    <row r="9" spans="1:20" ht="21.95" customHeight="1" x14ac:dyDescent="0.25">
      <c r="A9" s="57" t="s">
        <v>28</v>
      </c>
      <c r="B9" s="58"/>
      <c r="C9" s="70">
        <f>D9+E9</f>
        <v>24478.98</v>
      </c>
      <c r="D9" s="59">
        <f>23999</f>
        <v>23999</v>
      </c>
      <c r="E9" s="56">
        <f>D9*2%</f>
        <v>479.98</v>
      </c>
      <c r="F9" s="59">
        <v>100</v>
      </c>
      <c r="G9" s="78">
        <v>1938</v>
      </c>
      <c r="H9" s="80">
        <f t="shared" ref="H9:H23" si="0">D9*G9</f>
        <v>46510062</v>
      </c>
      <c r="I9" s="80">
        <f t="shared" ref="I9:I24" si="1">E9*G9</f>
        <v>930201.24</v>
      </c>
      <c r="J9" s="80"/>
      <c r="K9" s="80"/>
      <c r="L9" s="50">
        <v>47797</v>
      </c>
      <c r="M9" s="49" t="s">
        <v>59</v>
      </c>
      <c r="N9" s="49"/>
      <c r="O9" s="49"/>
      <c r="P9" s="49"/>
      <c r="Q9" s="49"/>
      <c r="R9" s="49"/>
      <c r="S9" s="49"/>
      <c r="T9" s="47"/>
    </row>
    <row r="10" spans="1:20" ht="21.95" customHeight="1" x14ac:dyDescent="0.25">
      <c r="A10" s="28" t="s">
        <v>29</v>
      </c>
      <c r="B10" s="29"/>
      <c r="C10" s="71">
        <f>D10+E10</f>
        <v>85782</v>
      </c>
      <c r="D10" s="37">
        <v>84100</v>
      </c>
      <c r="E10" s="54">
        <f t="shared" ref="E10:E23" si="2">D10*2%</f>
        <v>1682</v>
      </c>
      <c r="F10" s="37">
        <v>100</v>
      </c>
      <c r="G10" s="78">
        <v>1938</v>
      </c>
      <c r="H10" s="80">
        <f t="shared" si="0"/>
        <v>162985800</v>
      </c>
      <c r="I10" s="80">
        <f t="shared" si="1"/>
        <v>3259716</v>
      </c>
      <c r="J10" s="80"/>
      <c r="K10" s="80"/>
    </row>
    <row r="11" spans="1:20" ht="21.95" customHeight="1" x14ac:dyDescent="0.25">
      <c r="A11" s="60" t="s">
        <v>30</v>
      </c>
      <c r="B11" s="61"/>
      <c r="C11" s="72">
        <f>D11+E11</f>
        <v>84451.92</v>
      </c>
      <c r="D11" s="62">
        <v>82796</v>
      </c>
      <c r="E11" s="63">
        <f t="shared" si="2"/>
        <v>1655.92</v>
      </c>
      <c r="F11" s="62">
        <v>100</v>
      </c>
      <c r="G11" s="78">
        <v>1938</v>
      </c>
      <c r="H11" s="80">
        <f t="shared" si="0"/>
        <v>160458648</v>
      </c>
      <c r="I11" s="80">
        <f t="shared" si="1"/>
        <v>3209172.96</v>
      </c>
      <c r="J11" s="80"/>
      <c r="K11" s="80"/>
    </row>
    <row r="12" spans="1:20" ht="21.95" customHeight="1" x14ac:dyDescent="0.25">
      <c r="A12" s="41" t="s">
        <v>44</v>
      </c>
      <c r="B12" s="42"/>
      <c r="C12" s="73">
        <f>SUM(C9:C11)</f>
        <v>194712.9</v>
      </c>
      <c r="D12" s="43">
        <f>SUM(D9:D11)</f>
        <v>190895</v>
      </c>
      <c r="E12" s="66"/>
      <c r="F12" s="43">
        <f>SUM(F9:F11)</f>
        <v>300</v>
      </c>
      <c r="G12" s="78"/>
      <c r="H12" s="80">
        <f t="shared" si="0"/>
        <v>0</v>
      </c>
      <c r="I12" s="80">
        <f t="shared" si="1"/>
        <v>0</v>
      </c>
      <c r="J12" s="80"/>
      <c r="K12" s="80"/>
    </row>
    <row r="13" spans="1:20" ht="21.95" customHeight="1" x14ac:dyDescent="0.25">
      <c r="A13" s="33" t="s">
        <v>31</v>
      </c>
      <c r="B13" s="34"/>
      <c r="C13" s="74">
        <f>D13+E13</f>
        <v>113622.9</v>
      </c>
      <c r="D13" s="39">
        <v>111395</v>
      </c>
      <c r="E13" s="56">
        <f t="shared" si="2"/>
        <v>2227.9</v>
      </c>
      <c r="F13" s="39">
        <v>100</v>
      </c>
      <c r="G13" s="78">
        <v>1938</v>
      </c>
      <c r="H13" s="80">
        <f t="shared" si="0"/>
        <v>215883510</v>
      </c>
      <c r="I13" s="80">
        <f t="shared" si="1"/>
        <v>4317670.2</v>
      </c>
      <c r="J13" s="80"/>
      <c r="K13" s="80"/>
    </row>
    <row r="14" spans="1:20" ht="21.95" customHeight="1" x14ac:dyDescent="0.25">
      <c r="A14" s="28" t="s">
        <v>32</v>
      </c>
      <c r="B14" s="29"/>
      <c r="C14" s="74">
        <f t="shared" ref="C14:C15" si="3">D14+E14</f>
        <v>99546.9</v>
      </c>
      <c r="D14" s="37">
        <v>97595</v>
      </c>
      <c r="E14" s="54">
        <f t="shared" si="2"/>
        <v>1951.9</v>
      </c>
      <c r="F14" s="37">
        <v>100</v>
      </c>
      <c r="G14" s="78">
        <v>1938</v>
      </c>
      <c r="H14" s="80">
        <f t="shared" si="0"/>
        <v>189139110</v>
      </c>
      <c r="I14" s="80">
        <f t="shared" si="1"/>
        <v>3782782.2</v>
      </c>
      <c r="J14" s="80"/>
      <c r="K14" s="80"/>
    </row>
    <row r="15" spans="1:20" ht="21.95" customHeight="1" x14ac:dyDescent="0.25">
      <c r="A15" s="31" t="s">
        <v>33</v>
      </c>
      <c r="B15" s="32"/>
      <c r="C15" s="74">
        <f t="shared" si="3"/>
        <v>94854.9</v>
      </c>
      <c r="D15" s="38">
        <v>92995</v>
      </c>
      <c r="E15" s="63">
        <f t="shared" si="2"/>
        <v>1859.9</v>
      </c>
      <c r="F15" s="38">
        <v>100</v>
      </c>
      <c r="G15" s="78">
        <v>1938</v>
      </c>
      <c r="H15" s="80">
        <f t="shared" si="0"/>
        <v>180224310</v>
      </c>
      <c r="I15" s="80">
        <f t="shared" si="1"/>
        <v>3604486.2</v>
      </c>
      <c r="J15" s="80"/>
      <c r="K15" s="80"/>
    </row>
    <row r="16" spans="1:20" ht="21.95" customHeight="1" x14ac:dyDescent="0.25">
      <c r="A16" s="41" t="s">
        <v>45</v>
      </c>
      <c r="B16" s="42"/>
      <c r="C16" s="73">
        <f>SUM(C13:C15)</f>
        <v>308024.69999999995</v>
      </c>
      <c r="D16" s="43">
        <f>SUM(D13:D15)</f>
        <v>301985</v>
      </c>
      <c r="E16" s="65"/>
      <c r="F16" s="43">
        <f>SUM(F13:F15)</f>
        <v>300</v>
      </c>
      <c r="G16" s="78"/>
      <c r="H16" s="80">
        <f t="shared" si="0"/>
        <v>0</v>
      </c>
      <c r="I16" s="80">
        <f t="shared" si="1"/>
        <v>0</v>
      </c>
      <c r="J16" s="80"/>
      <c r="K16" s="80"/>
    </row>
    <row r="17" spans="1:15" ht="21.95" customHeight="1" x14ac:dyDescent="0.25">
      <c r="A17" s="33" t="s">
        <v>34</v>
      </c>
      <c r="B17" s="34"/>
      <c r="C17" s="74">
        <f>+D17+E17</f>
        <v>99444.9</v>
      </c>
      <c r="D17" s="39">
        <v>97495</v>
      </c>
      <c r="E17" s="56">
        <f t="shared" si="2"/>
        <v>1949.9</v>
      </c>
      <c r="F17" s="39">
        <v>200</v>
      </c>
      <c r="G17" s="78">
        <v>1938</v>
      </c>
      <c r="H17" s="80">
        <f t="shared" si="0"/>
        <v>188945310</v>
      </c>
      <c r="I17" s="80">
        <f t="shared" si="1"/>
        <v>3778906.2</v>
      </c>
      <c r="J17" s="80"/>
      <c r="K17" s="80"/>
    </row>
    <row r="18" spans="1:15" ht="21.95" customHeight="1" x14ac:dyDescent="0.25">
      <c r="A18" s="28" t="s">
        <v>35</v>
      </c>
      <c r="B18" s="29"/>
      <c r="C18" s="74">
        <f t="shared" ref="C18:C19" si="4">+D18+E18</f>
        <v>166047.84</v>
      </c>
      <c r="D18" s="38">
        <v>162792</v>
      </c>
      <c r="E18" s="54">
        <f t="shared" si="2"/>
        <v>3255.84</v>
      </c>
      <c r="F18" s="37">
        <v>100</v>
      </c>
      <c r="G18" s="78">
        <v>1938</v>
      </c>
      <c r="H18" s="80">
        <f t="shared" si="0"/>
        <v>315490896</v>
      </c>
      <c r="I18" s="80">
        <f t="shared" si="1"/>
        <v>6309817.9199999999</v>
      </c>
      <c r="J18" s="80"/>
      <c r="K18" s="80"/>
    </row>
    <row r="19" spans="1:15" ht="21.95" customHeight="1" x14ac:dyDescent="0.25">
      <c r="A19" s="31" t="s">
        <v>36</v>
      </c>
      <c r="B19" s="32"/>
      <c r="C19" s="74">
        <f t="shared" si="4"/>
        <v>78433.919999999998</v>
      </c>
      <c r="D19" s="39">
        <v>76896</v>
      </c>
      <c r="E19" s="63">
        <f t="shared" si="2"/>
        <v>1537.92</v>
      </c>
      <c r="F19" s="38">
        <v>200</v>
      </c>
      <c r="G19" s="78">
        <v>1938</v>
      </c>
      <c r="H19" s="80">
        <f t="shared" si="0"/>
        <v>149024448</v>
      </c>
      <c r="I19" s="80">
        <f t="shared" si="1"/>
        <v>2980488.96</v>
      </c>
      <c r="J19" s="80"/>
      <c r="K19" s="80"/>
    </row>
    <row r="20" spans="1:15" ht="21.95" customHeight="1" x14ac:dyDescent="0.25">
      <c r="A20" s="41" t="s">
        <v>46</v>
      </c>
      <c r="B20" s="42"/>
      <c r="C20" s="73">
        <f>SUM(C17:C19)</f>
        <v>343926.66</v>
      </c>
      <c r="D20" s="43">
        <f>SUM(D17:D19)</f>
        <v>337183</v>
      </c>
      <c r="E20" s="65"/>
      <c r="F20" s="43">
        <f>SUM(F17:F19)</f>
        <v>500</v>
      </c>
      <c r="G20" s="78"/>
      <c r="H20" s="80">
        <f t="shared" si="0"/>
        <v>0</v>
      </c>
      <c r="I20" s="80">
        <f t="shared" si="1"/>
        <v>0</v>
      </c>
      <c r="J20" s="80"/>
      <c r="K20" s="80"/>
    </row>
    <row r="21" spans="1:15" ht="21.95" customHeight="1" x14ac:dyDescent="0.25">
      <c r="A21" s="33" t="s">
        <v>37</v>
      </c>
      <c r="B21" s="34"/>
      <c r="C21" s="74">
        <f>+D21+E21</f>
        <v>71599.92</v>
      </c>
      <c r="D21" s="37">
        <v>70196</v>
      </c>
      <c r="E21" s="56">
        <f t="shared" si="2"/>
        <v>1403.92</v>
      </c>
      <c r="F21" s="39">
        <v>100</v>
      </c>
      <c r="G21" s="78">
        <v>1938</v>
      </c>
      <c r="H21" s="80">
        <f t="shared" si="0"/>
        <v>136039848</v>
      </c>
      <c r="I21" s="80">
        <f t="shared" si="1"/>
        <v>2720796.96</v>
      </c>
      <c r="J21" s="80"/>
      <c r="K21" s="80"/>
    </row>
    <row r="22" spans="1:15" ht="21.95" customHeight="1" x14ac:dyDescent="0.25">
      <c r="A22" s="28" t="s">
        <v>38</v>
      </c>
      <c r="B22" s="29"/>
      <c r="C22" s="74">
        <f t="shared" ref="C22:C23" si="5">+D22+E22</f>
        <v>71803.92</v>
      </c>
      <c r="D22" s="37">
        <v>70396</v>
      </c>
      <c r="E22" s="54">
        <f t="shared" si="2"/>
        <v>1407.92</v>
      </c>
      <c r="F22" s="37">
        <v>200</v>
      </c>
      <c r="G22" s="78">
        <v>1938</v>
      </c>
      <c r="H22" s="80">
        <f t="shared" si="0"/>
        <v>136427448</v>
      </c>
      <c r="I22" s="80">
        <f t="shared" si="1"/>
        <v>2728548.96</v>
      </c>
      <c r="J22" s="80"/>
      <c r="K22" s="80"/>
    </row>
    <row r="23" spans="1:15" ht="21.95" customHeight="1" x14ac:dyDescent="0.25">
      <c r="A23" s="31" t="s">
        <v>39</v>
      </c>
      <c r="B23" s="32"/>
      <c r="C23" s="74">
        <f t="shared" si="5"/>
        <v>75373.919999999998</v>
      </c>
      <c r="D23" s="38">
        <v>73896</v>
      </c>
      <c r="E23" s="63">
        <f t="shared" si="2"/>
        <v>1477.92</v>
      </c>
      <c r="F23" s="38">
        <v>200</v>
      </c>
      <c r="G23" s="78">
        <v>1938</v>
      </c>
      <c r="H23" s="80">
        <f t="shared" si="0"/>
        <v>143210448</v>
      </c>
      <c r="I23" s="80">
        <f t="shared" si="1"/>
        <v>2864208.96</v>
      </c>
      <c r="J23" s="80"/>
      <c r="K23" s="80"/>
    </row>
    <row r="24" spans="1:15" ht="21.95" customHeight="1" x14ac:dyDescent="0.25">
      <c r="A24" s="41" t="s">
        <v>47</v>
      </c>
      <c r="B24" s="42"/>
      <c r="C24" s="73">
        <f>SUM(C21:C23)</f>
        <v>218777.76</v>
      </c>
      <c r="D24" s="43">
        <f>SUM(D21:D23)</f>
        <v>214488</v>
      </c>
      <c r="E24" s="55">
        <f>SUM(E8:E23)</f>
        <v>22302.959999999992</v>
      </c>
      <c r="F24" s="43">
        <f>SUM(F21:F23)</f>
        <v>500</v>
      </c>
      <c r="G24" s="79"/>
      <c r="H24" s="80">
        <f t="shared" ref="H24" si="6">C24*G24</f>
        <v>0</v>
      </c>
      <c r="I24" s="80">
        <f t="shared" si="1"/>
        <v>0</v>
      </c>
      <c r="J24" s="80"/>
      <c r="K24" s="80"/>
      <c r="L24" s="67">
        <f>F12+F16+F20+F24</f>
        <v>1600</v>
      </c>
      <c r="M24" s="67">
        <f>E12+E16+E20+E24</f>
        <v>22302.959999999992</v>
      </c>
      <c r="N24" s="67">
        <v>1938</v>
      </c>
      <c r="O24" s="68">
        <f>M24*N24</f>
        <v>43223136.479999982</v>
      </c>
    </row>
    <row r="25" spans="1:15" ht="21.95" customHeight="1" x14ac:dyDescent="0.25">
      <c r="H25" s="80">
        <f>E24*G23</f>
        <v>43223136.479999982</v>
      </c>
      <c r="O25" s="68">
        <f>L24*N24</f>
        <v>3100800</v>
      </c>
    </row>
    <row r="26" spans="1:15" ht="21.95" customHeight="1" x14ac:dyDescent="0.25">
      <c r="A26" s="40" t="s">
        <v>48</v>
      </c>
      <c r="C26" s="44" t="s">
        <v>49</v>
      </c>
      <c r="O26" s="68">
        <f>SUM(O24:O25)</f>
        <v>46323936.479999982</v>
      </c>
    </row>
    <row r="27" spans="1:15" ht="21.95" customHeight="1" x14ac:dyDescent="0.25">
      <c r="C27" s="44" t="s">
        <v>57</v>
      </c>
    </row>
    <row r="28" spans="1:15" ht="21.95" customHeight="1" x14ac:dyDescent="0.25">
      <c r="C28" s="44" t="s">
        <v>50</v>
      </c>
    </row>
    <row r="29" spans="1:15" ht="21.95" customHeight="1" x14ac:dyDescent="0.25">
      <c r="C29" s="45" t="s">
        <v>51</v>
      </c>
    </row>
  </sheetData>
  <mergeCells count="2">
    <mergeCell ref="A3:F3"/>
    <mergeCell ref="A7:B7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28"/>
  <sheetViews>
    <sheetView topLeftCell="A7" workbookViewId="0">
      <selection sqref="A1:D2"/>
    </sheetView>
  </sheetViews>
  <sheetFormatPr defaultRowHeight="15.75" x14ac:dyDescent="0.25"/>
  <cols>
    <col min="1" max="1" width="12" customWidth="1"/>
    <col min="2" max="2" width="2.625" customWidth="1"/>
    <col min="3" max="5" width="15.625" customWidth="1"/>
  </cols>
  <sheetData>
    <row r="1" spans="1:7" ht="21.95" customHeight="1" x14ac:dyDescent="0.25">
      <c r="A1" t="s">
        <v>61</v>
      </c>
      <c r="C1" t="s">
        <v>62</v>
      </c>
    </row>
    <row r="2" spans="1:7" ht="21.95" customHeight="1" x14ac:dyDescent="0.25">
      <c r="A2" t="s">
        <v>23</v>
      </c>
      <c r="C2" t="s">
        <v>63</v>
      </c>
    </row>
    <row r="3" spans="1:7" ht="21.95" customHeight="1" x14ac:dyDescent="0.25">
      <c r="A3" s="88" t="s">
        <v>24</v>
      </c>
      <c r="B3" s="88"/>
      <c r="C3" s="88"/>
      <c r="D3" s="88"/>
      <c r="E3" s="88"/>
    </row>
    <row r="4" spans="1:7" ht="21.95" customHeight="1" x14ac:dyDescent="0.25"/>
    <row r="5" spans="1:7" ht="21.95" customHeight="1" x14ac:dyDescent="0.25">
      <c r="B5" t="s">
        <v>25</v>
      </c>
      <c r="D5" s="30" t="s">
        <v>26</v>
      </c>
      <c r="E5" s="27" t="s">
        <v>64</v>
      </c>
    </row>
    <row r="6" spans="1:7" ht="21.95" customHeight="1" x14ac:dyDescent="0.25"/>
    <row r="7" spans="1:7" ht="21.95" customHeight="1" x14ac:dyDescent="0.25">
      <c r="A7" s="89" t="s">
        <v>27</v>
      </c>
      <c r="B7" s="89"/>
      <c r="C7" s="35" t="s">
        <v>40</v>
      </c>
      <c r="D7" s="35" t="s">
        <v>41</v>
      </c>
      <c r="E7" s="35" t="s">
        <v>43</v>
      </c>
      <c r="F7" s="49"/>
      <c r="G7" s="47"/>
    </row>
    <row r="8" spans="1:7" ht="21.95" customHeight="1" x14ac:dyDescent="0.25">
      <c r="A8" s="57" t="s">
        <v>28</v>
      </c>
      <c r="B8" s="58"/>
      <c r="C8" s="70">
        <f>D8+E8</f>
        <v>103728.9</v>
      </c>
      <c r="D8" s="59">
        <v>101695</v>
      </c>
      <c r="E8" s="56">
        <f>D8*2%</f>
        <v>2033.9</v>
      </c>
      <c r="F8" s="49"/>
      <c r="G8" s="47"/>
    </row>
    <row r="9" spans="1:7" ht="21.95" customHeight="1" x14ac:dyDescent="0.25">
      <c r="A9" s="28" t="s">
        <v>29</v>
      </c>
      <c r="B9" s="29"/>
      <c r="C9" s="71">
        <f>D9+E9</f>
        <v>86287.92</v>
      </c>
      <c r="D9" s="37">
        <v>84596</v>
      </c>
      <c r="E9" s="56">
        <f>D9*2%</f>
        <v>1691.92</v>
      </c>
    </row>
    <row r="10" spans="1:7" ht="21.95" customHeight="1" x14ac:dyDescent="0.25">
      <c r="A10" s="60" t="s">
        <v>30</v>
      </c>
      <c r="B10" s="61"/>
      <c r="C10" s="72">
        <f>D10+E10</f>
        <v>106074.9</v>
      </c>
      <c r="D10" s="62">
        <v>103995</v>
      </c>
      <c r="E10" s="56">
        <f>D10*2%</f>
        <v>2079.9</v>
      </c>
    </row>
    <row r="11" spans="1:7" ht="21.95" customHeight="1" x14ac:dyDescent="0.25">
      <c r="A11" s="41" t="s">
        <v>44</v>
      </c>
      <c r="B11" s="42"/>
      <c r="C11" s="73">
        <f>SUM(C8:C10)</f>
        <v>296091.71999999997</v>
      </c>
      <c r="D11" s="43"/>
      <c r="E11" s="66">
        <f>SUM(E8:E10)</f>
        <v>5805.72</v>
      </c>
    </row>
    <row r="12" spans="1:7" ht="21.95" customHeight="1" x14ac:dyDescent="0.25">
      <c r="A12" s="33" t="s">
        <v>31</v>
      </c>
      <c r="B12" s="34"/>
      <c r="C12" s="74">
        <f>D12+E12</f>
        <v>103116.9</v>
      </c>
      <c r="D12" s="39">
        <v>101095</v>
      </c>
      <c r="E12" s="56">
        <f>D12*2%</f>
        <v>2021.9</v>
      </c>
    </row>
    <row r="13" spans="1:7" ht="21.95" customHeight="1" x14ac:dyDescent="0.25">
      <c r="A13" s="28" t="s">
        <v>32</v>
      </c>
      <c r="B13" s="29"/>
      <c r="C13" s="74">
        <f t="shared" ref="C13:C14" si="0">D13+E13</f>
        <v>85777.919999999998</v>
      </c>
      <c r="D13" s="37">
        <v>84096</v>
      </c>
      <c r="E13" s="56">
        <f t="shared" ref="E13:E14" si="1">D13*2%</f>
        <v>1681.92</v>
      </c>
    </row>
    <row r="14" spans="1:7" ht="21.95" customHeight="1" x14ac:dyDescent="0.25">
      <c r="A14" s="31" t="s">
        <v>33</v>
      </c>
      <c r="B14" s="32"/>
      <c r="C14" s="74">
        <f t="shared" si="0"/>
        <v>102606.9</v>
      </c>
      <c r="D14" s="38">
        <v>100595</v>
      </c>
      <c r="E14" s="56">
        <f t="shared" si="1"/>
        <v>2011.9</v>
      </c>
    </row>
    <row r="15" spans="1:7" ht="21.95" customHeight="1" x14ac:dyDescent="0.25">
      <c r="A15" s="41" t="s">
        <v>45</v>
      </c>
      <c r="B15" s="42"/>
      <c r="C15" s="73">
        <f>SUM(C12:C14)</f>
        <v>291501.71999999997</v>
      </c>
      <c r="D15" s="43"/>
      <c r="E15" s="65">
        <f>SUM(E12:E14)</f>
        <v>5715.72</v>
      </c>
    </row>
    <row r="16" spans="1:7" ht="21.95" customHeight="1" x14ac:dyDescent="0.25">
      <c r="A16" s="33" t="s">
        <v>34</v>
      </c>
      <c r="B16" s="34"/>
      <c r="C16" s="74">
        <f>+D16+E16</f>
        <v>81365.88</v>
      </c>
      <c r="D16" s="39">
        <v>78996</v>
      </c>
      <c r="E16" s="56">
        <f>D16*3%</f>
        <v>2369.88</v>
      </c>
    </row>
    <row r="17" spans="1:7" ht="21.95" customHeight="1" x14ac:dyDescent="0.25">
      <c r="A17" s="28" t="s">
        <v>35</v>
      </c>
      <c r="B17" s="29"/>
      <c r="C17" s="71">
        <f t="shared" ref="C17:C18" si="2">+D17+E17</f>
        <v>91665.88</v>
      </c>
      <c r="D17" s="37">
        <v>88996</v>
      </c>
      <c r="E17" s="56">
        <f t="shared" ref="E17:E18" si="3">D17*3%</f>
        <v>2669.88</v>
      </c>
    </row>
    <row r="18" spans="1:7" ht="21.95" customHeight="1" x14ac:dyDescent="0.25">
      <c r="A18" s="81" t="s">
        <v>36</v>
      </c>
      <c r="B18" s="82"/>
      <c r="C18" s="74">
        <f t="shared" si="2"/>
        <v>86412.88</v>
      </c>
      <c r="D18" s="39">
        <v>83896</v>
      </c>
      <c r="E18" s="56">
        <f t="shared" si="3"/>
        <v>2516.88</v>
      </c>
    </row>
    <row r="19" spans="1:7" ht="21.95" customHeight="1" x14ac:dyDescent="0.25">
      <c r="A19" s="41" t="s">
        <v>46</v>
      </c>
      <c r="B19" s="42"/>
      <c r="C19" s="73">
        <f>SUM(C16:C18)</f>
        <v>259444.64</v>
      </c>
      <c r="D19" s="43"/>
      <c r="E19" s="65">
        <f>SUM(E16:E18)</f>
        <v>7556.64</v>
      </c>
    </row>
    <row r="20" spans="1:7" ht="21.95" customHeight="1" x14ac:dyDescent="0.25">
      <c r="A20" s="33" t="s">
        <v>37</v>
      </c>
      <c r="B20" s="34"/>
      <c r="C20" s="74">
        <f>+D20+E20</f>
        <v>78481.88</v>
      </c>
      <c r="D20" s="37">
        <v>76196</v>
      </c>
      <c r="E20" s="56">
        <f>D20*3%</f>
        <v>2285.88</v>
      </c>
    </row>
    <row r="21" spans="1:7" ht="21.95" customHeight="1" x14ac:dyDescent="0.25">
      <c r="A21" s="28" t="s">
        <v>38</v>
      </c>
      <c r="B21" s="29"/>
      <c r="C21" s="74">
        <f t="shared" ref="C21:C22" si="4">+D21+E21</f>
        <v>58817.120000000003</v>
      </c>
      <c r="D21" s="37">
        <v>57104</v>
      </c>
      <c r="E21" s="56">
        <f t="shared" ref="E21:E22" si="5">D21*3%</f>
        <v>1713.12</v>
      </c>
    </row>
    <row r="22" spans="1:7" ht="21.95" customHeight="1" x14ac:dyDescent="0.25">
      <c r="A22" s="31" t="s">
        <v>39</v>
      </c>
      <c r="B22" s="32"/>
      <c r="C22" s="74">
        <f t="shared" si="4"/>
        <v>86209.97</v>
      </c>
      <c r="D22" s="87">
        <v>83699</v>
      </c>
      <c r="E22" s="56">
        <f t="shared" si="5"/>
        <v>2510.9699999999998</v>
      </c>
    </row>
    <row r="23" spans="1:7" ht="21.95" customHeight="1" x14ac:dyDescent="0.25">
      <c r="A23" s="41" t="s">
        <v>47</v>
      </c>
      <c r="B23" s="42"/>
      <c r="C23" s="73">
        <f>SUM(C20:C22)</f>
        <v>223508.97</v>
      </c>
      <c r="D23" s="43">
        <f>SUM(D8:D22)</f>
        <v>1044959</v>
      </c>
      <c r="E23" s="55">
        <f>SUM(E20:E22)</f>
        <v>6509.9699999999993</v>
      </c>
    </row>
    <row r="24" spans="1:7" ht="21.95" customHeight="1" x14ac:dyDescent="0.25">
      <c r="C24" s="67"/>
      <c r="D24" s="67"/>
      <c r="E24" s="67"/>
      <c r="F24" s="67"/>
      <c r="G24" s="67">
        <f>+F24-C24</f>
        <v>0</v>
      </c>
    </row>
    <row r="25" spans="1:7" ht="21.95" customHeight="1" x14ac:dyDescent="0.25">
      <c r="A25" s="40" t="s">
        <v>48</v>
      </c>
      <c r="C25" s="44" t="s">
        <v>49</v>
      </c>
    </row>
    <row r="26" spans="1:7" ht="21.95" customHeight="1" x14ac:dyDescent="0.25">
      <c r="C26" s="44" t="s">
        <v>57</v>
      </c>
    </row>
    <row r="27" spans="1:7" ht="21.95" customHeight="1" x14ac:dyDescent="0.25">
      <c r="C27" s="44" t="s">
        <v>50</v>
      </c>
    </row>
    <row r="28" spans="1:7" ht="21.95" customHeight="1" x14ac:dyDescent="0.25">
      <c r="C28" s="45" t="s">
        <v>51</v>
      </c>
    </row>
  </sheetData>
  <mergeCells count="2">
    <mergeCell ref="A7:B7"/>
    <mergeCell ref="A3:E3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opLeftCell="A19" workbookViewId="0">
      <selection sqref="A1:B2"/>
    </sheetView>
  </sheetViews>
  <sheetFormatPr defaultRowHeight="15.75" x14ac:dyDescent="0.25"/>
  <cols>
    <col min="1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t="s">
        <v>65</v>
      </c>
      <c r="B1" t="s">
        <v>66</v>
      </c>
      <c r="D1"/>
      <c r="E1" s="91" t="s">
        <v>1</v>
      </c>
      <c r="F1" s="91"/>
    </row>
    <row r="2" spans="1:6" ht="14.25" customHeight="1" x14ac:dyDescent="0.25">
      <c r="A2" t="s">
        <v>23</v>
      </c>
      <c r="B2" t="s">
        <v>67</v>
      </c>
      <c r="D2"/>
      <c r="E2" s="92" t="s">
        <v>2</v>
      </c>
      <c r="F2" s="92"/>
    </row>
    <row r="3" spans="1:6" ht="15.75" customHeight="1" x14ac:dyDescent="0.25">
      <c r="E3" s="92" t="s">
        <v>53</v>
      </c>
      <c r="F3" s="92"/>
    </row>
    <row r="4" spans="1:6" x14ac:dyDescent="0.25">
      <c r="E4" s="92" t="s">
        <v>3</v>
      </c>
      <c r="F4" s="92"/>
    </row>
    <row r="5" spans="1:6" x14ac:dyDescent="0.25">
      <c r="E5" s="2"/>
      <c r="F5" s="2"/>
    </row>
    <row r="6" spans="1:6" ht="18" x14ac:dyDescent="0.25">
      <c r="A6" s="93" t="s">
        <v>4</v>
      </c>
      <c r="B6" s="93"/>
      <c r="C6" s="93"/>
      <c r="D6" s="93"/>
      <c r="E6" s="93"/>
      <c r="F6" s="93"/>
    </row>
    <row r="7" spans="1:6" x14ac:dyDescent="0.25">
      <c r="A7" s="90" t="s">
        <v>5</v>
      </c>
      <c r="B7" s="90"/>
      <c r="C7" s="90"/>
      <c r="D7" s="90"/>
      <c r="E7" s="90"/>
      <c r="F7" s="90"/>
    </row>
    <row r="9" spans="1:6" x14ac:dyDescent="0.25">
      <c r="B9" s="3" t="s">
        <v>55</v>
      </c>
      <c r="C9" s="4"/>
      <c r="D9" s="4"/>
      <c r="E9" s="4"/>
      <c r="F9" s="4"/>
    </row>
    <row r="10" spans="1:6" x14ac:dyDescent="0.25">
      <c r="B10" s="3" t="s">
        <v>56</v>
      </c>
      <c r="C10" s="4"/>
      <c r="D10" s="4"/>
      <c r="E10" s="84">
        <f>'bao cao 2022'!C11</f>
        <v>296091.71999999997</v>
      </c>
      <c r="F10" s="4"/>
    </row>
    <row r="11" spans="1:6" x14ac:dyDescent="0.25">
      <c r="B11" s="3" t="s">
        <v>54</v>
      </c>
      <c r="C11" s="4"/>
      <c r="D11" s="4"/>
      <c r="E11" s="4"/>
      <c r="F11" s="4"/>
    </row>
    <row r="13" spans="1:6" ht="30.75" customHeight="1" x14ac:dyDescent="0.25">
      <c r="A13" s="94" t="s">
        <v>6</v>
      </c>
      <c r="B13" s="94" t="s">
        <v>7</v>
      </c>
      <c r="C13" s="94" t="s">
        <v>8</v>
      </c>
      <c r="D13" s="94" t="s">
        <v>9</v>
      </c>
      <c r="E13" s="96" t="s">
        <v>10</v>
      </c>
      <c r="F13" s="97"/>
    </row>
    <row r="14" spans="1:6" ht="21.75" customHeight="1" x14ac:dyDescent="0.25">
      <c r="A14" s="95"/>
      <c r="B14" s="95"/>
      <c r="C14" s="95"/>
      <c r="D14" s="95"/>
      <c r="E14" s="5" t="s">
        <v>11</v>
      </c>
      <c r="F14" s="5" t="s">
        <v>12</v>
      </c>
    </row>
    <row r="15" spans="1:6" ht="21" customHeight="1" x14ac:dyDescent="0.25">
      <c r="A15" s="6" t="s">
        <v>13</v>
      </c>
      <c r="B15" s="7"/>
      <c r="C15" s="7"/>
      <c r="D15" s="7"/>
      <c r="E15" s="7"/>
      <c r="F15" s="7"/>
    </row>
    <row r="16" spans="1:6" ht="21" customHeight="1" x14ac:dyDescent="0.25">
      <c r="A16" s="18"/>
      <c r="B16" s="19"/>
      <c r="C16" s="19"/>
      <c r="D16" s="19"/>
      <c r="E16" s="19"/>
      <c r="F16" s="19"/>
    </row>
    <row r="17" spans="1:6" ht="21" customHeight="1" x14ac:dyDescent="0.25">
      <c r="A17" s="18"/>
      <c r="B17" s="19"/>
      <c r="C17" s="19"/>
      <c r="D17" s="19"/>
      <c r="E17" s="19"/>
      <c r="F17" s="19"/>
    </row>
    <row r="18" spans="1:6" ht="21" customHeight="1" x14ac:dyDescent="0.25">
      <c r="A18" s="8" t="s">
        <v>14</v>
      </c>
      <c r="B18" s="9"/>
      <c r="C18" s="9"/>
      <c r="D18" s="9"/>
      <c r="E18" s="9"/>
      <c r="F18" s="9"/>
    </row>
    <row r="19" spans="1:6" ht="21" customHeight="1" x14ac:dyDescent="0.25">
      <c r="A19" s="8"/>
      <c r="B19" s="9"/>
      <c r="C19" s="9"/>
      <c r="D19" s="9"/>
      <c r="E19" s="9"/>
      <c r="F19" s="9"/>
    </row>
    <row r="20" spans="1:6" ht="21" customHeight="1" x14ac:dyDescent="0.25">
      <c r="A20" s="8"/>
      <c r="B20" s="9"/>
      <c r="C20" s="9"/>
      <c r="D20" s="9"/>
      <c r="E20" s="9"/>
      <c r="F20" s="9"/>
    </row>
    <row r="21" spans="1:6" ht="21" customHeight="1" x14ac:dyDescent="0.25">
      <c r="A21" s="8" t="s">
        <v>15</v>
      </c>
      <c r="B21" s="9"/>
      <c r="C21" s="9"/>
      <c r="D21" s="9"/>
      <c r="E21" s="10"/>
      <c r="F21" s="10"/>
    </row>
    <row r="22" spans="1:6" ht="21" customHeight="1" x14ac:dyDescent="0.25">
      <c r="A22" s="20"/>
      <c r="B22" s="21"/>
      <c r="C22" s="21"/>
      <c r="D22" s="21"/>
      <c r="E22" s="22"/>
      <c r="F22" s="22"/>
    </row>
    <row r="23" spans="1:6" ht="21" customHeight="1" x14ac:dyDescent="0.25">
      <c r="A23" s="20"/>
      <c r="B23" s="21"/>
      <c r="C23" s="21"/>
      <c r="D23" s="21"/>
      <c r="E23" s="22"/>
      <c r="F23" s="22"/>
    </row>
    <row r="24" spans="1:6" ht="21" customHeight="1" x14ac:dyDescent="0.25">
      <c r="A24" s="8" t="s">
        <v>0</v>
      </c>
      <c r="B24" s="9"/>
      <c r="C24" s="9">
        <f>147478434+103366668</f>
        <v>250845102</v>
      </c>
      <c r="D24" s="9"/>
      <c r="E24" s="9">
        <f>+B24+C24-D24</f>
        <v>250845102</v>
      </c>
      <c r="F24" s="9">
        <f>+E24/E10</f>
        <v>847.1871553855002</v>
      </c>
    </row>
    <row r="25" spans="1:6" ht="21" customHeight="1" x14ac:dyDescent="0.25">
      <c r="A25" s="25"/>
      <c r="B25" s="26"/>
      <c r="C25" s="26"/>
      <c r="D25" s="26"/>
      <c r="E25" s="26"/>
      <c r="F25" s="26"/>
    </row>
    <row r="26" spans="1:6" ht="21" customHeight="1" x14ac:dyDescent="0.25">
      <c r="A26" s="23"/>
      <c r="B26" s="24"/>
      <c r="C26" s="24"/>
      <c r="D26" s="24"/>
      <c r="E26" s="24"/>
      <c r="F26" s="24"/>
    </row>
    <row r="27" spans="1:6" ht="21" customHeight="1" x14ac:dyDescent="0.25">
      <c r="A27" s="5" t="s">
        <v>16</v>
      </c>
      <c r="B27" s="11"/>
      <c r="C27" s="11"/>
      <c r="D27" s="11"/>
      <c r="E27" s="12"/>
      <c r="F27" s="11"/>
    </row>
    <row r="28" spans="1:6" ht="21" customHeight="1" x14ac:dyDescent="0.25">
      <c r="A28" s="13"/>
      <c r="B28" s="14"/>
      <c r="C28" s="15"/>
      <c r="D28" s="15"/>
      <c r="E28" s="15"/>
      <c r="F28" s="15"/>
    </row>
    <row r="29" spans="1:6" ht="21" customHeight="1" x14ac:dyDescent="0.25"/>
    <row r="30" spans="1:6" ht="21" customHeight="1" x14ac:dyDescent="0.25">
      <c r="A30" s="16" t="s">
        <v>17</v>
      </c>
      <c r="B30" s="16"/>
      <c r="C30" s="16" t="s">
        <v>18</v>
      </c>
      <c r="D30" s="16"/>
      <c r="E30" s="16" t="s">
        <v>19</v>
      </c>
      <c r="F30" s="16"/>
    </row>
    <row r="31" spans="1:6" ht="21" customHeight="1" x14ac:dyDescent="0.25">
      <c r="A31" s="17" t="s">
        <v>20</v>
      </c>
      <c r="B31" s="17"/>
      <c r="C31" s="17" t="s">
        <v>20</v>
      </c>
      <c r="D31" s="17"/>
      <c r="E31" s="17" t="s">
        <v>21</v>
      </c>
      <c r="F31" s="17"/>
    </row>
    <row r="32" spans="1:6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  <row r="40" ht="21" customHeight="1" x14ac:dyDescent="0.25"/>
    <row r="41" ht="21" customHeight="1" x14ac:dyDescent="0.25"/>
    <row r="42" ht="21" customHeight="1" x14ac:dyDescent="0.25"/>
    <row r="43" ht="21" customHeight="1" x14ac:dyDescent="0.25"/>
    <row r="44" ht="21" customHeight="1" x14ac:dyDescent="0.25"/>
    <row r="45" ht="21" customHeight="1" x14ac:dyDescent="0.25"/>
    <row r="46" ht="21" customHeight="1" x14ac:dyDescent="0.25"/>
  </sheetData>
  <mergeCells count="11">
    <mergeCell ref="A13:A14"/>
    <mergeCell ref="B13:B14"/>
    <mergeCell ref="C13:C14"/>
    <mergeCell ref="D13:D14"/>
    <mergeCell ref="E13:F13"/>
    <mergeCell ref="A7:F7"/>
    <mergeCell ref="E1:F1"/>
    <mergeCell ref="E2:F2"/>
    <mergeCell ref="E3:F3"/>
    <mergeCell ref="E4:F4"/>
    <mergeCell ref="A6:F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sqref="A1:B2"/>
    </sheetView>
  </sheetViews>
  <sheetFormatPr defaultRowHeight="15.75" x14ac:dyDescent="0.25"/>
  <cols>
    <col min="1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x14ac:dyDescent="0.25">
      <c r="A1" t="s">
        <v>65</v>
      </c>
      <c r="B1" t="s">
        <v>66</v>
      </c>
      <c r="E1" s="91" t="s">
        <v>1</v>
      </c>
      <c r="F1" s="91"/>
    </row>
    <row r="2" spans="1:6" x14ac:dyDescent="0.25">
      <c r="A2" t="s">
        <v>23</v>
      </c>
      <c r="B2" t="s">
        <v>67</v>
      </c>
      <c r="E2" s="92" t="s">
        <v>2</v>
      </c>
      <c r="F2" s="92"/>
    </row>
    <row r="3" spans="1:6" x14ac:dyDescent="0.25">
      <c r="E3" s="92" t="s">
        <v>53</v>
      </c>
      <c r="F3" s="92"/>
    </row>
    <row r="4" spans="1:6" x14ac:dyDescent="0.25">
      <c r="E4" s="92" t="s">
        <v>3</v>
      </c>
      <c r="F4" s="92"/>
    </row>
    <row r="5" spans="1:6" x14ac:dyDescent="0.25">
      <c r="E5" s="83"/>
      <c r="F5" s="83"/>
    </row>
    <row r="6" spans="1:6" ht="18" x14ac:dyDescent="0.25">
      <c r="A6" s="93" t="s">
        <v>4</v>
      </c>
      <c r="B6" s="93"/>
      <c r="C6" s="93"/>
      <c r="D6" s="93"/>
      <c r="E6" s="93"/>
      <c r="F6" s="93"/>
    </row>
    <row r="7" spans="1:6" x14ac:dyDescent="0.25">
      <c r="A7" s="90" t="s">
        <v>5</v>
      </c>
      <c r="B7" s="90"/>
      <c r="C7" s="90"/>
      <c r="D7" s="90"/>
      <c r="E7" s="90"/>
      <c r="F7" s="90"/>
    </row>
    <row r="9" spans="1:6" x14ac:dyDescent="0.25">
      <c r="B9" s="3" t="s">
        <v>55</v>
      </c>
      <c r="C9" s="4"/>
      <c r="D9" s="4"/>
      <c r="E9" s="4"/>
      <c r="F9" s="4"/>
    </row>
    <row r="10" spans="1:6" x14ac:dyDescent="0.25">
      <c r="B10" s="3" t="s">
        <v>56</v>
      </c>
      <c r="C10" s="4"/>
      <c r="D10" s="4"/>
      <c r="E10" s="84">
        <f>'bao cao 2022'!C15</f>
        <v>291501.71999999997</v>
      </c>
      <c r="F10" s="4"/>
    </row>
    <row r="11" spans="1:6" x14ac:dyDescent="0.25">
      <c r="B11" s="3" t="s">
        <v>54</v>
      </c>
      <c r="C11" s="4"/>
      <c r="D11" s="4"/>
      <c r="E11" s="4"/>
      <c r="F11" s="4"/>
    </row>
    <row r="13" spans="1:6" x14ac:dyDescent="0.25">
      <c r="A13" s="94" t="s">
        <v>6</v>
      </c>
      <c r="B13" s="94" t="s">
        <v>7</v>
      </c>
      <c r="C13" s="94" t="s">
        <v>8</v>
      </c>
      <c r="D13" s="94" t="s">
        <v>9</v>
      </c>
      <c r="E13" s="96" t="s">
        <v>10</v>
      </c>
      <c r="F13" s="97"/>
    </row>
    <row r="14" spans="1:6" x14ac:dyDescent="0.25">
      <c r="A14" s="95"/>
      <c r="B14" s="95"/>
      <c r="C14" s="95"/>
      <c r="D14" s="95"/>
      <c r="E14" s="5" t="s">
        <v>11</v>
      </c>
      <c r="F14" s="5" t="s">
        <v>12</v>
      </c>
    </row>
    <row r="15" spans="1:6" x14ac:dyDescent="0.25">
      <c r="A15" s="6" t="s">
        <v>13</v>
      </c>
      <c r="B15" s="7"/>
      <c r="C15" s="7"/>
      <c r="D15" s="7"/>
      <c r="E15" s="7"/>
      <c r="F15" s="7"/>
    </row>
    <row r="16" spans="1:6" x14ac:dyDescent="0.25">
      <c r="A16" s="18"/>
      <c r="B16" s="19"/>
      <c r="C16" s="19"/>
      <c r="D16" s="19"/>
      <c r="E16" s="19"/>
      <c r="F16" s="19"/>
    </row>
    <row r="17" spans="1:6" x14ac:dyDescent="0.25">
      <c r="A17" s="18"/>
      <c r="B17" s="19"/>
      <c r="C17" s="19"/>
      <c r="D17" s="19"/>
      <c r="E17" s="19"/>
      <c r="F17" s="19"/>
    </row>
    <row r="18" spans="1:6" x14ac:dyDescent="0.25">
      <c r="A18" s="8" t="s">
        <v>14</v>
      </c>
      <c r="B18" s="9"/>
      <c r="C18" s="9"/>
      <c r="D18" s="9"/>
      <c r="E18" s="9"/>
      <c r="F18" s="9"/>
    </row>
    <row r="19" spans="1:6" x14ac:dyDescent="0.25">
      <c r="A19" s="8"/>
      <c r="B19" s="9"/>
      <c r="C19" s="9"/>
      <c r="D19" s="9"/>
      <c r="E19" s="9"/>
      <c r="F19" s="9"/>
    </row>
    <row r="20" spans="1:6" x14ac:dyDescent="0.25">
      <c r="A20" s="8"/>
      <c r="B20" s="9"/>
      <c r="C20" s="9"/>
      <c r="D20" s="9"/>
      <c r="E20" s="9"/>
      <c r="F20" s="9"/>
    </row>
    <row r="21" spans="1:6" x14ac:dyDescent="0.25">
      <c r="A21" s="8" t="s">
        <v>15</v>
      </c>
      <c r="B21" s="9"/>
      <c r="C21" s="9"/>
      <c r="D21" s="9"/>
      <c r="E21" s="10"/>
      <c r="F21" s="10"/>
    </row>
    <row r="22" spans="1:6" x14ac:dyDescent="0.25">
      <c r="A22" s="20"/>
      <c r="B22" s="21"/>
      <c r="C22" s="21"/>
      <c r="D22" s="21"/>
      <c r="E22" s="22"/>
      <c r="F22" s="22"/>
    </row>
    <row r="23" spans="1:6" x14ac:dyDescent="0.25">
      <c r="A23" s="20"/>
      <c r="B23" s="21"/>
      <c r="C23" s="21"/>
      <c r="D23" s="21"/>
      <c r="E23" s="22"/>
      <c r="F23" s="22"/>
    </row>
    <row r="24" spans="1:6" x14ac:dyDescent="0.25">
      <c r="A24" s="8" t="s">
        <v>0</v>
      </c>
      <c r="B24" s="9"/>
      <c r="C24" s="9">
        <f>147478434+103366668</f>
        <v>250845102</v>
      </c>
      <c r="D24" s="9"/>
      <c r="E24" s="9">
        <f>+B24+C24-D24</f>
        <v>250845102</v>
      </c>
      <c r="F24" s="9">
        <f>+E24/E10</f>
        <v>860.52700478062366</v>
      </c>
    </row>
    <row r="25" spans="1:6" x14ac:dyDescent="0.25">
      <c r="A25" s="25"/>
      <c r="B25" s="26"/>
      <c r="C25" s="26"/>
      <c r="D25" s="26"/>
      <c r="E25" s="26"/>
      <c r="F25" s="26"/>
    </row>
    <row r="26" spans="1:6" x14ac:dyDescent="0.25">
      <c r="A26" s="23"/>
      <c r="B26" s="24"/>
      <c r="C26" s="24"/>
      <c r="D26" s="24"/>
      <c r="E26" s="24"/>
      <c r="F26" s="24"/>
    </row>
    <row r="27" spans="1:6" x14ac:dyDescent="0.25">
      <c r="A27" s="5" t="s">
        <v>16</v>
      </c>
      <c r="B27" s="11"/>
      <c r="C27" s="11"/>
      <c r="D27" s="11"/>
      <c r="E27" s="12"/>
      <c r="F27" s="11"/>
    </row>
    <row r="28" spans="1:6" x14ac:dyDescent="0.25">
      <c r="A28" s="13"/>
      <c r="B28" s="14"/>
      <c r="C28" s="15"/>
      <c r="D28" s="15"/>
      <c r="E28" s="15"/>
      <c r="F28" s="15"/>
    </row>
    <row r="30" spans="1:6" x14ac:dyDescent="0.25">
      <c r="A30" s="16" t="s">
        <v>17</v>
      </c>
      <c r="B30" s="16"/>
      <c r="C30" s="16" t="s">
        <v>18</v>
      </c>
      <c r="D30" s="16"/>
      <c r="E30" s="16" t="s">
        <v>19</v>
      </c>
      <c r="F30" s="16"/>
    </row>
    <row r="31" spans="1:6" x14ac:dyDescent="0.25">
      <c r="A31" s="17" t="s">
        <v>20</v>
      </c>
      <c r="B31" s="17"/>
      <c r="C31" s="17" t="s">
        <v>20</v>
      </c>
      <c r="D31" s="17"/>
      <c r="E31" s="17" t="s">
        <v>21</v>
      </c>
      <c r="F31" s="17"/>
    </row>
  </sheetData>
  <mergeCells count="11">
    <mergeCell ref="A13:A14"/>
    <mergeCell ref="B13:B14"/>
    <mergeCell ref="C13:C14"/>
    <mergeCell ref="D13:D14"/>
    <mergeCell ref="E13:F13"/>
    <mergeCell ref="A7:F7"/>
    <mergeCell ref="E1:F1"/>
    <mergeCell ref="E2:F2"/>
    <mergeCell ref="E3:F3"/>
    <mergeCell ref="E4:F4"/>
    <mergeCell ref="A6:F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13" workbookViewId="0">
      <selection activeCell="C25" sqref="C25"/>
    </sheetView>
  </sheetViews>
  <sheetFormatPr defaultRowHeight="15.75" x14ac:dyDescent="0.25"/>
  <cols>
    <col min="1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x14ac:dyDescent="0.25">
      <c r="A1" t="s">
        <v>65</v>
      </c>
      <c r="B1" t="s">
        <v>66</v>
      </c>
      <c r="E1" s="91" t="s">
        <v>1</v>
      </c>
      <c r="F1" s="91"/>
    </row>
    <row r="2" spans="1:6" x14ac:dyDescent="0.25">
      <c r="A2" t="s">
        <v>23</v>
      </c>
      <c r="B2" t="s">
        <v>67</v>
      </c>
      <c r="E2" s="92" t="s">
        <v>2</v>
      </c>
      <c r="F2" s="92"/>
    </row>
    <row r="3" spans="1:6" x14ac:dyDescent="0.25">
      <c r="E3" s="92" t="s">
        <v>53</v>
      </c>
      <c r="F3" s="92"/>
    </row>
    <row r="4" spans="1:6" x14ac:dyDescent="0.25">
      <c r="E4" s="92" t="s">
        <v>3</v>
      </c>
      <c r="F4" s="92"/>
    </row>
    <row r="5" spans="1:6" x14ac:dyDescent="0.25">
      <c r="E5" s="83"/>
      <c r="F5" s="83"/>
    </row>
    <row r="6" spans="1:6" ht="18" x14ac:dyDescent="0.25">
      <c r="A6" s="93" t="s">
        <v>4</v>
      </c>
      <c r="B6" s="93"/>
      <c r="C6" s="93"/>
      <c r="D6" s="93"/>
      <c r="E6" s="93"/>
      <c r="F6" s="93"/>
    </row>
    <row r="7" spans="1:6" x14ac:dyDescent="0.25">
      <c r="A7" s="90" t="s">
        <v>5</v>
      </c>
      <c r="B7" s="90"/>
      <c r="C7" s="90"/>
      <c r="D7" s="90"/>
      <c r="E7" s="90"/>
      <c r="F7" s="90"/>
    </row>
    <row r="9" spans="1:6" x14ac:dyDescent="0.25">
      <c r="B9" s="3" t="s">
        <v>55</v>
      </c>
      <c r="C9" s="4"/>
      <c r="D9" s="4"/>
      <c r="E9" s="4"/>
      <c r="F9" s="4"/>
    </row>
    <row r="10" spans="1:6" x14ac:dyDescent="0.25">
      <c r="B10" s="3" t="s">
        <v>56</v>
      </c>
      <c r="C10" s="4"/>
      <c r="D10" s="4"/>
      <c r="E10" s="84">
        <f>'bao cao 2022'!C19</f>
        <v>259444.64</v>
      </c>
      <c r="F10" s="4"/>
    </row>
    <row r="11" spans="1:6" x14ac:dyDescent="0.25">
      <c r="B11" s="3" t="s">
        <v>54</v>
      </c>
      <c r="C11" s="4"/>
      <c r="D11" s="4"/>
      <c r="E11" s="4"/>
      <c r="F11" s="4"/>
    </row>
    <row r="13" spans="1:6" x14ac:dyDescent="0.25">
      <c r="A13" s="94" t="s">
        <v>6</v>
      </c>
      <c r="B13" s="94" t="s">
        <v>7</v>
      </c>
      <c r="C13" s="94" t="s">
        <v>8</v>
      </c>
      <c r="D13" s="94" t="s">
        <v>9</v>
      </c>
      <c r="E13" s="96" t="s">
        <v>10</v>
      </c>
      <c r="F13" s="97"/>
    </row>
    <row r="14" spans="1:6" x14ac:dyDescent="0.25">
      <c r="A14" s="95"/>
      <c r="B14" s="95"/>
      <c r="C14" s="95"/>
      <c r="D14" s="95"/>
      <c r="E14" s="5" t="s">
        <v>11</v>
      </c>
      <c r="F14" s="5" t="s">
        <v>12</v>
      </c>
    </row>
    <row r="15" spans="1:6" x14ac:dyDescent="0.25">
      <c r="A15" s="6" t="s">
        <v>13</v>
      </c>
      <c r="B15" s="7"/>
      <c r="C15" s="7"/>
      <c r="D15" s="7"/>
      <c r="E15" s="7"/>
      <c r="F15" s="7"/>
    </row>
    <row r="16" spans="1:6" x14ac:dyDescent="0.25">
      <c r="A16" s="18"/>
      <c r="B16" s="19"/>
      <c r="C16" s="19"/>
      <c r="D16" s="19"/>
      <c r="E16" s="19"/>
      <c r="F16" s="19"/>
    </row>
    <row r="17" spans="1:6" x14ac:dyDescent="0.25">
      <c r="A17" s="18"/>
      <c r="B17" s="19"/>
      <c r="C17" s="19"/>
      <c r="D17" s="19"/>
      <c r="E17" s="19"/>
      <c r="F17" s="19"/>
    </row>
    <row r="18" spans="1:6" x14ac:dyDescent="0.25">
      <c r="A18" s="8" t="s">
        <v>14</v>
      </c>
      <c r="B18" s="9"/>
      <c r="C18" s="9"/>
      <c r="D18" s="9"/>
      <c r="E18" s="9"/>
      <c r="F18" s="9"/>
    </row>
    <row r="19" spans="1:6" x14ac:dyDescent="0.25">
      <c r="A19" s="8"/>
      <c r="B19" s="9"/>
      <c r="C19" s="9"/>
      <c r="D19" s="9"/>
      <c r="E19" s="9"/>
      <c r="F19" s="9"/>
    </row>
    <row r="20" spans="1:6" x14ac:dyDescent="0.25">
      <c r="A20" s="8"/>
      <c r="B20" s="9"/>
      <c r="C20" s="9"/>
      <c r="D20" s="9"/>
      <c r="E20" s="9"/>
      <c r="F20" s="9"/>
    </row>
    <row r="21" spans="1:6" x14ac:dyDescent="0.25">
      <c r="A21" s="8" t="s">
        <v>15</v>
      </c>
      <c r="B21" s="9"/>
      <c r="C21" s="9"/>
      <c r="D21" s="9"/>
      <c r="E21" s="10"/>
      <c r="F21" s="10"/>
    </row>
    <row r="22" spans="1:6" x14ac:dyDescent="0.25">
      <c r="A22" s="20"/>
      <c r="B22" s="21"/>
      <c r="C22" s="21"/>
      <c r="D22" s="21"/>
      <c r="E22" s="22"/>
      <c r="F22" s="22"/>
    </row>
    <row r="23" spans="1:6" x14ac:dyDescent="0.25">
      <c r="A23" s="20"/>
      <c r="B23" s="21"/>
      <c r="C23" s="21"/>
      <c r="D23" s="21"/>
      <c r="E23" s="22"/>
      <c r="F23" s="22"/>
    </row>
    <row r="24" spans="1:6" x14ac:dyDescent="0.25">
      <c r="A24" s="8" t="s">
        <v>0</v>
      </c>
      <c r="B24" s="9"/>
      <c r="C24" s="9">
        <f>168853791+103366668</f>
        <v>272220459</v>
      </c>
      <c r="D24" s="9"/>
      <c r="E24" s="9">
        <f>+B24+C24-D24</f>
        <v>272220459</v>
      </c>
      <c r="F24" s="9">
        <f>+E24/E10</f>
        <v>1049.2429483222315</v>
      </c>
    </row>
    <row r="25" spans="1:6" x14ac:dyDescent="0.25">
      <c r="A25" s="25"/>
      <c r="B25" s="26"/>
      <c r="C25" s="26"/>
      <c r="D25" s="26"/>
      <c r="E25" s="26"/>
      <c r="F25" s="26"/>
    </row>
    <row r="26" spans="1:6" x14ac:dyDescent="0.25">
      <c r="A26" s="23"/>
      <c r="B26" s="24"/>
      <c r="C26" s="24"/>
      <c r="D26" s="24"/>
      <c r="E26" s="24"/>
      <c r="F26" s="24"/>
    </row>
    <row r="27" spans="1:6" x14ac:dyDescent="0.25">
      <c r="A27" s="5" t="s">
        <v>16</v>
      </c>
      <c r="B27" s="11"/>
      <c r="C27" s="11"/>
      <c r="D27" s="11"/>
      <c r="E27" s="12"/>
      <c r="F27" s="11"/>
    </row>
    <row r="28" spans="1:6" x14ac:dyDescent="0.25">
      <c r="A28" s="13"/>
      <c r="B28" s="14"/>
      <c r="C28" s="15"/>
      <c r="D28" s="15"/>
      <c r="E28" s="15"/>
      <c r="F28" s="15"/>
    </row>
    <row r="30" spans="1:6" x14ac:dyDescent="0.25">
      <c r="A30" s="16" t="s">
        <v>17</v>
      </c>
      <c r="B30" s="16"/>
      <c r="C30" s="16" t="s">
        <v>18</v>
      </c>
      <c r="D30" s="16"/>
      <c r="E30" s="16" t="s">
        <v>19</v>
      </c>
      <c r="F30" s="16"/>
    </row>
    <row r="31" spans="1:6" x14ac:dyDescent="0.25">
      <c r="A31" s="17" t="s">
        <v>20</v>
      </c>
      <c r="B31" s="17"/>
      <c r="C31" s="17" t="s">
        <v>20</v>
      </c>
      <c r="D31" s="17"/>
      <c r="E31" s="17" t="s">
        <v>21</v>
      </c>
      <c r="F31" s="17"/>
    </row>
  </sheetData>
  <mergeCells count="11">
    <mergeCell ref="A13:A14"/>
    <mergeCell ref="B13:B14"/>
    <mergeCell ref="C13:C14"/>
    <mergeCell ref="D13:D14"/>
    <mergeCell ref="E13:F13"/>
    <mergeCell ref="A7:F7"/>
    <mergeCell ref="E1:F1"/>
    <mergeCell ref="E2:F2"/>
    <mergeCell ref="E3:F3"/>
    <mergeCell ref="E4:F4"/>
    <mergeCell ref="A6:F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topLeftCell="A16" workbookViewId="0">
      <selection activeCell="G21" sqref="G21"/>
    </sheetView>
  </sheetViews>
  <sheetFormatPr defaultRowHeight="15.75" x14ac:dyDescent="0.25"/>
  <cols>
    <col min="1" max="4" width="13.75" style="1" customWidth="1"/>
    <col min="5" max="6" width="15.5" style="1" customWidth="1"/>
    <col min="7" max="7" width="19.25" style="1" bestFit="1" customWidth="1"/>
    <col min="8" max="9" width="9" style="1"/>
    <col min="10" max="10" width="15" style="86" bestFit="1" customWidth="1"/>
    <col min="11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x14ac:dyDescent="0.25">
      <c r="A1" t="s">
        <v>65</v>
      </c>
      <c r="B1" t="s">
        <v>66</v>
      </c>
      <c r="E1" s="91" t="s">
        <v>1</v>
      </c>
      <c r="F1" s="91"/>
    </row>
    <row r="2" spans="1:6" x14ac:dyDescent="0.25">
      <c r="A2" t="s">
        <v>23</v>
      </c>
      <c r="B2" t="s">
        <v>67</v>
      </c>
      <c r="E2" s="92" t="s">
        <v>2</v>
      </c>
      <c r="F2" s="92"/>
    </row>
    <row r="3" spans="1:6" x14ac:dyDescent="0.25">
      <c r="E3" s="92" t="s">
        <v>53</v>
      </c>
      <c r="F3" s="92"/>
    </row>
    <row r="4" spans="1:6" x14ac:dyDescent="0.25">
      <c r="E4" s="92" t="s">
        <v>3</v>
      </c>
      <c r="F4" s="92"/>
    </row>
    <row r="5" spans="1:6" x14ac:dyDescent="0.25">
      <c r="E5" s="83"/>
      <c r="F5" s="83"/>
    </row>
    <row r="6" spans="1:6" ht="18" x14ac:dyDescent="0.25">
      <c r="A6" s="93" t="s">
        <v>4</v>
      </c>
      <c r="B6" s="93"/>
      <c r="C6" s="93"/>
      <c r="D6" s="93"/>
      <c r="E6" s="93"/>
      <c r="F6" s="93"/>
    </row>
    <row r="7" spans="1:6" x14ac:dyDescent="0.25">
      <c r="A7" s="90" t="s">
        <v>5</v>
      </c>
      <c r="B7" s="90"/>
      <c r="C7" s="90"/>
      <c r="D7" s="90"/>
      <c r="E7" s="90"/>
      <c r="F7" s="90"/>
    </row>
    <row r="9" spans="1:6" x14ac:dyDescent="0.25">
      <c r="B9" s="3" t="s">
        <v>55</v>
      </c>
      <c r="C9" s="4"/>
      <c r="D9" s="4"/>
      <c r="E9" s="4"/>
      <c r="F9" s="4"/>
    </row>
    <row r="10" spans="1:6" x14ac:dyDescent="0.25">
      <c r="B10" s="3" t="s">
        <v>56</v>
      </c>
      <c r="C10" s="4"/>
      <c r="D10" s="4"/>
      <c r="E10" s="84">
        <f>'bao cao 2022'!C23</f>
        <v>223508.97</v>
      </c>
      <c r="F10" s="4"/>
    </row>
    <row r="11" spans="1:6" x14ac:dyDescent="0.25">
      <c r="B11" s="3" t="s">
        <v>54</v>
      </c>
      <c r="C11" s="4"/>
      <c r="D11" s="4"/>
      <c r="E11" s="4"/>
      <c r="F11" s="4"/>
    </row>
    <row r="13" spans="1:6" x14ac:dyDescent="0.25">
      <c r="A13" s="94" t="s">
        <v>6</v>
      </c>
      <c r="B13" s="94" t="s">
        <v>7</v>
      </c>
      <c r="C13" s="94" t="s">
        <v>8</v>
      </c>
      <c r="D13" s="94" t="s">
        <v>9</v>
      </c>
      <c r="E13" s="96" t="s">
        <v>10</v>
      </c>
      <c r="F13" s="97"/>
    </row>
    <row r="14" spans="1:6" x14ac:dyDescent="0.25">
      <c r="A14" s="95"/>
      <c r="B14" s="95"/>
      <c r="C14" s="95"/>
      <c r="D14" s="95"/>
      <c r="E14" s="5" t="s">
        <v>11</v>
      </c>
      <c r="F14" s="5" t="s">
        <v>12</v>
      </c>
    </row>
    <row r="15" spans="1:6" x14ac:dyDescent="0.25">
      <c r="A15" s="6" t="s">
        <v>13</v>
      </c>
      <c r="B15" s="7"/>
      <c r="C15" s="7"/>
      <c r="D15" s="7"/>
      <c r="E15" s="7"/>
      <c r="F15" s="7"/>
    </row>
    <row r="16" spans="1:6" x14ac:dyDescent="0.25">
      <c r="A16" s="18"/>
      <c r="B16" s="19"/>
      <c r="C16" s="19"/>
      <c r="D16" s="19"/>
      <c r="E16" s="19"/>
      <c r="F16" s="19"/>
    </row>
    <row r="17" spans="1:8" x14ac:dyDescent="0.25">
      <c r="A17" s="18"/>
      <c r="B17" s="19"/>
      <c r="C17" s="19"/>
      <c r="D17" s="19"/>
      <c r="E17" s="19"/>
      <c r="F17" s="19"/>
      <c r="G17" s="86">
        <v>632664450</v>
      </c>
      <c r="H17" s="1">
        <v>6274</v>
      </c>
    </row>
    <row r="18" spans="1:8" x14ac:dyDescent="0.25">
      <c r="A18" s="8" t="s">
        <v>14</v>
      </c>
      <c r="B18" s="9"/>
      <c r="C18" s="9"/>
      <c r="D18" s="9"/>
      <c r="E18" s="9"/>
      <c r="F18" s="9"/>
      <c r="G18" s="86">
        <v>592680740</v>
      </c>
      <c r="H18" s="1">
        <v>6277</v>
      </c>
    </row>
    <row r="19" spans="1:8" x14ac:dyDescent="0.25">
      <c r="A19" s="8"/>
      <c r="B19" s="9"/>
      <c r="C19" s="9"/>
      <c r="D19" s="9"/>
      <c r="E19" s="9"/>
      <c r="F19" s="9"/>
      <c r="G19" s="86">
        <f>+G17+G18</f>
        <v>1225345190</v>
      </c>
    </row>
    <row r="20" spans="1:8" x14ac:dyDescent="0.25">
      <c r="A20" s="8"/>
      <c r="B20" s="9"/>
      <c r="C20" s="9"/>
      <c r="D20" s="9"/>
      <c r="E20" s="9"/>
      <c r="F20" s="9"/>
    </row>
    <row r="21" spans="1:8" x14ac:dyDescent="0.25">
      <c r="A21" s="8" t="s">
        <v>15</v>
      </c>
      <c r="B21" s="9"/>
      <c r="C21" s="9"/>
      <c r="D21" s="9"/>
      <c r="E21" s="10"/>
      <c r="F21" s="10"/>
    </row>
    <row r="22" spans="1:8" x14ac:dyDescent="0.25">
      <c r="A22" s="20"/>
      <c r="B22" s="21"/>
      <c r="C22" s="21"/>
      <c r="D22" s="21"/>
      <c r="E22" s="22"/>
      <c r="F22" s="22"/>
    </row>
    <row r="23" spans="1:8" x14ac:dyDescent="0.25">
      <c r="A23" s="20"/>
      <c r="B23" s="21"/>
      <c r="C23" s="21"/>
      <c r="D23" s="21"/>
      <c r="E23" s="22"/>
      <c r="F23" s="22"/>
    </row>
    <row r="24" spans="1:8" x14ac:dyDescent="0.25">
      <c r="A24" s="8" t="s">
        <v>0</v>
      </c>
      <c r="B24" s="9"/>
      <c r="C24" s="9">
        <f>168853791+282580736</f>
        <v>451434527</v>
      </c>
      <c r="D24" s="9"/>
      <c r="E24" s="9">
        <f>+B24+C24-D24</f>
        <v>451434527</v>
      </c>
      <c r="F24" s="9">
        <f>+E24/E10</f>
        <v>2019.7602225986725</v>
      </c>
      <c r="G24" s="85">
        <f>+'GT Q1'!C24+'GT Q2'!C24+'GT Q3'!C24+'GT Q4'!C24</f>
        <v>1225345190</v>
      </c>
    </row>
    <row r="25" spans="1:8" x14ac:dyDescent="0.25">
      <c r="A25" s="25"/>
      <c r="B25" s="26"/>
      <c r="C25" s="26"/>
      <c r="D25" s="26"/>
      <c r="E25" s="26"/>
      <c r="F25" s="26"/>
    </row>
    <row r="26" spans="1:8" x14ac:dyDescent="0.25">
      <c r="A26" s="23"/>
      <c r="B26" s="24"/>
      <c r="C26" s="24"/>
      <c r="D26" s="24"/>
      <c r="E26" s="24"/>
      <c r="F26" s="24"/>
    </row>
    <row r="27" spans="1:8" x14ac:dyDescent="0.25">
      <c r="A27" s="5" t="s">
        <v>16</v>
      </c>
      <c r="B27" s="11"/>
      <c r="C27" s="11"/>
      <c r="D27" s="11"/>
      <c r="E27" s="12"/>
      <c r="F27" s="11"/>
    </row>
    <row r="28" spans="1:8" x14ac:dyDescent="0.25">
      <c r="A28" s="13"/>
      <c r="B28" s="14"/>
      <c r="C28" s="15"/>
      <c r="D28" s="15"/>
      <c r="E28" s="15"/>
      <c r="F28" s="15"/>
    </row>
    <row r="30" spans="1:8" x14ac:dyDescent="0.25">
      <c r="A30" s="16" t="s">
        <v>17</v>
      </c>
      <c r="B30" s="16"/>
      <c r="C30" s="16" t="s">
        <v>18</v>
      </c>
      <c r="D30" s="16"/>
      <c r="E30" s="16" t="s">
        <v>19</v>
      </c>
      <c r="F30" s="16"/>
    </row>
    <row r="31" spans="1:8" x14ac:dyDescent="0.25">
      <c r="A31" s="17" t="s">
        <v>20</v>
      </c>
      <c r="B31" s="17"/>
      <c r="C31" s="17" t="s">
        <v>20</v>
      </c>
      <c r="D31" s="17"/>
      <c r="E31" s="17" t="s">
        <v>21</v>
      </c>
      <c r="F31" s="17"/>
    </row>
  </sheetData>
  <mergeCells count="11">
    <mergeCell ref="A13:A14"/>
    <mergeCell ref="B13:B14"/>
    <mergeCell ref="C13:C14"/>
    <mergeCell ref="D13:D14"/>
    <mergeCell ref="E13:F13"/>
    <mergeCell ref="A7:F7"/>
    <mergeCell ref="E1:F1"/>
    <mergeCell ref="E2:F2"/>
    <mergeCell ref="E3:F3"/>
    <mergeCell ref="E4:F4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bao cao 2021</vt:lpstr>
      <vt:lpstr>bao cao 2022</vt:lpstr>
      <vt:lpstr>GT Q1</vt:lpstr>
      <vt:lpstr>GT Q2</vt:lpstr>
      <vt:lpstr>GT Q3</vt:lpstr>
      <vt:lpstr>GT Q4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CHIENTHUAT</cp:lastModifiedBy>
  <dcterms:created xsi:type="dcterms:W3CDTF">2016-04-11T03:39:34Z</dcterms:created>
  <dcterms:modified xsi:type="dcterms:W3CDTF">2023-03-18T09:56:56Z</dcterms:modified>
</cp:coreProperties>
</file>