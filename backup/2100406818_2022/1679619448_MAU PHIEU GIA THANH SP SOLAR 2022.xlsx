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HUAN AN\NAM 2022\"/>
    </mc:Choice>
  </mc:AlternateContent>
  <bookViews>
    <workbookView xWindow="20370" yWindow="-120" windowWidth="29040" windowHeight="15840" firstSheet="1" activeTab="1"/>
  </bookViews>
  <sheets>
    <sheet name="THONG TIN" sheetId="2" r:id="rId1"/>
    <sheet name="SL 2022" sheetId="4" r:id="rId2"/>
    <sheet name="T1" sheetId="5" r:id="rId3"/>
    <sheet name="T2" sheetId="10" r:id="rId4"/>
    <sheet name="T3" sheetId="11" r:id="rId5"/>
    <sheet name="T4" sheetId="6" r:id="rId6"/>
    <sheet name="T5" sheetId="12" r:id="rId7"/>
    <sheet name="T6" sheetId="13" r:id="rId8"/>
    <sheet name="T7" sheetId="7" r:id="rId9"/>
    <sheet name="T8" sheetId="14" r:id="rId10"/>
    <sheet name="T9" sheetId="15" r:id="rId11"/>
    <sheet name="T10" sheetId="8" r:id="rId12"/>
    <sheet name="T11" sheetId="16" r:id="rId13"/>
    <sheet name="T12" sheetId="17" r:id="rId14"/>
  </sheets>
  <calcPr calcId="152511"/>
</workbook>
</file>

<file path=xl/calcChain.xml><?xml version="1.0" encoding="utf-8"?>
<calcChain xmlns="http://schemas.openxmlformats.org/spreadsheetml/2006/main">
  <c r="F25" i="4" l="1"/>
  <c r="E25" i="4"/>
  <c r="D25" i="4"/>
  <c r="C25" i="4"/>
  <c r="G58" i="4" l="1"/>
  <c r="D58" i="4"/>
  <c r="D57" i="4"/>
  <c r="F49" i="4"/>
  <c r="F58" i="4" s="1"/>
  <c r="F45" i="4"/>
  <c r="F57" i="4"/>
  <c r="E58" i="4"/>
  <c r="C54" i="4"/>
  <c r="C57" i="4"/>
  <c r="C45" i="4"/>
  <c r="C58" i="4"/>
  <c r="E49" i="5"/>
  <c r="C51" i="5"/>
  <c r="F53" i="4" l="1"/>
  <c r="C56" i="4"/>
  <c r="C55" i="4"/>
  <c r="C52" i="4"/>
  <c r="C51" i="4"/>
  <c r="C50" i="4"/>
  <c r="C48" i="4"/>
  <c r="C47" i="4"/>
  <c r="C46" i="4"/>
  <c r="C44" i="4"/>
  <c r="C43" i="4"/>
  <c r="C42" i="4"/>
  <c r="C23" i="4"/>
  <c r="C22" i="4"/>
  <c r="C21" i="4"/>
  <c r="C19" i="4"/>
  <c r="C18" i="4"/>
  <c r="C17" i="4"/>
  <c r="C15" i="4"/>
  <c r="C14" i="4"/>
  <c r="C13" i="4"/>
  <c r="C11" i="4"/>
  <c r="C10" i="4"/>
  <c r="D9" i="4"/>
  <c r="C9" i="4"/>
  <c r="F20" i="4" l="1"/>
  <c r="F24" i="4"/>
  <c r="F16" i="4"/>
  <c r="F12" i="4"/>
  <c r="D45" i="4"/>
  <c r="D12" i="4"/>
  <c r="C12" i="4"/>
  <c r="E57" i="4"/>
  <c r="E53" i="4"/>
  <c r="E49" i="4"/>
  <c r="E45" i="4"/>
  <c r="E24" i="4"/>
  <c r="E20" i="4"/>
  <c r="E16" i="4"/>
  <c r="E12" i="4"/>
  <c r="C43" i="17"/>
  <c r="E43" i="17" s="1"/>
  <c r="F43" i="17" s="1"/>
  <c r="C43" i="16"/>
  <c r="E43" i="16" s="1"/>
  <c r="F43" i="16" s="1"/>
  <c r="C43" i="8"/>
  <c r="E43" i="8" s="1"/>
  <c r="F43" i="8" s="1"/>
  <c r="E43" i="15"/>
  <c r="F43" i="15" s="1"/>
  <c r="C43" i="15"/>
  <c r="C43" i="14"/>
  <c r="E43" i="14" s="1"/>
  <c r="F43" i="14" s="1"/>
  <c r="F43" i="7"/>
  <c r="C43" i="7"/>
  <c r="E43" i="7" s="1"/>
  <c r="C43" i="13"/>
  <c r="E43" i="13" s="1"/>
  <c r="F43" i="13" s="1"/>
  <c r="F43" i="12"/>
  <c r="C43" i="12"/>
  <c r="E43" i="12" s="1"/>
  <c r="F43" i="6"/>
  <c r="C43" i="6" l="1"/>
  <c r="E43" i="6" s="1"/>
  <c r="F43" i="11"/>
  <c r="E43" i="11"/>
  <c r="C43" i="11"/>
  <c r="F43" i="10"/>
  <c r="C43" i="10"/>
  <c r="E43" i="10" s="1"/>
  <c r="C43" i="5"/>
  <c r="E43" i="5" s="1"/>
  <c r="F43" i="5" s="1"/>
  <c r="F16" i="17"/>
  <c r="C16" i="17"/>
  <c r="E16" i="17" s="1"/>
  <c r="F21" i="16"/>
  <c r="F16" i="16"/>
  <c r="F23" i="16" s="1"/>
  <c r="C16" i="16"/>
  <c r="E16" i="16" s="1"/>
  <c r="F16" i="8"/>
  <c r="C16" i="8"/>
  <c r="E16" i="8" s="1"/>
  <c r="F16" i="15"/>
  <c r="C16" i="15"/>
  <c r="E16" i="15" s="1"/>
  <c r="F16" i="14"/>
  <c r="E16" i="14"/>
  <c r="C16" i="14"/>
  <c r="F16" i="7"/>
  <c r="C16" i="7"/>
  <c r="E16" i="7" s="1"/>
  <c r="F16" i="13"/>
  <c r="E16" i="13"/>
  <c r="C16" i="13"/>
  <c r="F16" i="12"/>
  <c r="C16" i="12"/>
  <c r="E16" i="12" s="1"/>
  <c r="F16" i="6"/>
  <c r="C16" i="6"/>
  <c r="E16" i="6" s="1"/>
  <c r="F16" i="11"/>
  <c r="C16" i="11"/>
  <c r="E16" i="11" s="1"/>
  <c r="F16" i="10"/>
  <c r="E16" i="10"/>
  <c r="C16" i="10"/>
  <c r="E16" i="5"/>
  <c r="F16" i="5" s="1"/>
  <c r="C16" i="5"/>
  <c r="G25" i="4" l="1"/>
  <c r="B51" i="17"/>
  <c r="C49" i="17"/>
  <c r="E49" i="17" s="1"/>
  <c r="F49" i="17" s="1"/>
  <c r="D48" i="17"/>
  <c r="D51" i="17" s="1"/>
  <c r="E48" i="17"/>
  <c r="B23" i="17"/>
  <c r="D21" i="17"/>
  <c r="D23" i="17" s="1"/>
  <c r="C21" i="17"/>
  <c r="E21" i="17" s="1"/>
  <c r="A2" i="17"/>
  <c r="A29" i="17" s="1"/>
  <c r="A1" i="17"/>
  <c r="A28" i="17" s="1"/>
  <c r="B51" i="16"/>
  <c r="C49" i="16"/>
  <c r="E49" i="16" s="1"/>
  <c r="F49" i="16" s="1"/>
  <c r="D48" i="16"/>
  <c r="D51" i="16" s="1"/>
  <c r="E48" i="16"/>
  <c r="B23" i="16"/>
  <c r="D21" i="16"/>
  <c r="D23" i="16" s="1"/>
  <c r="C21" i="16"/>
  <c r="E21" i="16" s="1"/>
  <c r="A2" i="16"/>
  <c r="A29" i="16" s="1"/>
  <c r="A1" i="16"/>
  <c r="A28" i="16" s="1"/>
  <c r="B51" i="8"/>
  <c r="C49" i="8"/>
  <c r="E49" i="8" s="1"/>
  <c r="F49" i="8" s="1"/>
  <c r="D48" i="8"/>
  <c r="D51" i="8" s="1"/>
  <c r="E48" i="8"/>
  <c r="D23" i="8"/>
  <c r="B23" i="8"/>
  <c r="D21" i="8"/>
  <c r="C21" i="8"/>
  <c r="E21" i="8" s="1"/>
  <c r="A2" i="8"/>
  <c r="A29" i="8" s="1"/>
  <c r="A1" i="8"/>
  <c r="A28" i="8" s="1"/>
  <c r="B51" i="15"/>
  <c r="C49" i="15"/>
  <c r="E49" i="15" s="1"/>
  <c r="F49" i="15" s="1"/>
  <c r="D48" i="15"/>
  <c r="D51" i="15" s="1"/>
  <c r="E48" i="15"/>
  <c r="D23" i="15"/>
  <c r="B23" i="15"/>
  <c r="D21" i="15"/>
  <c r="C21" i="15"/>
  <c r="E21" i="15" s="1"/>
  <c r="A2" i="15"/>
  <c r="A29" i="15" s="1"/>
  <c r="A1" i="15"/>
  <c r="A28" i="15" s="1"/>
  <c r="B51" i="14"/>
  <c r="C49" i="14"/>
  <c r="E49" i="14" s="1"/>
  <c r="F49" i="14" s="1"/>
  <c r="E48" i="14"/>
  <c r="E51" i="14" s="1"/>
  <c r="D48" i="14"/>
  <c r="D51" i="14" s="1"/>
  <c r="C51" i="14"/>
  <c r="A29" i="14"/>
  <c r="C23" i="14"/>
  <c r="B23" i="14"/>
  <c r="D21" i="14"/>
  <c r="D23" i="14" s="1"/>
  <c r="C21" i="14"/>
  <c r="A2" i="14"/>
  <c r="A1" i="14"/>
  <c r="A28" i="14" s="1"/>
  <c r="B51" i="7"/>
  <c r="C49" i="7"/>
  <c r="E49" i="7" s="1"/>
  <c r="F49" i="7" s="1"/>
  <c r="D48" i="7"/>
  <c r="D51" i="7" s="1"/>
  <c r="E48" i="7"/>
  <c r="B23" i="7"/>
  <c r="D21" i="7"/>
  <c r="D23" i="7" s="1"/>
  <c r="C21" i="7"/>
  <c r="E21" i="7" s="1"/>
  <c r="A2" i="7"/>
  <c r="A29" i="7" s="1"/>
  <c r="A1" i="7"/>
  <c r="A28" i="7" s="1"/>
  <c r="B51" i="13"/>
  <c r="C49" i="13"/>
  <c r="E49" i="13" s="1"/>
  <c r="F49" i="13" s="1"/>
  <c r="D48" i="13"/>
  <c r="D51" i="13" s="1"/>
  <c r="E48" i="13"/>
  <c r="B23" i="13"/>
  <c r="D21" i="13"/>
  <c r="D23" i="13" s="1"/>
  <c r="C21" i="13"/>
  <c r="E21" i="13" s="1"/>
  <c r="A2" i="13"/>
  <c r="A29" i="13" s="1"/>
  <c r="A1" i="13"/>
  <c r="A28" i="13" s="1"/>
  <c r="B51" i="12"/>
  <c r="C49" i="12"/>
  <c r="E49" i="12" s="1"/>
  <c r="F49" i="12" s="1"/>
  <c r="D48" i="12"/>
  <c r="D51" i="12" s="1"/>
  <c r="E48" i="12"/>
  <c r="B23" i="12"/>
  <c r="D21" i="12"/>
  <c r="D23" i="12" s="1"/>
  <c r="C21" i="12"/>
  <c r="E21" i="12" s="1"/>
  <c r="A2" i="12"/>
  <c r="A29" i="12" s="1"/>
  <c r="A1" i="12"/>
  <c r="A28" i="12" s="1"/>
  <c r="C51" i="6"/>
  <c r="C49" i="6"/>
  <c r="C21" i="6"/>
  <c r="C49" i="11"/>
  <c r="C21" i="11"/>
  <c r="F48" i="17" l="1"/>
  <c r="F51" i="17" s="1"/>
  <c r="I56" i="4" s="1"/>
  <c r="E51" i="17"/>
  <c r="E23" i="17"/>
  <c r="F21" i="17"/>
  <c r="F23" i="17" s="1"/>
  <c r="C51" i="17"/>
  <c r="C23" i="17"/>
  <c r="E23" i="16"/>
  <c r="F48" i="16"/>
  <c r="F51" i="16" s="1"/>
  <c r="I55" i="4" s="1"/>
  <c r="E51" i="16"/>
  <c r="C51" i="16"/>
  <c r="C23" i="16"/>
  <c r="E23" i="8"/>
  <c r="F21" i="8"/>
  <c r="F23" i="8" s="1"/>
  <c r="F48" i="8"/>
  <c r="F51" i="8" s="1"/>
  <c r="I54" i="4" s="1"/>
  <c r="E51" i="8"/>
  <c r="C51" i="8"/>
  <c r="C23" i="8"/>
  <c r="F48" i="15"/>
  <c r="F51" i="15" s="1"/>
  <c r="I52" i="4" s="1"/>
  <c r="E51" i="15"/>
  <c r="E23" i="15"/>
  <c r="F21" i="15"/>
  <c r="F23" i="15" s="1"/>
  <c r="C51" i="15"/>
  <c r="C23" i="15"/>
  <c r="E21" i="14"/>
  <c r="F48" i="14"/>
  <c r="F51" i="14" s="1"/>
  <c r="I51" i="4" s="1"/>
  <c r="F21" i="7"/>
  <c r="F23" i="7" s="1"/>
  <c r="E23" i="7"/>
  <c r="F48" i="7"/>
  <c r="F51" i="7" s="1"/>
  <c r="I50" i="4" s="1"/>
  <c r="E51" i="7"/>
  <c r="C51" i="7"/>
  <c r="C23" i="7"/>
  <c r="F48" i="13"/>
  <c r="F51" i="13" s="1"/>
  <c r="I48" i="4" s="1"/>
  <c r="E51" i="13"/>
  <c r="E23" i="13"/>
  <c r="F21" i="13"/>
  <c r="F23" i="13" s="1"/>
  <c r="C51" i="13"/>
  <c r="C23" i="13"/>
  <c r="F48" i="12"/>
  <c r="F51" i="12" s="1"/>
  <c r="I47" i="4" s="1"/>
  <c r="E51" i="12"/>
  <c r="E23" i="12"/>
  <c r="F21" i="12"/>
  <c r="F23" i="12" s="1"/>
  <c r="C51" i="12"/>
  <c r="C23" i="12"/>
  <c r="E23" i="14" l="1"/>
  <c r="F21" i="14"/>
  <c r="F23" i="14" s="1"/>
  <c r="C21" i="10" l="1"/>
  <c r="D21" i="5"/>
  <c r="C21" i="5"/>
  <c r="B51" i="11"/>
  <c r="E49" i="11"/>
  <c r="F49" i="11" s="1"/>
  <c r="D48" i="11"/>
  <c r="D51" i="11" s="1"/>
  <c r="B23" i="11"/>
  <c r="D21" i="11"/>
  <c r="D23" i="11" s="1"/>
  <c r="E21" i="11"/>
  <c r="F21" i="11" s="1"/>
  <c r="F23" i="11" s="1"/>
  <c r="A2" i="11"/>
  <c r="A29" i="11" s="1"/>
  <c r="A1" i="11"/>
  <c r="A28" i="11" s="1"/>
  <c r="B51" i="10"/>
  <c r="E49" i="10"/>
  <c r="F49" i="10" s="1"/>
  <c r="E48" i="10"/>
  <c r="F48" i="10" s="1"/>
  <c r="D48" i="10"/>
  <c r="D51" i="10" s="1"/>
  <c r="C51" i="10"/>
  <c r="D23" i="10"/>
  <c r="B23" i="10"/>
  <c r="E21" i="10"/>
  <c r="E23" i="10" s="1"/>
  <c r="D21" i="10"/>
  <c r="C23" i="10"/>
  <c r="A2" i="10"/>
  <c r="A29" i="10" s="1"/>
  <c r="A1" i="10"/>
  <c r="A28" i="10" s="1"/>
  <c r="F51" i="10" l="1"/>
  <c r="I43" i="4" s="1"/>
  <c r="E48" i="11"/>
  <c r="E51" i="11" s="1"/>
  <c r="I19" i="4"/>
  <c r="I18" i="4"/>
  <c r="I23" i="4"/>
  <c r="I15" i="4"/>
  <c r="I14" i="4"/>
  <c r="E23" i="11"/>
  <c r="I11" i="4"/>
  <c r="C51" i="11"/>
  <c r="C23" i="11"/>
  <c r="E51" i="10"/>
  <c r="F21" i="10"/>
  <c r="F23" i="10" s="1"/>
  <c r="I10" i="4" s="1"/>
  <c r="F48" i="11" l="1"/>
  <c r="F51" i="11"/>
  <c r="I44" i="4" s="1"/>
  <c r="I22" i="4"/>
  <c r="E49" i="6" l="1"/>
  <c r="B51" i="6"/>
  <c r="D48" i="6"/>
  <c r="D51" i="6" s="1"/>
  <c r="C23" i="6"/>
  <c r="B23" i="6"/>
  <c r="D21" i="6"/>
  <c r="D23" i="6" s="1"/>
  <c r="F49" i="5"/>
  <c r="B51" i="5"/>
  <c r="D48" i="5"/>
  <c r="D51" i="5" s="1"/>
  <c r="C23" i="5"/>
  <c r="D23" i="5"/>
  <c r="B23" i="5"/>
  <c r="E21" i="5"/>
  <c r="F21" i="5" s="1"/>
  <c r="F23" i="5" s="1"/>
  <c r="I9" i="4" s="1"/>
  <c r="E23" i="5" l="1"/>
  <c r="E48" i="6"/>
  <c r="E51" i="6" s="1"/>
  <c r="E21" i="6"/>
  <c r="E48" i="5"/>
  <c r="I21" i="4"/>
  <c r="I17" i="4"/>
  <c r="F21" i="6"/>
  <c r="F23" i="6" s="1"/>
  <c r="A2" i="6"/>
  <c r="A29" i="6" s="1"/>
  <c r="A1" i="6"/>
  <c r="A28" i="6" s="1"/>
  <c r="A2" i="5"/>
  <c r="A29" i="5" s="1"/>
  <c r="A1" i="5"/>
  <c r="A28" i="5" s="1"/>
  <c r="F48" i="5" l="1"/>
  <c r="E51" i="5"/>
  <c r="F49" i="6"/>
  <c r="F48" i="6"/>
  <c r="E23" i="6"/>
  <c r="I13" i="4"/>
  <c r="F51" i="5" l="1"/>
  <c r="I42" i="4" s="1"/>
  <c r="F51" i="6"/>
  <c r="I46" i="4" s="1"/>
  <c r="D53" i="4"/>
  <c r="D49" i="4"/>
  <c r="C35" i="4"/>
  <c r="C34" i="4"/>
  <c r="C53" i="4" l="1"/>
  <c r="C49" i="4"/>
  <c r="D24" i="4"/>
  <c r="D20" i="4"/>
  <c r="D16" i="4"/>
  <c r="C16" i="4"/>
  <c r="C20" i="4"/>
  <c r="C24" i="4" l="1"/>
  <c r="C2" i="4"/>
  <c r="C1" i="4"/>
</calcChain>
</file>

<file path=xl/sharedStrings.xml><?xml version="1.0" encoding="utf-8"?>
<sst xmlns="http://schemas.openxmlformats.org/spreadsheetml/2006/main" count="832" uniqueCount="114">
  <si>
    <t>4. Chi phí chung</t>
  </si>
  <si>
    <t>Mẫu số : S 25 - SKT/DNN</t>
  </si>
  <si>
    <t>Ban hành theo quyết định số</t>
  </si>
  <si>
    <t>của bộ tài chính</t>
  </si>
  <si>
    <t>THẺ TÍNH GIÁ THÀNH SẢN PHẨM</t>
  </si>
  <si>
    <t>Khoản mục chi phí sản xuất kinh doanh</t>
  </si>
  <si>
    <t>Chi phí SXKD dở dang đầu kỳ</t>
  </si>
  <si>
    <t>Chi phí SXKD phát sinh trong kỳ</t>
  </si>
  <si>
    <t>Chi phí SXKD dở dang cuối kỳ</t>
  </si>
  <si>
    <t>Giá thành sản phẩm dịch vụ trong kỳ</t>
  </si>
  <si>
    <t xml:space="preserve">Giá thành </t>
  </si>
  <si>
    <t>Giá thành đơn vị</t>
  </si>
  <si>
    <t>1. Vật liệu</t>
  </si>
  <si>
    <t>2. Nhân công</t>
  </si>
  <si>
    <t>3. Máy</t>
  </si>
  <si>
    <t>Cộng</t>
  </si>
  <si>
    <t>Người ghi sổ</t>
  </si>
  <si>
    <t>Kế toán trưởng</t>
  </si>
  <si>
    <t>Giám đốc</t>
  </si>
  <si>
    <t>(Ký , họ tên)</t>
  </si>
  <si>
    <t>(Ký , họ tên,đóng dấu)</t>
  </si>
  <si>
    <t xml:space="preserve">Tên doanh nghiệp: </t>
  </si>
  <si>
    <t>Trụ sở chính :</t>
  </si>
  <si>
    <t>Mã số thuế :</t>
  </si>
  <si>
    <t>Trụ sở chính:</t>
  </si>
  <si>
    <t>BẢNG BÁO CÁO SẢN LƯỢNG SẢN XUẤT VÀ TIÊU THỤ ĐIỆN SOLAR</t>
  </si>
  <si>
    <t xml:space="preserve">Công suất dự án : </t>
  </si>
  <si>
    <t>Thời gian</t>
  </si>
  <si>
    <t>Tháng 1</t>
  </si>
  <si>
    <t>Tháng 2</t>
  </si>
  <si>
    <t>Tháng 3</t>
  </si>
  <si>
    <t>Tháng 4</t>
  </si>
  <si>
    <t>Tháng 5</t>
  </si>
  <si>
    <t>Tháng 6</t>
  </si>
  <si>
    <t>Tháng 7</t>
  </si>
  <si>
    <t>Tháng 8</t>
  </si>
  <si>
    <t>Tháng 9</t>
  </si>
  <si>
    <t>Tháng 10</t>
  </si>
  <si>
    <t>Tháng 11</t>
  </si>
  <si>
    <t>Tháng 12</t>
  </si>
  <si>
    <t>Sản lượng phát</t>
  </si>
  <si>
    <t>Sản lượng bán</t>
  </si>
  <si>
    <t>Sản lượng tiêu dùng</t>
  </si>
  <si>
    <t>Sản lượng phát bỏ</t>
  </si>
  <si>
    <t>Quý I</t>
  </si>
  <si>
    <t>Quý II</t>
  </si>
  <si>
    <t>Quý III</t>
  </si>
  <si>
    <t>Quý IV</t>
  </si>
  <si>
    <t>Hướng dẫn</t>
  </si>
  <si>
    <t>Sản lượng phát ghi số liệu từ phần mềm quản lý Solar</t>
  </si>
  <si>
    <t xml:space="preserve">Sản lượng phát bỏ ghi nhận điện lực không mua và những ngày cúp điện </t>
  </si>
  <si>
    <t xml:space="preserve">Sản lượng tiêu dùng là chênh lệch còn lại </t>
  </si>
  <si>
    <t xml:space="preserve">Năm </t>
  </si>
  <si>
    <t>133/2016/TT-BTC ngày 14/06/2016</t>
  </si>
  <si>
    <t xml:space="preserve">Phương pháp tính giá thành : Giá thành thực tế </t>
  </si>
  <si>
    <t>Tên sản phẩm , dịch vụ : Điện năng lượng mặt trời</t>
  </si>
  <si>
    <t xml:space="preserve">Số lượng sản phẩm , dịch vụ hoàn thành trong kỳ : </t>
  </si>
  <si>
    <t>Sản lượng bán ghi số liệu từ cơ quan điện lực chốt sổ + SL nội suy đến cuối cuối tháng</t>
  </si>
  <si>
    <t>Công ty TNHH Thuận An</t>
  </si>
  <si>
    <t>Ấp Chồng Nô 3, Xã Hòa Tân, Huyện Cầu Kè, Tỉnh Trà Vinh</t>
  </si>
  <si>
    <t>2 1 0 0 4 0 6 8 1 8</t>
  </si>
  <si>
    <t>Hóa đơn Số 16</t>
  </si>
  <si>
    <t>Hóa đơn Số 20</t>
  </si>
  <si>
    <t>Hóa đơn Số 26</t>
  </si>
  <si>
    <t>Hóa đơn Số 24</t>
  </si>
  <si>
    <t>Hóa đơn Số 27</t>
  </si>
  <si>
    <t>Hóa đơn Số 29</t>
  </si>
  <si>
    <t xml:space="preserve">  62,3    Kw</t>
  </si>
  <si>
    <t>HÒA TÂN</t>
  </si>
  <si>
    <t>HÒA ÂN</t>
  </si>
  <si>
    <t xml:space="preserve"> 142,4     Kw</t>
  </si>
  <si>
    <t>Chi phí khấu hao hệ thống pin năng lượng mặt trời</t>
  </si>
  <si>
    <t>ĐỊA ĐIỂM :</t>
  </si>
  <si>
    <t>Chi phí khấu hao sửa chửa hệ thống ĐMT</t>
  </si>
  <si>
    <t>Giá thành</t>
  </si>
  <si>
    <t>Tháng 1/2022</t>
  </si>
  <si>
    <t>Tháng 2/2022</t>
  </si>
  <si>
    <t>Tháng 3/2022</t>
  </si>
  <si>
    <t>Tháng 4/2022</t>
  </si>
  <si>
    <t>Tháng 5/2022</t>
  </si>
  <si>
    <t>Tháng 5 /2022</t>
  </si>
  <si>
    <t>Tháng 6/2022</t>
  </si>
  <si>
    <t>Tháng 6 /2022</t>
  </si>
  <si>
    <t>Tháng 7/2022</t>
  </si>
  <si>
    <t>Tháng 7 /2022</t>
  </si>
  <si>
    <t>Tháng 8/2022</t>
  </si>
  <si>
    <t>Tháng 8 /2022</t>
  </si>
  <si>
    <t>Tháng 9/2022</t>
  </si>
  <si>
    <t>Tháng 9 /2022</t>
  </si>
  <si>
    <t>Tháng 10/2022</t>
  </si>
  <si>
    <t>Tháng 10 /2022</t>
  </si>
  <si>
    <t>Tháng 11/2022</t>
  </si>
  <si>
    <t>Tháng 11 /2022</t>
  </si>
  <si>
    <t>Tháng 12/2022</t>
  </si>
  <si>
    <t>Tháng 12 /2022</t>
  </si>
  <si>
    <t>Sản lượng còn lại 12/2021</t>
  </si>
  <si>
    <t xml:space="preserve">Hóa đơn cũ Số 50 + 52 </t>
  </si>
  <si>
    <t>Hóa đơn cũ Số 57</t>
  </si>
  <si>
    <t xml:space="preserve">Hóa đơn cũ Số 62 </t>
  </si>
  <si>
    <t>Hóa đơn Số 02</t>
  </si>
  <si>
    <t>Hóa đơn Số 4</t>
  </si>
  <si>
    <t>Hóa đơn Số 11</t>
  </si>
  <si>
    <t>Hóa đơn Số 23</t>
  </si>
  <si>
    <t>Hóa đơn Số 01/2023</t>
  </si>
  <si>
    <t xml:space="preserve">Hóa đơn cũ Số 53 </t>
  </si>
  <si>
    <t>Hóa đơn cũ Số 56</t>
  </si>
  <si>
    <t xml:space="preserve">Hóa đơn cũ Số 59 </t>
  </si>
  <si>
    <t>Hóa đơn Số 01</t>
  </si>
  <si>
    <t>Hóa đơn Số 03</t>
  </si>
  <si>
    <t>Hóa đơn Số 8</t>
  </si>
  <si>
    <t>Hóa đơn Số 14</t>
  </si>
  <si>
    <t>Hóa đơn Số 18</t>
  </si>
  <si>
    <t>Hóa đơn Số 22</t>
  </si>
  <si>
    <t>Hóa đơn Số 02/2023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</si>
</sst>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\ _₫_-;\-* #,##0.00\ _₫_-;_-* &quot;-&quot;??\ _₫_-;_-@_-"/>
    <numFmt numFmtId="164" formatCode="_(* #,##0_);_(* \(#,##0\);_(* &quot;-&quot;??_);_(@_)"/>
    <numFmt numFmtId="165" formatCode="_-* #,##0\ _₫_-;\-* #,##0\ _₫_-;_-* &quot;-&quot;??\ _₫_-;_-@_-"/>
  </numFmts>
  <fonts count="11" x14ac:knownFonts="1">
    <font>
      <sz val="12"/>
      <color theme="1"/>
      <name val="Times New Roman"/>
      <family val="2"/>
      <charset val="163"/>
    </font>
    <font>
      <sz val="12"/>
      <color theme="1"/>
      <name val="Times New Roman"/>
      <family val="2"/>
      <charset val="163"/>
    </font>
    <font>
      <sz val="12"/>
      <color theme="1"/>
      <name val="Cambria"/>
      <family val="1"/>
      <scheme val="major"/>
    </font>
    <font>
      <b/>
      <sz val="10"/>
      <name val="Cambria"/>
      <family val="1"/>
      <scheme val="major"/>
    </font>
    <font>
      <i/>
      <sz val="10"/>
      <name val="Cambria"/>
      <family val="1"/>
      <scheme val="major"/>
    </font>
    <font>
      <b/>
      <sz val="14"/>
      <name val="Cambria"/>
      <family val="1"/>
      <scheme val="major"/>
    </font>
    <font>
      <sz val="10"/>
      <name val="Cambria"/>
      <family val="1"/>
      <scheme val="major"/>
    </font>
    <font>
      <i/>
      <sz val="8"/>
      <name val="Cambria"/>
      <family val="1"/>
      <scheme val="major"/>
    </font>
    <font>
      <b/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sz val="12"/>
      <color theme="1"/>
      <name val="Cambria"/>
      <family val="1"/>
      <scheme val="maj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4">
    <xf numFmtId="0" fontId="0" fillId="0" borderId="0" xfId="0"/>
    <xf numFmtId="0" fontId="2" fillId="0" borderId="0" xfId="0" applyFont="1"/>
    <xf numFmtId="0" fontId="4" fillId="0" borderId="0" xfId="0" applyFont="1"/>
    <xf numFmtId="0" fontId="6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4" xfId="0" applyFont="1" applyBorder="1"/>
    <xf numFmtId="164" fontId="2" fillId="0" borderId="4" xfId="1" applyNumberFormat="1" applyFont="1" applyBorder="1"/>
    <xf numFmtId="0" fontId="2" fillId="0" borderId="5" xfId="0" applyFont="1" applyBorder="1"/>
    <xf numFmtId="164" fontId="2" fillId="0" borderId="5" xfId="1" applyNumberFormat="1" applyFont="1" applyBorder="1"/>
    <xf numFmtId="164" fontId="6" fillId="0" borderId="5" xfId="1" applyNumberFormat="1" applyFont="1" applyBorder="1" applyAlignment="1"/>
    <xf numFmtId="0" fontId="2" fillId="0" borderId="0" xfId="0" applyFont="1" applyBorder="1" applyAlignment="1">
      <alignment horizontal="center"/>
    </xf>
    <xf numFmtId="164" fontId="6" fillId="0" borderId="0" xfId="1" applyNumberFormat="1" applyFont="1" applyBorder="1"/>
    <xf numFmtId="164" fontId="2" fillId="0" borderId="0" xfId="1" applyNumberFormat="1" applyFont="1" applyBorder="1"/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8" xfId="0" applyFont="1" applyBorder="1"/>
    <xf numFmtId="164" fontId="2" fillId="0" borderId="8" xfId="1" applyNumberFormat="1" applyFont="1" applyBorder="1"/>
    <xf numFmtId="0" fontId="2" fillId="0" borderId="9" xfId="0" applyFont="1" applyBorder="1"/>
    <xf numFmtId="164" fontId="2" fillId="0" borderId="9" xfId="1" applyNumberFormat="1" applyFont="1" applyBorder="1"/>
    <xf numFmtId="164" fontId="6" fillId="0" borderId="9" xfId="1" applyNumberFormat="1" applyFont="1" applyBorder="1" applyAlignment="1"/>
    <xf numFmtId="0" fontId="2" fillId="0" borderId="3" xfId="0" applyFont="1" applyBorder="1"/>
    <xf numFmtId="164" fontId="2" fillId="0" borderId="3" xfId="1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0" xfId="0" applyAlignment="1">
      <alignment horizontal="right"/>
    </xf>
    <xf numFmtId="0" fontId="0" fillId="0" borderId="4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5" xfId="0" applyBorder="1"/>
    <xf numFmtId="0" fontId="8" fillId="0" borderId="0" xfId="0" applyFont="1"/>
    <xf numFmtId="0" fontId="0" fillId="0" borderId="9" xfId="0" applyBorder="1" applyAlignment="1">
      <alignment horizontal="center"/>
    </xf>
    <xf numFmtId="0" fontId="0" fillId="0" borderId="9" xfId="0" applyBorder="1"/>
    <xf numFmtId="0" fontId="0" fillId="0" borderId="8" xfId="0" applyBorder="1" applyAlignment="1">
      <alignment horizontal="center"/>
    </xf>
    <xf numFmtId="0" fontId="0" fillId="0" borderId="8" xfId="0" applyBorder="1"/>
    <xf numFmtId="3" fontId="0" fillId="0" borderId="4" xfId="0" applyNumberFormat="1" applyBorder="1"/>
    <xf numFmtId="3" fontId="0" fillId="0" borderId="5" xfId="0" applyNumberFormat="1" applyBorder="1"/>
    <xf numFmtId="3" fontId="0" fillId="0" borderId="9" xfId="0" applyNumberFormat="1" applyBorder="1"/>
    <xf numFmtId="3" fontId="0" fillId="0" borderId="8" xfId="0" applyNumberFormat="1" applyBorder="1"/>
    <xf numFmtId="0" fontId="0" fillId="0" borderId="0" xfId="0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2" borderId="1" xfId="0" applyFont="1" applyFill="1" applyBorder="1"/>
    <xf numFmtId="3" fontId="8" fillId="2" borderId="1" xfId="0" applyNumberFormat="1" applyFont="1" applyFill="1" applyBorder="1"/>
    <xf numFmtId="0" fontId="9" fillId="0" borderId="0" xfId="0" applyFont="1"/>
    <xf numFmtId="0" fontId="9" fillId="0" borderId="0" xfId="0" applyFont="1" applyFill="1" applyBorder="1"/>
    <xf numFmtId="0" fontId="8" fillId="0" borderId="0" xfId="0" applyFont="1" applyAlignment="1">
      <alignment horizontal="left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43" fontId="0" fillId="0" borderId="0" xfId="1" applyFont="1"/>
    <xf numFmtId="165" fontId="0" fillId="0" borderId="0" xfId="1" applyNumberFormat="1" applyFont="1"/>
    <xf numFmtId="165" fontId="8" fillId="2" borderId="1" xfId="0" applyNumberFormat="1" applyFont="1" applyFill="1" applyBorder="1"/>
    <xf numFmtId="165" fontId="0" fillId="0" borderId="0" xfId="0" applyNumberFormat="1"/>
    <xf numFmtId="3" fontId="0" fillId="0" borderId="0" xfId="0" applyNumberFormat="1"/>
    <xf numFmtId="0" fontId="3" fillId="4" borderId="0" xfId="0" applyFont="1" applyFill="1"/>
    <xf numFmtId="0" fontId="3" fillId="0" borderId="0" xfId="0" applyFont="1" applyFill="1"/>
    <xf numFmtId="0" fontId="10" fillId="0" borderId="1" xfId="0" applyFont="1" applyBorder="1" applyAlignment="1">
      <alignment horizontal="center" vertical="center"/>
    </xf>
    <xf numFmtId="164" fontId="10" fillId="0" borderId="1" xfId="1" applyNumberFormat="1" applyFont="1" applyBorder="1" applyAlignment="1">
      <alignment vertical="center"/>
    </xf>
    <xf numFmtId="3" fontId="3" fillId="4" borderId="0" xfId="0" applyNumberFormat="1" applyFont="1" applyFill="1"/>
    <xf numFmtId="0" fontId="0" fillId="3" borderId="0" xfId="0" applyFill="1" applyBorder="1" applyAlignment="1">
      <alignment horizontal="center" vertical="center"/>
    </xf>
    <xf numFmtId="0" fontId="0" fillId="0" borderId="8" xfId="0" applyFill="1" applyBorder="1" applyAlignment="1">
      <alignment horizontal="center"/>
    </xf>
    <xf numFmtId="0" fontId="0" fillId="0" borderId="8" xfId="0" applyFill="1" applyBorder="1"/>
    <xf numFmtId="0" fontId="0" fillId="0" borderId="1" xfId="0" applyFill="1" applyBorder="1" applyAlignment="1">
      <alignment horizontal="center" vertical="center"/>
    </xf>
    <xf numFmtId="165" fontId="0" fillId="0" borderId="1" xfId="1" applyNumberFormat="1" applyFont="1" applyFill="1" applyBorder="1" applyAlignment="1">
      <alignment horizontal="center" vertical="center"/>
    </xf>
    <xf numFmtId="0" fontId="0" fillId="0" borderId="0" xfId="0" applyFill="1"/>
    <xf numFmtId="0" fontId="0" fillId="0" borderId="1" xfId="0" applyFill="1" applyBorder="1" applyAlignment="1">
      <alignment vertical="center"/>
    </xf>
    <xf numFmtId="165" fontId="0" fillId="0" borderId="1" xfId="1" applyNumberFormat="1" applyFont="1" applyFill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164" fontId="10" fillId="0" borderId="3" xfId="1" applyNumberFormat="1" applyFont="1" applyBorder="1" applyAlignment="1">
      <alignment vertical="center"/>
    </xf>
    <xf numFmtId="0" fontId="2" fillId="0" borderId="14" xfId="0" applyFont="1" applyBorder="1"/>
    <xf numFmtId="164" fontId="2" fillId="0" borderId="15" xfId="1" applyNumberFormat="1" applyFont="1" applyBorder="1"/>
    <xf numFmtId="0" fontId="2" fillId="0" borderId="16" xfId="0" applyFont="1" applyBorder="1"/>
    <xf numFmtId="164" fontId="2" fillId="0" borderId="13" xfId="1" applyNumberFormat="1" applyFont="1" applyBorder="1"/>
    <xf numFmtId="164" fontId="2" fillId="0" borderId="11" xfId="1" applyNumberFormat="1" applyFont="1" applyBorder="1"/>
    <xf numFmtId="0" fontId="2" fillId="0" borderId="17" xfId="0" applyFont="1" applyBorder="1"/>
    <xf numFmtId="0" fontId="2" fillId="0" borderId="12" xfId="0" applyFont="1" applyBorder="1"/>
    <xf numFmtId="164" fontId="2" fillId="0" borderId="17" xfId="1" applyNumberFormat="1" applyFont="1" applyBorder="1"/>
    <xf numFmtId="164" fontId="2" fillId="0" borderId="12" xfId="1" applyNumberFormat="1" applyFont="1" applyBorder="1"/>
    <xf numFmtId="0" fontId="0" fillId="0" borderId="2" xfId="0" applyFill="1" applyBorder="1" applyAlignment="1">
      <alignment horizontal="center" vertical="center"/>
    </xf>
    <xf numFmtId="165" fontId="0" fillId="0" borderId="2" xfId="1" applyNumberFormat="1" applyFont="1" applyFill="1" applyBorder="1" applyAlignment="1">
      <alignment horizontal="center" vertical="center"/>
    </xf>
    <xf numFmtId="165" fontId="8" fillId="2" borderId="1" xfId="0" applyNumberFormat="1" applyFont="1" applyFill="1" applyBorder="1" applyAlignment="1">
      <alignment horizontal="center"/>
    </xf>
    <xf numFmtId="3" fontId="8" fillId="2" borderId="1" xfId="0" applyNumberFormat="1" applyFont="1" applyFill="1" applyBorder="1" applyAlignment="1">
      <alignment horizontal="center"/>
    </xf>
    <xf numFmtId="0" fontId="0" fillId="4" borderId="0" xfId="0" applyFill="1"/>
    <xf numFmtId="43" fontId="0" fillId="4" borderId="0" xfId="1" applyFont="1" applyFill="1"/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/>
    <xf numFmtId="164" fontId="2" fillId="0" borderId="25" xfId="1" applyNumberFormat="1" applyFont="1" applyBorder="1"/>
    <xf numFmtId="0" fontId="2" fillId="0" borderId="26" xfId="0" applyFont="1" applyBorder="1"/>
    <xf numFmtId="164" fontId="2" fillId="0" borderId="27" xfId="1" applyNumberFormat="1" applyFont="1" applyBorder="1"/>
    <xf numFmtId="0" fontId="2" fillId="0" borderId="28" xfId="0" applyFont="1" applyBorder="1"/>
    <xf numFmtId="164" fontId="2" fillId="0" borderId="29" xfId="1" applyNumberFormat="1" applyFont="1" applyBorder="1"/>
    <xf numFmtId="164" fontId="6" fillId="0" borderId="29" xfId="1" applyNumberFormat="1" applyFont="1" applyBorder="1" applyAlignment="1"/>
    <xf numFmtId="0" fontId="2" fillId="0" borderId="30" xfId="0" applyFont="1" applyBorder="1"/>
    <xf numFmtId="164" fontId="6" fillId="0" borderId="31" xfId="1" applyNumberFormat="1" applyFont="1" applyBorder="1" applyAlignment="1"/>
    <xf numFmtId="164" fontId="2" fillId="0" borderId="31" xfId="1" applyNumberFormat="1" applyFont="1" applyBorder="1"/>
    <xf numFmtId="0" fontId="2" fillId="0" borderId="32" xfId="0" applyFont="1" applyBorder="1" applyAlignment="1">
      <alignment horizontal="center" vertical="center"/>
    </xf>
    <xf numFmtId="164" fontId="10" fillId="0" borderId="33" xfId="1" applyNumberFormat="1" applyFont="1" applyBorder="1" applyAlignment="1">
      <alignment vertical="center"/>
    </xf>
    <xf numFmtId="164" fontId="10" fillId="0" borderId="34" xfId="1" applyNumberFormat="1" applyFont="1" applyBorder="1" applyAlignment="1">
      <alignment vertical="center"/>
    </xf>
    <xf numFmtId="0" fontId="2" fillId="0" borderId="13" xfId="0" applyFont="1" applyBorder="1"/>
    <xf numFmtId="3" fontId="0" fillId="4" borderId="9" xfId="0" applyNumberFormat="1" applyFill="1" applyBorder="1"/>
    <xf numFmtId="0" fontId="8" fillId="0" borderId="0" xfId="0" applyFon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8" fillId="4" borderId="0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5"/>
  <sheetViews>
    <sheetView workbookViewId="0">
      <selection activeCell="F24" sqref="F24"/>
    </sheetView>
  </sheetViews>
  <sheetFormatPr defaultRowHeight="15.75" x14ac:dyDescent="0.25"/>
  <sheetData>
    <row r="3" spans="1:3" x14ac:dyDescent="0.25">
      <c r="A3" t="s">
        <v>21</v>
      </c>
      <c r="C3" t="s">
        <v>58</v>
      </c>
    </row>
    <row r="4" spans="1:3" x14ac:dyDescent="0.25">
      <c r="A4" t="s">
        <v>22</v>
      </c>
      <c r="C4" t="s">
        <v>59</v>
      </c>
    </row>
    <row r="5" spans="1:3" x14ac:dyDescent="0.25">
      <c r="A5" t="s">
        <v>23</v>
      </c>
      <c r="C5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3"/>
  <sheetViews>
    <sheetView tabSelected="1" topLeftCell="A16" workbookViewId="0">
      <selection activeCell="H48" sqref="H48"/>
    </sheetView>
  </sheetViews>
  <sheetFormatPr defaultRowHeight="15.75" x14ac:dyDescent="0.25"/>
  <cols>
    <col min="1" max="1" width="23" customWidth="1"/>
    <col min="2" max="2" width="2.625" customWidth="1"/>
    <col min="3" max="6" width="15.625" customWidth="1"/>
    <col min="8" max="8" width="18.375" customWidth="1"/>
    <col min="9" max="9" width="22.5" customWidth="1"/>
  </cols>
  <sheetData>
    <row r="1" spans="1:9" ht="33" customHeight="1" x14ac:dyDescent="0.25">
      <c r="A1" t="s">
        <v>21</v>
      </c>
      <c r="C1" t="str">
        <f>'THONG TIN'!C3</f>
        <v>Công ty TNHH Thuận An</v>
      </c>
    </row>
    <row r="2" spans="1:9" ht="27.75" customHeight="1" x14ac:dyDescent="0.25">
      <c r="A2" t="s">
        <v>24</v>
      </c>
      <c r="C2" t="str">
        <f>'THONG TIN'!C4</f>
        <v>Ấp Chồng Nô 3, Xã Hòa Tân, Huyện Cầu Kè, Tỉnh Trà Vinh</v>
      </c>
    </row>
    <row r="3" spans="1:9" ht="21.95" customHeight="1" x14ac:dyDescent="0.25">
      <c r="A3" s="98" t="s">
        <v>25</v>
      </c>
      <c r="B3" s="98"/>
      <c r="C3" s="98"/>
      <c r="D3" s="98"/>
      <c r="E3" s="98"/>
      <c r="F3" s="98"/>
    </row>
    <row r="4" spans="1:9" ht="21.95" customHeight="1" x14ac:dyDescent="0.25">
      <c r="A4" s="100" t="s">
        <v>68</v>
      </c>
      <c r="B4" s="100"/>
      <c r="C4" s="100"/>
      <c r="D4" s="100"/>
      <c r="E4" s="100"/>
      <c r="F4" s="100"/>
    </row>
    <row r="5" spans="1:9" ht="21.95" customHeight="1" x14ac:dyDescent="0.25">
      <c r="B5" t="s">
        <v>26</v>
      </c>
      <c r="D5" s="29" t="s">
        <v>67</v>
      </c>
      <c r="E5" s="24" t="s">
        <v>52</v>
      </c>
      <c r="F5" s="44">
        <v>2022</v>
      </c>
    </row>
    <row r="6" spans="1:9" ht="21.95" customHeight="1" x14ac:dyDescent="0.25"/>
    <row r="7" spans="1:9" ht="21.95" customHeight="1" x14ac:dyDescent="0.25">
      <c r="A7" s="99" t="s">
        <v>27</v>
      </c>
      <c r="B7" s="99"/>
      <c r="C7" s="45" t="s">
        <v>40</v>
      </c>
      <c r="D7" s="45" t="s">
        <v>41</v>
      </c>
      <c r="E7" s="45" t="s">
        <v>43</v>
      </c>
      <c r="F7" s="45" t="s">
        <v>42</v>
      </c>
      <c r="I7" s="57" t="s">
        <v>74</v>
      </c>
    </row>
    <row r="8" spans="1:9" ht="21.95" customHeight="1" x14ac:dyDescent="0.25">
      <c r="A8" s="63" t="s">
        <v>95</v>
      </c>
      <c r="B8" s="63"/>
      <c r="C8" s="64">
        <v>0</v>
      </c>
      <c r="D8" s="61"/>
      <c r="E8" s="60"/>
      <c r="F8" s="60"/>
      <c r="I8" s="57"/>
    </row>
    <row r="9" spans="1:9" ht="21.95" customHeight="1" x14ac:dyDescent="0.25">
      <c r="A9" s="58" t="s">
        <v>28</v>
      </c>
      <c r="B9" s="59"/>
      <c r="C9" s="48">
        <f>D9+E9+F9</f>
        <v>11790</v>
      </c>
      <c r="D9" s="34">
        <f>2650+9110</f>
        <v>11760</v>
      </c>
      <c r="E9" s="34">
        <v>10</v>
      </c>
      <c r="F9" s="34">
        <v>20</v>
      </c>
      <c r="G9" t="s">
        <v>96</v>
      </c>
      <c r="H9" s="47"/>
      <c r="I9" s="48">
        <f>'T1'!F23</f>
        <v>1201.6617472434266</v>
      </c>
    </row>
    <row r="10" spans="1:9" ht="21.95" customHeight="1" x14ac:dyDescent="0.25">
      <c r="A10" s="27" t="s">
        <v>29</v>
      </c>
      <c r="B10" s="28"/>
      <c r="C10" s="48">
        <f t="shared" ref="C10:C11" si="0">D10+E10+F10</f>
        <v>8501</v>
      </c>
      <c r="D10" s="34">
        <v>8360</v>
      </c>
      <c r="E10" s="35">
        <v>100</v>
      </c>
      <c r="F10" s="35">
        <v>41</v>
      </c>
      <c r="G10" t="s">
        <v>97</v>
      </c>
      <c r="H10" s="47"/>
      <c r="I10" s="48">
        <f>'T2'!F23</f>
        <v>1666.579461239854</v>
      </c>
    </row>
    <row r="11" spans="1:9" ht="21.95" customHeight="1" x14ac:dyDescent="0.25">
      <c r="A11" s="30" t="s">
        <v>30</v>
      </c>
      <c r="B11" s="31"/>
      <c r="C11" s="48">
        <f t="shared" si="0"/>
        <v>8654</v>
      </c>
      <c r="D11" s="34">
        <v>8610</v>
      </c>
      <c r="E11" s="36">
        <v>10</v>
      </c>
      <c r="F11" s="36">
        <v>34</v>
      </c>
      <c r="G11" t="s">
        <v>98</v>
      </c>
      <c r="H11" s="47"/>
      <c r="I11" s="48">
        <f>'T3'!F23</f>
        <v>1637.1148601802633</v>
      </c>
    </row>
    <row r="12" spans="1:9" ht="21.95" customHeight="1" x14ac:dyDescent="0.25">
      <c r="A12" s="39" t="s">
        <v>44</v>
      </c>
      <c r="B12" s="40"/>
      <c r="C12" s="78">
        <f>SUM(C8:C11)</f>
        <v>28945</v>
      </c>
      <c r="D12" s="78">
        <f>SUM(D9:D11)</f>
        <v>28730</v>
      </c>
      <c r="E12" s="79">
        <f>SUM(E9:E11)</f>
        <v>120</v>
      </c>
      <c r="F12" s="79">
        <f>SUM(F9:F11)</f>
        <v>95</v>
      </c>
      <c r="H12" s="47"/>
      <c r="I12" s="48"/>
    </row>
    <row r="13" spans="1:9" ht="21.95" customHeight="1" x14ac:dyDescent="0.25">
      <c r="A13" s="32" t="s">
        <v>31</v>
      </c>
      <c r="B13" s="33"/>
      <c r="C13" s="48">
        <f t="shared" ref="C13:C15" si="1">D13+E13+F13</f>
        <v>8032</v>
      </c>
      <c r="D13" s="37">
        <v>7960</v>
      </c>
      <c r="E13" s="37">
        <v>10</v>
      </c>
      <c r="F13" s="37">
        <v>62</v>
      </c>
      <c r="G13" t="s">
        <v>99</v>
      </c>
      <c r="H13" s="47"/>
      <c r="I13" s="48">
        <f>'T4'!F23</f>
        <v>1763.8934262948205</v>
      </c>
    </row>
    <row r="14" spans="1:9" ht="21.95" customHeight="1" x14ac:dyDescent="0.25">
      <c r="A14" s="27" t="s">
        <v>32</v>
      </c>
      <c r="B14" s="28"/>
      <c r="C14" s="48">
        <f t="shared" si="1"/>
        <v>7450</v>
      </c>
      <c r="D14" s="35">
        <v>7280</v>
      </c>
      <c r="E14" s="35">
        <v>50</v>
      </c>
      <c r="F14" s="35">
        <v>120</v>
      </c>
      <c r="G14" t="s">
        <v>100</v>
      </c>
      <c r="H14" s="47"/>
      <c r="I14" s="48">
        <f>'T5'!F23</f>
        <v>1901.6902013422819</v>
      </c>
    </row>
    <row r="15" spans="1:9" ht="21.95" customHeight="1" x14ac:dyDescent="0.25">
      <c r="A15" s="30" t="s">
        <v>33</v>
      </c>
      <c r="B15" s="31"/>
      <c r="C15" s="48">
        <f t="shared" si="1"/>
        <v>8003</v>
      </c>
      <c r="D15" s="36">
        <v>7890</v>
      </c>
      <c r="E15" s="36">
        <v>50</v>
      </c>
      <c r="F15" s="36">
        <v>63</v>
      </c>
      <c r="G15" t="s">
        <v>101</v>
      </c>
      <c r="H15" s="47"/>
      <c r="I15" s="48">
        <f>'T6'!F23</f>
        <v>1770.2851430713483</v>
      </c>
    </row>
    <row r="16" spans="1:9" ht="21.95" customHeight="1" x14ac:dyDescent="0.25">
      <c r="A16" s="39" t="s">
        <v>45</v>
      </c>
      <c r="B16" s="40"/>
      <c r="C16" s="78">
        <f>SUM(C13:C15)</f>
        <v>23485</v>
      </c>
      <c r="D16" s="78">
        <f>SUM(D13:D15)</f>
        <v>23130</v>
      </c>
      <c r="E16" s="78">
        <f>SUM(E13:E15)</f>
        <v>110</v>
      </c>
      <c r="F16" s="78">
        <f>SUM(F13:F15)</f>
        <v>245</v>
      </c>
      <c r="H16" s="47"/>
      <c r="I16" s="48"/>
    </row>
    <row r="17" spans="1:9" ht="21.95" customHeight="1" x14ac:dyDescent="0.25">
      <c r="A17" s="32" t="s">
        <v>34</v>
      </c>
      <c r="B17" s="33"/>
      <c r="C17" s="48">
        <f t="shared" ref="C17:C19" si="2">D17+E17+F17</f>
        <v>7259</v>
      </c>
      <c r="D17" s="37">
        <v>7100</v>
      </c>
      <c r="E17" s="37">
        <v>100</v>
      </c>
      <c r="F17" s="37">
        <v>59</v>
      </c>
      <c r="G17" t="s">
        <v>61</v>
      </c>
      <c r="H17" s="47"/>
      <c r="I17" s="48">
        <f>'T7'!F23</f>
        <v>1951.7277861964458</v>
      </c>
    </row>
    <row r="18" spans="1:9" ht="21.95" customHeight="1" x14ac:dyDescent="0.25">
      <c r="A18" s="27" t="s">
        <v>35</v>
      </c>
      <c r="B18" s="28"/>
      <c r="C18" s="48">
        <f t="shared" si="2"/>
        <v>7779</v>
      </c>
      <c r="D18" s="35">
        <v>7690</v>
      </c>
      <c r="E18" s="35">
        <v>10</v>
      </c>
      <c r="F18" s="35">
        <v>79</v>
      </c>
      <c r="G18" t="s">
        <v>62</v>
      </c>
      <c r="H18" s="47"/>
      <c r="I18" s="48">
        <f>'T8'!F23</f>
        <v>1821.2613446458415</v>
      </c>
    </row>
    <row r="19" spans="1:9" ht="21.95" customHeight="1" x14ac:dyDescent="0.25">
      <c r="A19" s="30" t="s">
        <v>36</v>
      </c>
      <c r="B19" s="31"/>
      <c r="C19" s="48">
        <f t="shared" si="2"/>
        <v>7055</v>
      </c>
      <c r="D19" s="36">
        <v>6890</v>
      </c>
      <c r="E19" s="36">
        <v>50</v>
      </c>
      <c r="F19" s="36">
        <v>115</v>
      </c>
      <c r="G19" t="s">
        <v>102</v>
      </c>
      <c r="H19" s="47"/>
      <c r="I19" s="48">
        <f>'T9'!F23</f>
        <v>2008.1632884479093</v>
      </c>
    </row>
    <row r="20" spans="1:9" ht="21.95" customHeight="1" x14ac:dyDescent="0.25">
      <c r="A20" s="39" t="s">
        <v>46</v>
      </c>
      <c r="B20" s="40"/>
      <c r="C20" s="78">
        <f>SUM(C17:C19)</f>
        <v>22093</v>
      </c>
      <c r="D20" s="78">
        <f>SUM(D17:D19)</f>
        <v>21680</v>
      </c>
      <c r="E20" s="78">
        <f>SUM(E17:E19)</f>
        <v>160</v>
      </c>
      <c r="F20" s="78">
        <f>SUM(F17:F19)</f>
        <v>253</v>
      </c>
      <c r="H20" s="47"/>
      <c r="I20" s="48"/>
    </row>
    <row r="21" spans="1:9" ht="21.95" customHeight="1" x14ac:dyDescent="0.25">
      <c r="A21" s="32" t="s">
        <v>37</v>
      </c>
      <c r="B21" s="33"/>
      <c r="C21" s="48">
        <f t="shared" ref="C21:C23" si="3">D21+E21+F21</f>
        <v>6865</v>
      </c>
      <c r="D21" s="37">
        <v>6710</v>
      </c>
      <c r="E21" s="37">
        <v>100</v>
      </c>
      <c r="F21" s="37">
        <v>55</v>
      </c>
      <c r="G21" t="s">
        <v>63</v>
      </c>
      <c r="H21" s="47"/>
      <c r="I21" s="48">
        <f>'T10'!F23</f>
        <v>2063.7424617625638</v>
      </c>
    </row>
    <row r="22" spans="1:9" ht="21.95" customHeight="1" x14ac:dyDescent="0.25">
      <c r="A22" s="27" t="s">
        <v>38</v>
      </c>
      <c r="B22" s="28"/>
      <c r="C22" s="48">
        <f t="shared" si="3"/>
        <v>6752</v>
      </c>
      <c r="D22" s="35">
        <v>6600</v>
      </c>
      <c r="E22" s="35">
        <v>55</v>
      </c>
      <c r="F22" s="35">
        <v>97</v>
      </c>
      <c r="G22" t="s">
        <v>66</v>
      </c>
      <c r="H22" s="47"/>
      <c r="I22" s="48">
        <f>'T11'!F23</f>
        <v>2098.2808056872036</v>
      </c>
    </row>
    <row r="23" spans="1:9" ht="21.95" customHeight="1" x14ac:dyDescent="0.25">
      <c r="A23" s="30" t="s">
        <v>39</v>
      </c>
      <c r="B23" s="31"/>
      <c r="C23" s="48">
        <f t="shared" si="3"/>
        <v>5832</v>
      </c>
      <c r="D23" s="97">
        <v>5720</v>
      </c>
      <c r="E23" s="36">
        <v>10</v>
      </c>
      <c r="F23" s="36">
        <v>102</v>
      </c>
      <c r="G23" s="80" t="s">
        <v>103</v>
      </c>
      <c r="H23" s="81"/>
      <c r="I23" s="48">
        <f>'T12'!F23</f>
        <v>2429.2853223593966</v>
      </c>
    </row>
    <row r="24" spans="1:9" ht="21.95" customHeight="1" x14ac:dyDescent="0.25">
      <c r="A24" s="39" t="s">
        <v>47</v>
      </c>
      <c r="B24" s="40"/>
      <c r="C24" s="78">
        <f>SUM(C21:C23)</f>
        <v>19449</v>
      </c>
      <c r="D24" s="78">
        <f>SUM(D21:D23)</f>
        <v>19030</v>
      </c>
      <c r="E24" s="78">
        <f>SUM(E21:E23)</f>
        <v>165</v>
      </c>
      <c r="F24" s="78">
        <f>SUM(F21:F23)</f>
        <v>254</v>
      </c>
      <c r="H24" s="47"/>
      <c r="I24" s="50"/>
    </row>
    <row r="25" spans="1:9" ht="21.95" customHeight="1" x14ac:dyDescent="0.25">
      <c r="A25" s="62"/>
      <c r="C25" s="50">
        <f>C12+C16+C20+C24</f>
        <v>93972</v>
      </c>
      <c r="D25" s="50">
        <f>D12+D16+D20+D24</f>
        <v>92570</v>
      </c>
      <c r="E25" s="51">
        <f>SUM(E12+E16+E20+E24)</f>
        <v>555</v>
      </c>
      <c r="F25" s="51">
        <f>SUM(F12+F16+F20+F24)</f>
        <v>847</v>
      </c>
      <c r="G25" s="51">
        <f>E25+F25</f>
        <v>1402</v>
      </c>
      <c r="H25" s="50"/>
    </row>
    <row r="26" spans="1:9" ht="21.95" customHeight="1" x14ac:dyDescent="0.25">
      <c r="A26" s="38"/>
      <c r="C26" s="50"/>
      <c r="D26" s="50"/>
      <c r="F26" s="50"/>
    </row>
    <row r="27" spans="1:9" ht="21.95" customHeight="1" x14ac:dyDescent="0.25">
      <c r="A27" s="38" t="s">
        <v>48</v>
      </c>
      <c r="C27" s="42" t="s">
        <v>49</v>
      </c>
    </row>
    <row r="28" spans="1:9" ht="21.95" customHeight="1" x14ac:dyDescent="0.25">
      <c r="C28" s="42" t="s">
        <v>57</v>
      </c>
    </row>
    <row r="29" spans="1:9" ht="21.95" customHeight="1" x14ac:dyDescent="0.25">
      <c r="C29" s="42" t="s">
        <v>50</v>
      </c>
    </row>
    <row r="30" spans="1:9" ht="21.95" customHeight="1" x14ac:dyDescent="0.25">
      <c r="C30" s="43" t="s">
        <v>51</v>
      </c>
    </row>
    <row r="33" spans="1:9" x14ac:dyDescent="0.25">
      <c r="C33" s="43"/>
    </row>
    <row r="34" spans="1:9" ht="21.95" customHeight="1" x14ac:dyDescent="0.25">
      <c r="A34" t="s">
        <v>21</v>
      </c>
      <c r="C34" t="str">
        <f>'THONG TIN'!C3</f>
        <v>Công ty TNHH Thuận An</v>
      </c>
    </row>
    <row r="35" spans="1:9" ht="21.95" customHeight="1" x14ac:dyDescent="0.25">
      <c r="A35" t="s">
        <v>24</v>
      </c>
      <c r="C35" t="str">
        <f>'THONG TIN'!C4</f>
        <v>Ấp Chồng Nô 3, Xã Hòa Tân, Huyện Cầu Kè, Tỉnh Trà Vinh</v>
      </c>
    </row>
    <row r="36" spans="1:9" ht="21.95" customHeight="1" x14ac:dyDescent="0.25">
      <c r="A36" s="98" t="s">
        <v>25</v>
      </c>
      <c r="B36" s="98"/>
      <c r="C36" s="98"/>
      <c r="D36" s="98"/>
      <c r="E36" s="98"/>
      <c r="F36" s="98"/>
    </row>
    <row r="37" spans="1:9" ht="21.95" customHeight="1" x14ac:dyDescent="0.25">
      <c r="A37" s="100" t="s">
        <v>69</v>
      </c>
      <c r="B37" s="100"/>
      <c r="C37" s="100"/>
      <c r="D37" s="100"/>
      <c r="E37" s="100"/>
      <c r="F37" s="100"/>
    </row>
    <row r="38" spans="1:9" ht="21.95" customHeight="1" x14ac:dyDescent="0.25">
      <c r="A38" s="43"/>
      <c r="B38" t="s">
        <v>26</v>
      </c>
      <c r="D38" s="29" t="s">
        <v>70</v>
      </c>
      <c r="E38" s="24" t="s">
        <v>52</v>
      </c>
      <c r="F38" s="44">
        <v>2022</v>
      </c>
    </row>
    <row r="39" spans="1:9" ht="21.95" customHeight="1" x14ac:dyDescent="0.25"/>
    <row r="40" spans="1:9" ht="21.95" customHeight="1" x14ac:dyDescent="0.25">
      <c r="A40" s="99" t="s">
        <v>27</v>
      </c>
      <c r="B40" s="99"/>
      <c r="C40" s="46" t="s">
        <v>40</v>
      </c>
      <c r="D40" s="46" t="s">
        <v>41</v>
      </c>
      <c r="E40" s="46" t="s">
        <v>43</v>
      </c>
      <c r="F40" s="46" t="s">
        <v>42</v>
      </c>
      <c r="I40" s="57" t="s">
        <v>74</v>
      </c>
    </row>
    <row r="41" spans="1:9" ht="21.95" customHeight="1" x14ac:dyDescent="0.25">
      <c r="A41" s="63" t="s">
        <v>95</v>
      </c>
      <c r="B41" s="76"/>
      <c r="C41" s="77">
        <v>0</v>
      </c>
      <c r="D41" s="77"/>
      <c r="E41" s="76"/>
      <c r="F41" s="76"/>
      <c r="I41" s="57"/>
    </row>
    <row r="42" spans="1:9" ht="21.95" customHeight="1" x14ac:dyDescent="0.25">
      <c r="A42" s="25" t="s">
        <v>28</v>
      </c>
      <c r="B42" s="26"/>
      <c r="C42" s="48">
        <f t="shared" ref="C42:C44" si="4">D42+E42+F42</f>
        <v>20176</v>
      </c>
      <c r="D42" s="34">
        <v>19376</v>
      </c>
      <c r="E42" s="34">
        <v>500</v>
      </c>
      <c r="F42" s="34">
        <v>300</v>
      </c>
      <c r="G42" t="s">
        <v>104</v>
      </c>
      <c r="I42" s="48">
        <f>'T1'!F51</f>
        <v>1227.7726506740682</v>
      </c>
    </row>
    <row r="43" spans="1:9" ht="21.95" customHeight="1" x14ac:dyDescent="0.25">
      <c r="A43" s="27" t="s">
        <v>29</v>
      </c>
      <c r="B43" s="28"/>
      <c r="C43" s="48">
        <f t="shared" si="4"/>
        <v>19213</v>
      </c>
      <c r="D43" s="34">
        <v>16513</v>
      </c>
      <c r="E43" s="35">
        <v>1700</v>
      </c>
      <c r="F43" s="34">
        <v>1000</v>
      </c>
      <c r="G43" t="s">
        <v>105</v>
      </c>
      <c r="I43" s="48">
        <f>'T2'!F51</f>
        <v>1289.3114557851457</v>
      </c>
    </row>
    <row r="44" spans="1:9" ht="21.95" customHeight="1" x14ac:dyDescent="0.25">
      <c r="A44" s="30" t="s">
        <v>30</v>
      </c>
      <c r="B44" s="31"/>
      <c r="C44" s="48">
        <f t="shared" si="4"/>
        <v>19976</v>
      </c>
      <c r="D44" s="34">
        <v>19026</v>
      </c>
      <c r="E44" s="36">
        <v>700</v>
      </c>
      <c r="F44" s="34">
        <v>250</v>
      </c>
      <c r="G44" t="s">
        <v>106</v>
      </c>
      <c r="I44" s="48">
        <f>'T3'!F51</f>
        <v>1240.0651281537844</v>
      </c>
    </row>
    <row r="45" spans="1:9" ht="21.95" customHeight="1" x14ac:dyDescent="0.25">
      <c r="A45" s="39" t="s">
        <v>44</v>
      </c>
      <c r="B45" s="40"/>
      <c r="C45" s="41">
        <f>SUM(C41:C44)</f>
        <v>59365</v>
      </c>
      <c r="D45" s="41">
        <f>SUM(D41:D44)</f>
        <v>54915</v>
      </c>
      <c r="E45" s="41">
        <f>SUM(E42:E44)</f>
        <v>2900</v>
      </c>
      <c r="F45" s="41">
        <f>SUM(F42:F44)</f>
        <v>1550</v>
      </c>
      <c r="I45" s="48"/>
    </row>
    <row r="46" spans="1:9" ht="21.95" customHeight="1" x14ac:dyDescent="0.25">
      <c r="A46" s="32" t="s">
        <v>31</v>
      </c>
      <c r="B46" s="33"/>
      <c r="C46" s="48">
        <f t="shared" ref="C46:C48" si="5">D46+E46+F46</f>
        <v>19432</v>
      </c>
      <c r="D46" s="37">
        <v>17732</v>
      </c>
      <c r="E46" s="37">
        <v>1400</v>
      </c>
      <c r="F46" s="37">
        <v>300</v>
      </c>
      <c r="G46" t="s">
        <v>107</v>
      </c>
      <c r="I46" s="48">
        <f>'T4'!F51</f>
        <v>1274.7808254425688</v>
      </c>
    </row>
    <row r="47" spans="1:9" ht="21.95" customHeight="1" x14ac:dyDescent="0.25">
      <c r="A47" s="27" t="s">
        <v>32</v>
      </c>
      <c r="B47" s="28"/>
      <c r="C47" s="48">
        <f t="shared" si="5"/>
        <v>16587</v>
      </c>
      <c r="D47" s="35">
        <v>14487</v>
      </c>
      <c r="E47" s="35">
        <v>1200</v>
      </c>
      <c r="F47" s="35">
        <v>900</v>
      </c>
      <c r="G47" t="s">
        <v>108</v>
      </c>
      <c r="I47" s="48">
        <f>'T5'!F51</f>
        <v>1493.431060469042</v>
      </c>
    </row>
    <row r="48" spans="1:9" ht="21.95" customHeight="1" x14ac:dyDescent="0.25">
      <c r="A48" s="30" t="s">
        <v>33</v>
      </c>
      <c r="B48" s="31"/>
      <c r="C48" s="48">
        <f t="shared" si="5"/>
        <v>18136</v>
      </c>
      <c r="D48" s="36">
        <v>16516</v>
      </c>
      <c r="E48" s="36">
        <v>1300</v>
      </c>
      <c r="F48" s="36">
        <v>320</v>
      </c>
      <c r="G48" t="s">
        <v>109</v>
      </c>
      <c r="I48" s="48">
        <f>'T6'!F51</f>
        <v>1365.8767644464049</v>
      </c>
    </row>
    <row r="49" spans="1:9" ht="21.95" customHeight="1" x14ac:dyDescent="0.25">
      <c r="A49" s="39" t="s">
        <v>45</v>
      </c>
      <c r="B49" s="40"/>
      <c r="C49" s="41">
        <f>SUM(C46:C48)</f>
        <v>54155</v>
      </c>
      <c r="D49" s="41">
        <f>SUM(D46:D48)</f>
        <v>48735</v>
      </c>
      <c r="E49" s="49">
        <f>SUM(E46:E48)</f>
        <v>3900</v>
      </c>
      <c r="F49" s="49">
        <f>SUM(F46:F48)</f>
        <v>1520</v>
      </c>
      <c r="I49" s="48"/>
    </row>
    <row r="50" spans="1:9" ht="21.95" customHeight="1" x14ac:dyDescent="0.25">
      <c r="A50" s="32" t="s">
        <v>34</v>
      </c>
      <c r="B50" s="33"/>
      <c r="C50" s="48">
        <f t="shared" ref="C50:C52" si="6">D50+E50+F50</f>
        <v>16476</v>
      </c>
      <c r="D50" s="37">
        <v>15126</v>
      </c>
      <c r="E50" s="37">
        <v>900</v>
      </c>
      <c r="F50" s="37">
        <v>450</v>
      </c>
      <c r="G50" t="s">
        <v>110</v>
      </c>
      <c r="I50" s="48">
        <f>'T7'!F51</f>
        <v>1503.4924132070889</v>
      </c>
    </row>
    <row r="51" spans="1:9" ht="21.95" customHeight="1" x14ac:dyDescent="0.25">
      <c r="A51" s="27" t="s">
        <v>35</v>
      </c>
      <c r="B51" s="28"/>
      <c r="C51" s="48">
        <f t="shared" si="6"/>
        <v>18697</v>
      </c>
      <c r="D51" s="35">
        <v>16867</v>
      </c>
      <c r="E51" s="35">
        <v>1500</v>
      </c>
      <c r="F51" s="35">
        <v>330</v>
      </c>
      <c r="G51" t="s">
        <v>111</v>
      </c>
      <c r="I51" s="48">
        <f>'T8'!F51</f>
        <v>1324.8938867197944</v>
      </c>
    </row>
    <row r="52" spans="1:9" ht="21.95" customHeight="1" x14ac:dyDescent="0.25">
      <c r="A52" s="30" t="s">
        <v>36</v>
      </c>
      <c r="B52" s="31"/>
      <c r="C52" s="48">
        <f t="shared" si="6"/>
        <v>15251</v>
      </c>
      <c r="D52" s="36">
        <v>13641</v>
      </c>
      <c r="E52" s="36">
        <v>1100</v>
      </c>
      <c r="F52" s="36">
        <v>510</v>
      </c>
      <c r="G52" t="s">
        <v>112</v>
      </c>
      <c r="I52" s="48">
        <f>'T9'!F51</f>
        <v>1624.2568356173367</v>
      </c>
    </row>
    <row r="53" spans="1:9" ht="21.95" customHeight="1" x14ac:dyDescent="0.25">
      <c r="A53" s="39" t="s">
        <v>46</v>
      </c>
      <c r="B53" s="40"/>
      <c r="C53" s="41">
        <f>SUM(C50:C52)</f>
        <v>50424</v>
      </c>
      <c r="D53" s="41">
        <f>SUM(D50:D52)</f>
        <v>45634</v>
      </c>
      <c r="E53" s="49">
        <f>SUM(E50:E52)</f>
        <v>3500</v>
      </c>
      <c r="F53" s="49">
        <f>SUM(F50:F52)</f>
        <v>1290</v>
      </c>
      <c r="I53" s="48"/>
    </row>
    <row r="54" spans="1:9" ht="21.95" customHeight="1" x14ac:dyDescent="0.25">
      <c r="A54" s="32" t="s">
        <v>37</v>
      </c>
      <c r="B54" s="33"/>
      <c r="C54" s="48">
        <f>D54+E54+F54</f>
        <v>16172</v>
      </c>
      <c r="D54" s="37">
        <v>14612</v>
      </c>
      <c r="E54" s="37">
        <v>1200</v>
      </c>
      <c r="F54" s="37">
        <v>360</v>
      </c>
      <c r="G54" t="s">
        <v>64</v>
      </c>
      <c r="I54" s="48">
        <f>'T10'!F51</f>
        <v>1531.7549468216669</v>
      </c>
    </row>
    <row r="55" spans="1:9" ht="21.95" customHeight="1" x14ac:dyDescent="0.25">
      <c r="A55" s="27" t="s">
        <v>38</v>
      </c>
      <c r="B55" s="28"/>
      <c r="C55" s="48">
        <f t="shared" ref="C55:C56" si="7">D55+E55+F55</f>
        <v>15508</v>
      </c>
      <c r="D55" s="35">
        <v>13996</v>
      </c>
      <c r="E55" s="35">
        <v>1100</v>
      </c>
      <c r="F55" s="35">
        <v>412</v>
      </c>
      <c r="G55" t="s">
        <v>65</v>
      </c>
      <c r="I55" s="48">
        <f>'T11'!F51</f>
        <v>1597.3395021924166</v>
      </c>
    </row>
    <row r="56" spans="1:9" ht="21.95" customHeight="1" x14ac:dyDescent="0.25">
      <c r="A56" s="30" t="s">
        <v>39</v>
      </c>
      <c r="B56" s="31"/>
      <c r="C56" s="48">
        <f t="shared" si="7"/>
        <v>17868</v>
      </c>
      <c r="D56" s="97">
        <v>16228</v>
      </c>
      <c r="E56" s="36">
        <v>1300</v>
      </c>
      <c r="F56" s="36">
        <v>340</v>
      </c>
      <c r="G56" s="80" t="s">
        <v>113</v>
      </c>
      <c r="H56" s="80"/>
      <c r="I56" s="48">
        <f>'T12'!F51</f>
        <v>1386.363387060667</v>
      </c>
    </row>
    <row r="57" spans="1:9" ht="21.95" customHeight="1" x14ac:dyDescent="0.25">
      <c r="A57" s="39" t="s">
        <v>47</v>
      </c>
      <c r="B57" s="40"/>
      <c r="C57" s="41">
        <f>SUM(C54:C56)</f>
        <v>49548</v>
      </c>
      <c r="D57" s="41">
        <f>SUM(D54:D56)</f>
        <v>44836</v>
      </c>
      <c r="E57" s="49">
        <f>SUM(E54:E56)</f>
        <v>3600</v>
      </c>
      <c r="F57" s="49">
        <f>SUM(F54:F56)</f>
        <v>1112</v>
      </c>
    </row>
    <row r="58" spans="1:9" ht="21.95" customHeight="1" x14ac:dyDescent="0.25">
      <c r="C58" s="51">
        <f>C45+C49+C53+C57</f>
        <v>213492</v>
      </c>
      <c r="D58" s="51">
        <f>D45+D49+D53+D57</f>
        <v>194120</v>
      </c>
      <c r="E58" s="51">
        <f>SUM(E45+E49+E53+E57)</f>
        <v>13900</v>
      </c>
      <c r="F58" s="51">
        <f>F45+F49+F53+F57</f>
        <v>5472</v>
      </c>
      <c r="G58" s="51">
        <f>E58+F58</f>
        <v>19372</v>
      </c>
      <c r="H58" s="51"/>
    </row>
    <row r="59" spans="1:9" ht="21.95" customHeight="1" x14ac:dyDescent="0.25">
      <c r="C59" s="51"/>
      <c r="D59" s="51"/>
      <c r="E59" s="51"/>
      <c r="F59" s="51"/>
    </row>
    <row r="60" spans="1:9" ht="21.95" customHeight="1" x14ac:dyDescent="0.25">
      <c r="A60" s="38" t="s">
        <v>48</v>
      </c>
      <c r="C60" s="42" t="s">
        <v>49</v>
      </c>
      <c r="H60" s="50"/>
    </row>
    <row r="61" spans="1:9" ht="21.95" customHeight="1" x14ac:dyDescent="0.25">
      <c r="C61" s="42" t="s">
        <v>57</v>
      </c>
      <c r="H61" s="50"/>
    </row>
    <row r="62" spans="1:9" ht="21.95" customHeight="1" x14ac:dyDescent="0.25">
      <c r="C62" s="42" t="s">
        <v>50</v>
      </c>
    </row>
    <row r="63" spans="1:9" ht="21.95" customHeight="1" x14ac:dyDescent="0.25">
      <c r="C63" s="43" t="s">
        <v>51</v>
      </c>
      <c r="H63" s="50"/>
    </row>
  </sheetData>
  <mergeCells count="6">
    <mergeCell ref="A3:F3"/>
    <mergeCell ref="A7:B7"/>
    <mergeCell ref="A36:F36"/>
    <mergeCell ref="A40:B40"/>
    <mergeCell ref="A4:F4"/>
    <mergeCell ref="A37:F37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4"/>
  <sheetViews>
    <sheetView topLeftCell="A37" workbookViewId="0">
      <selection activeCell="F47" sqref="F47"/>
    </sheetView>
  </sheetViews>
  <sheetFormatPr defaultRowHeight="18" customHeight="1" x14ac:dyDescent="0.25"/>
  <cols>
    <col min="1" max="1" width="45" style="1" customWidth="1"/>
    <col min="2" max="2" width="13" style="1" customWidth="1"/>
    <col min="3" max="4" width="13.75" style="1" customWidth="1"/>
    <col min="5" max="6" width="15.5" style="1" customWidth="1"/>
    <col min="7" max="7" width="13.75" style="1" customWidth="1"/>
    <col min="8" max="256" width="9" style="1"/>
    <col min="257" max="260" width="13.75" style="1" customWidth="1"/>
    <col min="261" max="262" width="15.5" style="1" customWidth="1"/>
    <col min="263" max="263" width="13.75" style="1" customWidth="1"/>
    <col min="264" max="512" width="9" style="1"/>
    <col min="513" max="516" width="13.75" style="1" customWidth="1"/>
    <col min="517" max="518" width="15.5" style="1" customWidth="1"/>
    <col min="519" max="519" width="13.75" style="1" customWidth="1"/>
    <col min="520" max="768" width="9" style="1"/>
    <col min="769" max="772" width="13.75" style="1" customWidth="1"/>
    <col min="773" max="774" width="15.5" style="1" customWidth="1"/>
    <col min="775" max="775" width="13.75" style="1" customWidth="1"/>
    <col min="776" max="1024" width="9" style="1"/>
    <col min="1025" max="1028" width="13.75" style="1" customWidth="1"/>
    <col min="1029" max="1030" width="15.5" style="1" customWidth="1"/>
    <col min="1031" max="1031" width="13.75" style="1" customWidth="1"/>
    <col min="1032" max="1280" width="9" style="1"/>
    <col min="1281" max="1284" width="13.75" style="1" customWidth="1"/>
    <col min="1285" max="1286" width="15.5" style="1" customWidth="1"/>
    <col min="1287" max="1287" width="13.75" style="1" customWidth="1"/>
    <col min="1288" max="1536" width="9" style="1"/>
    <col min="1537" max="1540" width="13.75" style="1" customWidth="1"/>
    <col min="1541" max="1542" width="15.5" style="1" customWidth="1"/>
    <col min="1543" max="1543" width="13.75" style="1" customWidth="1"/>
    <col min="1544" max="1792" width="9" style="1"/>
    <col min="1793" max="1796" width="13.75" style="1" customWidth="1"/>
    <col min="1797" max="1798" width="15.5" style="1" customWidth="1"/>
    <col min="1799" max="1799" width="13.75" style="1" customWidth="1"/>
    <col min="1800" max="2048" width="9" style="1"/>
    <col min="2049" max="2052" width="13.75" style="1" customWidth="1"/>
    <col min="2053" max="2054" width="15.5" style="1" customWidth="1"/>
    <col min="2055" max="2055" width="13.75" style="1" customWidth="1"/>
    <col min="2056" max="2304" width="9" style="1"/>
    <col min="2305" max="2308" width="13.75" style="1" customWidth="1"/>
    <col min="2309" max="2310" width="15.5" style="1" customWidth="1"/>
    <col min="2311" max="2311" width="13.75" style="1" customWidth="1"/>
    <col min="2312" max="2560" width="9" style="1"/>
    <col min="2561" max="2564" width="13.75" style="1" customWidth="1"/>
    <col min="2565" max="2566" width="15.5" style="1" customWidth="1"/>
    <col min="2567" max="2567" width="13.75" style="1" customWidth="1"/>
    <col min="2568" max="2816" width="9" style="1"/>
    <col min="2817" max="2820" width="13.75" style="1" customWidth="1"/>
    <col min="2821" max="2822" width="15.5" style="1" customWidth="1"/>
    <col min="2823" max="2823" width="13.75" style="1" customWidth="1"/>
    <col min="2824" max="3072" width="9" style="1"/>
    <col min="3073" max="3076" width="13.75" style="1" customWidth="1"/>
    <col min="3077" max="3078" width="15.5" style="1" customWidth="1"/>
    <col min="3079" max="3079" width="13.75" style="1" customWidth="1"/>
    <col min="3080" max="3328" width="9" style="1"/>
    <col min="3329" max="3332" width="13.75" style="1" customWidth="1"/>
    <col min="3333" max="3334" width="15.5" style="1" customWidth="1"/>
    <col min="3335" max="3335" width="13.75" style="1" customWidth="1"/>
    <col min="3336" max="3584" width="9" style="1"/>
    <col min="3585" max="3588" width="13.75" style="1" customWidth="1"/>
    <col min="3589" max="3590" width="15.5" style="1" customWidth="1"/>
    <col min="3591" max="3591" width="13.75" style="1" customWidth="1"/>
    <col min="3592" max="3840" width="9" style="1"/>
    <col min="3841" max="3844" width="13.75" style="1" customWidth="1"/>
    <col min="3845" max="3846" width="15.5" style="1" customWidth="1"/>
    <col min="3847" max="3847" width="13.75" style="1" customWidth="1"/>
    <col min="3848" max="4096" width="9" style="1"/>
    <col min="4097" max="4100" width="13.75" style="1" customWidth="1"/>
    <col min="4101" max="4102" width="15.5" style="1" customWidth="1"/>
    <col min="4103" max="4103" width="13.75" style="1" customWidth="1"/>
    <col min="4104" max="4352" width="9" style="1"/>
    <col min="4353" max="4356" width="13.75" style="1" customWidth="1"/>
    <col min="4357" max="4358" width="15.5" style="1" customWidth="1"/>
    <col min="4359" max="4359" width="13.75" style="1" customWidth="1"/>
    <col min="4360" max="4608" width="9" style="1"/>
    <col min="4609" max="4612" width="13.75" style="1" customWidth="1"/>
    <col min="4613" max="4614" width="15.5" style="1" customWidth="1"/>
    <col min="4615" max="4615" width="13.75" style="1" customWidth="1"/>
    <col min="4616" max="4864" width="9" style="1"/>
    <col min="4865" max="4868" width="13.75" style="1" customWidth="1"/>
    <col min="4869" max="4870" width="15.5" style="1" customWidth="1"/>
    <col min="4871" max="4871" width="13.75" style="1" customWidth="1"/>
    <col min="4872" max="5120" width="9" style="1"/>
    <col min="5121" max="5124" width="13.75" style="1" customWidth="1"/>
    <col min="5125" max="5126" width="15.5" style="1" customWidth="1"/>
    <col min="5127" max="5127" width="13.75" style="1" customWidth="1"/>
    <col min="5128" max="5376" width="9" style="1"/>
    <col min="5377" max="5380" width="13.75" style="1" customWidth="1"/>
    <col min="5381" max="5382" width="15.5" style="1" customWidth="1"/>
    <col min="5383" max="5383" width="13.75" style="1" customWidth="1"/>
    <col min="5384" max="5632" width="9" style="1"/>
    <col min="5633" max="5636" width="13.75" style="1" customWidth="1"/>
    <col min="5637" max="5638" width="15.5" style="1" customWidth="1"/>
    <col min="5639" max="5639" width="13.75" style="1" customWidth="1"/>
    <col min="5640" max="5888" width="9" style="1"/>
    <col min="5889" max="5892" width="13.75" style="1" customWidth="1"/>
    <col min="5893" max="5894" width="15.5" style="1" customWidth="1"/>
    <col min="5895" max="5895" width="13.75" style="1" customWidth="1"/>
    <col min="5896" max="6144" width="9" style="1"/>
    <col min="6145" max="6148" width="13.75" style="1" customWidth="1"/>
    <col min="6149" max="6150" width="15.5" style="1" customWidth="1"/>
    <col min="6151" max="6151" width="13.75" style="1" customWidth="1"/>
    <col min="6152" max="6400" width="9" style="1"/>
    <col min="6401" max="6404" width="13.75" style="1" customWidth="1"/>
    <col min="6405" max="6406" width="15.5" style="1" customWidth="1"/>
    <col min="6407" max="6407" width="13.75" style="1" customWidth="1"/>
    <col min="6408" max="6656" width="9" style="1"/>
    <col min="6657" max="6660" width="13.75" style="1" customWidth="1"/>
    <col min="6661" max="6662" width="15.5" style="1" customWidth="1"/>
    <col min="6663" max="6663" width="13.75" style="1" customWidth="1"/>
    <col min="6664" max="6912" width="9" style="1"/>
    <col min="6913" max="6916" width="13.75" style="1" customWidth="1"/>
    <col min="6917" max="6918" width="15.5" style="1" customWidth="1"/>
    <col min="6919" max="6919" width="13.75" style="1" customWidth="1"/>
    <col min="6920" max="7168" width="9" style="1"/>
    <col min="7169" max="7172" width="13.75" style="1" customWidth="1"/>
    <col min="7173" max="7174" width="15.5" style="1" customWidth="1"/>
    <col min="7175" max="7175" width="13.75" style="1" customWidth="1"/>
    <col min="7176" max="7424" width="9" style="1"/>
    <col min="7425" max="7428" width="13.75" style="1" customWidth="1"/>
    <col min="7429" max="7430" width="15.5" style="1" customWidth="1"/>
    <col min="7431" max="7431" width="13.75" style="1" customWidth="1"/>
    <col min="7432" max="7680" width="9" style="1"/>
    <col min="7681" max="7684" width="13.75" style="1" customWidth="1"/>
    <col min="7685" max="7686" width="15.5" style="1" customWidth="1"/>
    <col min="7687" max="7687" width="13.75" style="1" customWidth="1"/>
    <col min="7688" max="7936" width="9" style="1"/>
    <col min="7937" max="7940" width="13.75" style="1" customWidth="1"/>
    <col min="7941" max="7942" width="15.5" style="1" customWidth="1"/>
    <col min="7943" max="7943" width="13.75" style="1" customWidth="1"/>
    <col min="7944" max="8192" width="9" style="1"/>
    <col min="8193" max="8196" width="13.75" style="1" customWidth="1"/>
    <col min="8197" max="8198" width="15.5" style="1" customWidth="1"/>
    <col min="8199" max="8199" width="13.75" style="1" customWidth="1"/>
    <col min="8200" max="8448" width="9" style="1"/>
    <col min="8449" max="8452" width="13.75" style="1" customWidth="1"/>
    <col min="8453" max="8454" width="15.5" style="1" customWidth="1"/>
    <col min="8455" max="8455" width="13.75" style="1" customWidth="1"/>
    <col min="8456" max="8704" width="9" style="1"/>
    <col min="8705" max="8708" width="13.75" style="1" customWidth="1"/>
    <col min="8709" max="8710" width="15.5" style="1" customWidth="1"/>
    <col min="8711" max="8711" width="13.75" style="1" customWidth="1"/>
    <col min="8712" max="8960" width="9" style="1"/>
    <col min="8961" max="8964" width="13.75" style="1" customWidth="1"/>
    <col min="8965" max="8966" width="15.5" style="1" customWidth="1"/>
    <col min="8967" max="8967" width="13.75" style="1" customWidth="1"/>
    <col min="8968" max="9216" width="9" style="1"/>
    <col min="9217" max="9220" width="13.75" style="1" customWidth="1"/>
    <col min="9221" max="9222" width="15.5" style="1" customWidth="1"/>
    <col min="9223" max="9223" width="13.75" style="1" customWidth="1"/>
    <col min="9224" max="9472" width="9" style="1"/>
    <col min="9473" max="9476" width="13.75" style="1" customWidth="1"/>
    <col min="9477" max="9478" width="15.5" style="1" customWidth="1"/>
    <col min="9479" max="9479" width="13.75" style="1" customWidth="1"/>
    <col min="9480" max="9728" width="9" style="1"/>
    <col min="9729" max="9732" width="13.75" style="1" customWidth="1"/>
    <col min="9733" max="9734" width="15.5" style="1" customWidth="1"/>
    <col min="9735" max="9735" width="13.75" style="1" customWidth="1"/>
    <col min="9736" max="9984" width="9" style="1"/>
    <col min="9985" max="9988" width="13.75" style="1" customWidth="1"/>
    <col min="9989" max="9990" width="15.5" style="1" customWidth="1"/>
    <col min="9991" max="9991" width="13.75" style="1" customWidth="1"/>
    <col min="9992" max="10240" width="9" style="1"/>
    <col min="10241" max="10244" width="13.75" style="1" customWidth="1"/>
    <col min="10245" max="10246" width="15.5" style="1" customWidth="1"/>
    <col min="10247" max="10247" width="13.75" style="1" customWidth="1"/>
    <col min="10248" max="10496" width="9" style="1"/>
    <col min="10497" max="10500" width="13.75" style="1" customWidth="1"/>
    <col min="10501" max="10502" width="15.5" style="1" customWidth="1"/>
    <col min="10503" max="10503" width="13.75" style="1" customWidth="1"/>
    <col min="10504" max="10752" width="9" style="1"/>
    <col min="10753" max="10756" width="13.75" style="1" customWidth="1"/>
    <col min="10757" max="10758" width="15.5" style="1" customWidth="1"/>
    <col min="10759" max="10759" width="13.75" style="1" customWidth="1"/>
    <col min="10760" max="11008" width="9" style="1"/>
    <col min="11009" max="11012" width="13.75" style="1" customWidth="1"/>
    <col min="11013" max="11014" width="15.5" style="1" customWidth="1"/>
    <col min="11015" max="11015" width="13.75" style="1" customWidth="1"/>
    <col min="11016" max="11264" width="9" style="1"/>
    <col min="11265" max="11268" width="13.75" style="1" customWidth="1"/>
    <col min="11269" max="11270" width="15.5" style="1" customWidth="1"/>
    <col min="11271" max="11271" width="13.75" style="1" customWidth="1"/>
    <col min="11272" max="11520" width="9" style="1"/>
    <col min="11521" max="11524" width="13.75" style="1" customWidth="1"/>
    <col min="11525" max="11526" width="15.5" style="1" customWidth="1"/>
    <col min="11527" max="11527" width="13.75" style="1" customWidth="1"/>
    <col min="11528" max="11776" width="9" style="1"/>
    <col min="11777" max="11780" width="13.75" style="1" customWidth="1"/>
    <col min="11781" max="11782" width="15.5" style="1" customWidth="1"/>
    <col min="11783" max="11783" width="13.75" style="1" customWidth="1"/>
    <col min="11784" max="12032" width="9" style="1"/>
    <col min="12033" max="12036" width="13.75" style="1" customWidth="1"/>
    <col min="12037" max="12038" width="15.5" style="1" customWidth="1"/>
    <col min="12039" max="12039" width="13.75" style="1" customWidth="1"/>
    <col min="12040" max="12288" width="9" style="1"/>
    <col min="12289" max="12292" width="13.75" style="1" customWidth="1"/>
    <col min="12293" max="12294" width="15.5" style="1" customWidth="1"/>
    <col min="12295" max="12295" width="13.75" style="1" customWidth="1"/>
    <col min="12296" max="12544" width="9" style="1"/>
    <col min="12545" max="12548" width="13.75" style="1" customWidth="1"/>
    <col min="12549" max="12550" width="15.5" style="1" customWidth="1"/>
    <col min="12551" max="12551" width="13.75" style="1" customWidth="1"/>
    <col min="12552" max="12800" width="9" style="1"/>
    <col min="12801" max="12804" width="13.75" style="1" customWidth="1"/>
    <col min="12805" max="12806" width="15.5" style="1" customWidth="1"/>
    <col min="12807" max="12807" width="13.75" style="1" customWidth="1"/>
    <col min="12808" max="13056" width="9" style="1"/>
    <col min="13057" max="13060" width="13.75" style="1" customWidth="1"/>
    <col min="13061" max="13062" width="15.5" style="1" customWidth="1"/>
    <col min="13063" max="13063" width="13.75" style="1" customWidth="1"/>
    <col min="13064" max="13312" width="9" style="1"/>
    <col min="13313" max="13316" width="13.75" style="1" customWidth="1"/>
    <col min="13317" max="13318" width="15.5" style="1" customWidth="1"/>
    <col min="13319" max="13319" width="13.75" style="1" customWidth="1"/>
    <col min="13320" max="13568" width="9" style="1"/>
    <col min="13569" max="13572" width="13.75" style="1" customWidth="1"/>
    <col min="13573" max="13574" width="15.5" style="1" customWidth="1"/>
    <col min="13575" max="13575" width="13.75" style="1" customWidth="1"/>
    <col min="13576" max="13824" width="9" style="1"/>
    <col min="13825" max="13828" width="13.75" style="1" customWidth="1"/>
    <col min="13829" max="13830" width="15.5" style="1" customWidth="1"/>
    <col min="13831" max="13831" width="13.75" style="1" customWidth="1"/>
    <col min="13832" max="14080" width="9" style="1"/>
    <col min="14081" max="14084" width="13.75" style="1" customWidth="1"/>
    <col min="14085" max="14086" width="15.5" style="1" customWidth="1"/>
    <col min="14087" max="14087" width="13.75" style="1" customWidth="1"/>
    <col min="14088" max="14336" width="9" style="1"/>
    <col min="14337" max="14340" width="13.75" style="1" customWidth="1"/>
    <col min="14341" max="14342" width="15.5" style="1" customWidth="1"/>
    <col min="14343" max="14343" width="13.75" style="1" customWidth="1"/>
    <col min="14344" max="14592" width="9" style="1"/>
    <col min="14593" max="14596" width="13.75" style="1" customWidth="1"/>
    <col min="14597" max="14598" width="15.5" style="1" customWidth="1"/>
    <col min="14599" max="14599" width="13.75" style="1" customWidth="1"/>
    <col min="14600" max="14848" width="9" style="1"/>
    <col min="14849" max="14852" width="13.75" style="1" customWidth="1"/>
    <col min="14853" max="14854" width="15.5" style="1" customWidth="1"/>
    <col min="14855" max="14855" width="13.75" style="1" customWidth="1"/>
    <col min="14856" max="15104" width="9" style="1"/>
    <col min="15105" max="15108" width="13.75" style="1" customWidth="1"/>
    <col min="15109" max="15110" width="15.5" style="1" customWidth="1"/>
    <col min="15111" max="15111" width="13.75" style="1" customWidth="1"/>
    <col min="15112" max="15360" width="9" style="1"/>
    <col min="15361" max="15364" width="13.75" style="1" customWidth="1"/>
    <col min="15365" max="15366" width="15.5" style="1" customWidth="1"/>
    <col min="15367" max="15367" width="13.75" style="1" customWidth="1"/>
    <col min="15368" max="15616" width="9" style="1"/>
    <col min="15617" max="15620" width="13.75" style="1" customWidth="1"/>
    <col min="15621" max="15622" width="15.5" style="1" customWidth="1"/>
    <col min="15623" max="15623" width="13.75" style="1" customWidth="1"/>
    <col min="15624" max="15872" width="9" style="1"/>
    <col min="15873" max="15876" width="13.75" style="1" customWidth="1"/>
    <col min="15877" max="15878" width="15.5" style="1" customWidth="1"/>
    <col min="15879" max="15879" width="13.75" style="1" customWidth="1"/>
    <col min="15880" max="16128" width="9" style="1"/>
    <col min="16129" max="16132" width="13.75" style="1" customWidth="1"/>
    <col min="16133" max="16134" width="15.5" style="1" customWidth="1"/>
    <col min="16135" max="16135" width="13.75" style="1" customWidth="1"/>
    <col min="16136" max="16384" width="9" style="1"/>
  </cols>
  <sheetData>
    <row r="1" spans="1:6" ht="18" customHeight="1" x14ac:dyDescent="0.25">
      <c r="A1" s="1" t="str">
        <f>'THONG TIN'!C3</f>
        <v>Công ty TNHH Thuận An</v>
      </c>
      <c r="E1" s="108" t="s">
        <v>1</v>
      </c>
      <c r="F1" s="108"/>
    </row>
    <row r="2" spans="1:6" ht="18" customHeight="1" x14ac:dyDescent="0.25">
      <c r="A2" s="1" t="str">
        <f>'THONG TIN'!C4</f>
        <v>Ấp Chồng Nô 3, Xã Hòa Tân, Huyện Cầu Kè, Tỉnh Trà Vinh</v>
      </c>
      <c r="E2" s="101" t="s">
        <v>2</v>
      </c>
      <c r="F2" s="101"/>
    </row>
    <row r="3" spans="1:6" ht="18" customHeight="1" x14ac:dyDescent="0.25">
      <c r="E3" s="101" t="s">
        <v>53</v>
      </c>
      <c r="F3" s="101"/>
    </row>
    <row r="4" spans="1:6" ht="18" customHeight="1" x14ac:dyDescent="0.25">
      <c r="E4" s="101" t="s">
        <v>3</v>
      </c>
      <c r="F4" s="101"/>
    </row>
    <row r="5" spans="1:6" ht="18" customHeight="1" x14ac:dyDescent="0.25">
      <c r="A5" s="102" t="s">
        <v>4</v>
      </c>
      <c r="B5" s="102"/>
      <c r="C5" s="102"/>
      <c r="D5" s="102"/>
      <c r="E5" s="102"/>
      <c r="F5" s="102"/>
    </row>
    <row r="6" spans="1:6" ht="18" customHeight="1" x14ac:dyDescent="0.25">
      <c r="A6" s="103" t="s">
        <v>75</v>
      </c>
      <c r="B6" s="103"/>
      <c r="C6" s="103"/>
      <c r="D6" s="103"/>
      <c r="E6" s="103"/>
      <c r="F6" s="103"/>
    </row>
    <row r="7" spans="1:6" ht="18" customHeight="1" x14ac:dyDescent="0.25">
      <c r="B7" s="1" t="s">
        <v>72</v>
      </c>
      <c r="C7" s="52" t="s">
        <v>68</v>
      </c>
    </row>
    <row r="8" spans="1:6" ht="18" customHeight="1" x14ac:dyDescent="0.25">
      <c r="B8" s="2" t="s">
        <v>55</v>
      </c>
      <c r="C8" s="3"/>
      <c r="D8" s="3"/>
      <c r="E8" s="53"/>
      <c r="F8" s="3"/>
    </row>
    <row r="9" spans="1:6" ht="18" customHeight="1" x14ac:dyDescent="0.25">
      <c r="B9" s="2" t="s">
        <v>56</v>
      </c>
      <c r="C9" s="3"/>
      <c r="D9" s="3"/>
      <c r="E9" s="56">
        <v>11790</v>
      </c>
      <c r="F9" s="3"/>
    </row>
    <row r="10" spans="1:6" ht="18" customHeight="1" x14ac:dyDescent="0.25">
      <c r="B10" s="2" t="s">
        <v>54</v>
      </c>
      <c r="C10" s="3"/>
      <c r="D10" s="3"/>
      <c r="E10" s="3"/>
      <c r="F10" s="3"/>
    </row>
    <row r="12" spans="1:6" ht="29.25" customHeight="1" x14ac:dyDescent="0.25">
      <c r="A12" s="104" t="s">
        <v>5</v>
      </c>
      <c r="B12" s="104" t="s">
        <v>6</v>
      </c>
      <c r="C12" s="104" t="s">
        <v>7</v>
      </c>
      <c r="D12" s="104" t="s">
        <v>8</v>
      </c>
      <c r="E12" s="106" t="s">
        <v>9</v>
      </c>
      <c r="F12" s="107"/>
    </row>
    <row r="13" spans="1:6" ht="32.25" customHeight="1" x14ac:dyDescent="0.25">
      <c r="A13" s="105"/>
      <c r="B13" s="105"/>
      <c r="C13" s="105"/>
      <c r="D13" s="105"/>
      <c r="E13" s="4" t="s">
        <v>10</v>
      </c>
      <c r="F13" s="4" t="s">
        <v>11</v>
      </c>
    </row>
    <row r="14" spans="1:6" ht="18" customHeight="1" x14ac:dyDescent="0.25">
      <c r="A14" s="5" t="s">
        <v>12</v>
      </c>
      <c r="B14" s="6"/>
      <c r="C14" s="6"/>
      <c r="D14" s="6"/>
      <c r="E14" s="6"/>
      <c r="F14" s="6"/>
    </row>
    <row r="15" spans="1:6" ht="18" customHeight="1" x14ac:dyDescent="0.25">
      <c r="A15" s="15"/>
      <c r="B15" s="16"/>
      <c r="C15" s="16"/>
      <c r="D15" s="16"/>
      <c r="E15" s="16"/>
      <c r="F15" s="16"/>
    </row>
    <row r="16" spans="1:6" ht="18" customHeight="1" x14ac:dyDescent="0.25">
      <c r="A16" s="7" t="s">
        <v>13</v>
      </c>
      <c r="B16" s="8"/>
      <c r="C16" s="8">
        <f>16128000/12</f>
        <v>1344000</v>
      </c>
      <c r="D16" s="8"/>
      <c r="E16" s="8">
        <f>C16</f>
        <v>1344000</v>
      </c>
      <c r="F16" s="8">
        <f>E16/E9</f>
        <v>113.99491094147582</v>
      </c>
    </row>
    <row r="17" spans="1:6" ht="18" customHeight="1" x14ac:dyDescent="0.25">
      <c r="A17" s="7"/>
      <c r="B17" s="8"/>
      <c r="C17" s="8"/>
      <c r="D17" s="8"/>
      <c r="E17" s="8"/>
      <c r="F17" s="8"/>
    </row>
    <row r="18" spans="1:6" ht="18" customHeight="1" x14ac:dyDescent="0.25">
      <c r="A18" s="7" t="s">
        <v>14</v>
      </c>
      <c r="B18" s="8"/>
      <c r="C18" s="8"/>
      <c r="D18" s="8"/>
      <c r="E18" s="9"/>
      <c r="F18" s="9"/>
    </row>
    <row r="19" spans="1:6" ht="18" customHeight="1" x14ac:dyDescent="0.25">
      <c r="A19" s="17"/>
      <c r="B19" s="18"/>
      <c r="C19" s="18"/>
      <c r="D19" s="18"/>
      <c r="E19" s="19"/>
      <c r="F19" s="19"/>
    </row>
    <row r="20" spans="1:6" ht="18" customHeight="1" x14ac:dyDescent="0.25">
      <c r="A20" s="7" t="s">
        <v>0</v>
      </c>
      <c r="B20" s="8"/>
      <c r="C20" s="8"/>
      <c r="D20" s="8"/>
      <c r="E20" s="8"/>
      <c r="F20" s="8"/>
    </row>
    <row r="21" spans="1:6" ht="18" customHeight="1" x14ac:dyDescent="0.25">
      <c r="A21" s="22" t="s">
        <v>71</v>
      </c>
      <c r="B21" s="23"/>
      <c r="C21" s="23">
        <f>12823592+(B21/12)</f>
        <v>12823592</v>
      </c>
      <c r="D21" s="23">
        <f>B21-(B21/12)</f>
        <v>0</v>
      </c>
      <c r="E21" s="23">
        <f>B21+C21-D21</f>
        <v>12823592</v>
      </c>
      <c r="F21" s="23">
        <f>E21/E9</f>
        <v>1087.6668363019508</v>
      </c>
    </row>
    <row r="22" spans="1:6" ht="18" customHeight="1" x14ac:dyDescent="0.25">
      <c r="A22" s="20"/>
      <c r="B22" s="21"/>
      <c r="C22" s="21"/>
      <c r="D22" s="21"/>
      <c r="E22" s="21"/>
      <c r="F22" s="21"/>
    </row>
    <row r="23" spans="1:6" ht="18" customHeight="1" x14ac:dyDescent="0.25">
      <c r="A23" s="54" t="s">
        <v>15</v>
      </c>
      <c r="B23" s="55">
        <f>B21+B22</f>
        <v>0</v>
      </c>
      <c r="C23" s="55">
        <f>C21+C22</f>
        <v>12823592</v>
      </c>
      <c r="D23" s="55">
        <f>D21+D22</f>
        <v>0</v>
      </c>
      <c r="E23" s="55">
        <f>E21+E22</f>
        <v>12823592</v>
      </c>
      <c r="F23" s="55">
        <f>F16+F21</f>
        <v>1201.6617472434266</v>
      </c>
    </row>
    <row r="25" spans="1:6" ht="18" customHeight="1" x14ac:dyDescent="0.25">
      <c r="A25" s="13" t="s">
        <v>16</v>
      </c>
      <c r="B25" s="13"/>
      <c r="C25" s="13" t="s">
        <v>17</v>
      </c>
      <c r="D25" s="13"/>
      <c r="E25" s="13" t="s">
        <v>18</v>
      </c>
      <c r="F25" s="13"/>
    </row>
    <row r="26" spans="1:6" ht="18" customHeight="1" x14ac:dyDescent="0.25">
      <c r="A26" s="14" t="s">
        <v>19</v>
      </c>
      <c r="B26" s="14"/>
      <c r="C26" s="14" t="s">
        <v>19</v>
      </c>
      <c r="D26" s="14"/>
      <c r="E26" s="14" t="s">
        <v>20</v>
      </c>
      <c r="F26" s="14"/>
    </row>
    <row r="27" spans="1:6" ht="18" customHeight="1" x14ac:dyDescent="0.25">
      <c r="A27" s="14"/>
      <c r="B27" s="14"/>
      <c r="C27" s="14"/>
      <c r="D27" s="14"/>
      <c r="E27" s="14"/>
      <c r="F27" s="14"/>
    </row>
    <row r="28" spans="1:6" ht="18" customHeight="1" x14ac:dyDescent="0.25">
      <c r="A28" s="1" t="str">
        <f>A1</f>
        <v>Công ty TNHH Thuận An</v>
      </c>
      <c r="E28" s="108" t="s">
        <v>1</v>
      </c>
      <c r="F28" s="108"/>
    </row>
    <row r="29" spans="1:6" ht="18" customHeight="1" x14ac:dyDescent="0.25">
      <c r="A29" s="1" t="str">
        <f>A2</f>
        <v>Ấp Chồng Nô 3, Xã Hòa Tân, Huyện Cầu Kè, Tỉnh Trà Vinh</v>
      </c>
      <c r="E29" s="101" t="s">
        <v>2</v>
      </c>
      <c r="F29" s="101"/>
    </row>
    <row r="30" spans="1:6" ht="18" customHeight="1" x14ac:dyDescent="0.25">
      <c r="E30" s="101" t="s">
        <v>53</v>
      </c>
      <c r="F30" s="101"/>
    </row>
    <row r="31" spans="1:6" ht="18" customHeight="1" x14ac:dyDescent="0.25">
      <c r="E31" s="101" t="s">
        <v>3</v>
      </c>
      <c r="F31" s="101"/>
    </row>
    <row r="32" spans="1:6" ht="18" customHeight="1" x14ac:dyDescent="0.25">
      <c r="A32" s="102" t="s">
        <v>4</v>
      </c>
      <c r="B32" s="102"/>
      <c r="C32" s="102"/>
      <c r="D32" s="102"/>
      <c r="E32" s="102"/>
      <c r="F32" s="102"/>
    </row>
    <row r="33" spans="1:6" ht="18" customHeight="1" x14ac:dyDescent="0.25">
      <c r="A33" s="103" t="s">
        <v>75</v>
      </c>
      <c r="B33" s="103"/>
      <c r="C33" s="103"/>
      <c r="D33" s="103"/>
      <c r="E33" s="103"/>
      <c r="F33" s="103"/>
    </row>
    <row r="34" spans="1:6" ht="18" customHeight="1" x14ac:dyDescent="0.25">
      <c r="B34" s="1" t="s">
        <v>72</v>
      </c>
      <c r="C34" s="52" t="s">
        <v>69</v>
      </c>
    </row>
    <row r="35" spans="1:6" ht="18" customHeight="1" x14ac:dyDescent="0.25">
      <c r="B35" s="2" t="s">
        <v>55</v>
      </c>
      <c r="C35" s="3"/>
      <c r="D35" s="3"/>
      <c r="E35" s="53"/>
      <c r="F35" s="3"/>
    </row>
    <row r="36" spans="1:6" ht="18" customHeight="1" x14ac:dyDescent="0.25">
      <c r="B36" s="2" t="s">
        <v>56</v>
      </c>
      <c r="C36" s="3"/>
      <c r="D36" s="3"/>
      <c r="E36" s="56">
        <v>20176</v>
      </c>
      <c r="F36" s="3"/>
    </row>
    <row r="37" spans="1:6" ht="18" customHeight="1" x14ac:dyDescent="0.25">
      <c r="B37" s="2" t="s">
        <v>54</v>
      </c>
      <c r="C37" s="3"/>
      <c r="D37" s="3"/>
      <c r="E37" s="3"/>
      <c r="F37" s="3"/>
    </row>
    <row r="39" spans="1:6" ht="30" customHeight="1" x14ac:dyDescent="0.25">
      <c r="A39" s="104" t="s">
        <v>5</v>
      </c>
      <c r="B39" s="104" t="s">
        <v>6</v>
      </c>
      <c r="C39" s="104" t="s">
        <v>7</v>
      </c>
      <c r="D39" s="104" t="s">
        <v>8</v>
      </c>
      <c r="E39" s="106" t="s">
        <v>9</v>
      </c>
      <c r="F39" s="107"/>
    </row>
    <row r="40" spans="1:6" ht="24.75" customHeight="1" x14ac:dyDescent="0.25">
      <c r="A40" s="105"/>
      <c r="B40" s="105"/>
      <c r="C40" s="105"/>
      <c r="D40" s="105"/>
      <c r="E40" s="4" t="s">
        <v>10</v>
      </c>
      <c r="F40" s="4" t="s">
        <v>11</v>
      </c>
    </row>
    <row r="41" spans="1:6" ht="18" customHeight="1" x14ac:dyDescent="0.25">
      <c r="A41" s="5" t="s">
        <v>12</v>
      </c>
      <c r="B41" s="6"/>
      <c r="C41" s="6"/>
      <c r="D41" s="6"/>
      <c r="E41" s="6"/>
      <c r="F41" s="6"/>
    </row>
    <row r="42" spans="1:6" ht="18" customHeight="1" x14ac:dyDescent="0.25">
      <c r="A42" s="15"/>
      <c r="B42" s="16"/>
      <c r="C42" s="16"/>
      <c r="D42" s="16"/>
      <c r="E42" s="16"/>
      <c r="F42" s="16"/>
    </row>
    <row r="43" spans="1:6" ht="18" customHeight="1" x14ac:dyDescent="0.25">
      <c r="A43" s="7" t="s">
        <v>13</v>
      </c>
      <c r="B43" s="8"/>
      <c r="C43" s="8">
        <f>29952000/12</f>
        <v>2496000</v>
      </c>
      <c r="D43" s="8"/>
      <c r="E43" s="8">
        <f>C43</f>
        <v>2496000</v>
      </c>
      <c r="F43" s="8">
        <f>E43/E36</f>
        <v>123.71134020618557</v>
      </c>
    </row>
    <row r="44" spans="1:6" ht="18" customHeight="1" x14ac:dyDescent="0.25">
      <c r="A44" s="7"/>
      <c r="B44" s="8"/>
      <c r="C44" s="8"/>
      <c r="D44" s="8"/>
      <c r="E44" s="8"/>
      <c r="F44" s="8"/>
    </row>
    <row r="45" spans="1:6" ht="18" customHeight="1" x14ac:dyDescent="0.25">
      <c r="A45" s="7" t="s">
        <v>14</v>
      </c>
      <c r="B45" s="8"/>
      <c r="C45" s="8"/>
      <c r="D45" s="8"/>
      <c r="E45" s="9"/>
      <c r="F45" s="9"/>
    </row>
    <row r="46" spans="1:6" ht="18" customHeight="1" x14ac:dyDescent="0.25">
      <c r="A46" s="17"/>
      <c r="B46" s="18"/>
      <c r="C46" s="18"/>
      <c r="D46" s="18"/>
      <c r="E46" s="19"/>
      <c r="F46" s="19"/>
    </row>
    <row r="47" spans="1:6" ht="18" customHeight="1" x14ac:dyDescent="0.25">
      <c r="A47" s="17" t="s">
        <v>0</v>
      </c>
      <c r="B47" s="18"/>
      <c r="C47" s="18"/>
      <c r="D47" s="18"/>
      <c r="E47" s="18"/>
      <c r="F47" s="18"/>
    </row>
    <row r="48" spans="1:6" ht="18" customHeight="1" x14ac:dyDescent="0.25">
      <c r="A48" s="5" t="s">
        <v>71</v>
      </c>
      <c r="B48" s="6"/>
      <c r="C48" s="6">
        <v>21449563</v>
      </c>
      <c r="D48" s="6">
        <f>B48-(B48/12)*3</f>
        <v>0</v>
      </c>
      <c r="E48" s="6">
        <f>B48+C48-D48</f>
        <v>21449563</v>
      </c>
      <c r="F48" s="6">
        <f>E48/E36</f>
        <v>1063.1226704996036</v>
      </c>
    </row>
    <row r="49" spans="1:6" ht="18" customHeight="1" x14ac:dyDescent="0.25">
      <c r="A49" s="7" t="s">
        <v>73</v>
      </c>
      <c r="B49" s="8"/>
      <c r="C49" s="8">
        <v>825978</v>
      </c>
      <c r="D49" s="8"/>
      <c r="E49" s="8">
        <f>B49+C49-D49</f>
        <v>825978</v>
      </c>
      <c r="F49" s="8">
        <f>E49/E36</f>
        <v>40.938639968279141</v>
      </c>
    </row>
    <row r="50" spans="1:6" ht="18" customHeight="1" x14ac:dyDescent="0.25">
      <c r="A50" s="96"/>
      <c r="B50" s="70"/>
      <c r="C50" s="70"/>
      <c r="D50" s="70"/>
      <c r="E50" s="70"/>
      <c r="F50" s="70"/>
    </row>
    <row r="51" spans="1:6" ht="18" customHeight="1" x14ac:dyDescent="0.25">
      <c r="A51" s="4" t="s">
        <v>15</v>
      </c>
      <c r="B51" s="55">
        <f>B48+B49</f>
        <v>0</v>
      </c>
      <c r="C51" s="55">
        <f>C48+C49</f>
        <v>22275541</v>
      </c>
      <c r="D51" s="55">
        <f>D48+D49</f>
        <v>0</v>
      </c>
      <c r="E51" s="55">
        <f>E48+E49</f>
        <v>22275541</v>
      </c>
      <c r="F51" s="55">
        <f>F43+F48+F49</f>
        <v>1227.7726506740682</v>
      </c>
    </row>
    <row r="52" spans="1:6" ht="18" customHeight="1" x14ac:dyDescent="0.25">
      <c r="A52" s="10"/>
      <c r="B52" s="11"/>
      <c r="C52" s="12"/>
      <c r="D52" s="12"/>
      <c r="E52" s="12"/>
      <c r="F52" s="12"/>
    </row>
    <row r="53" spans="1:6" ht="18" customHeight="1" x14ac:dyDescent="0.25">
      <c r="A53" s="13" t="s">
        <v>16</v>
      </c>
      <c r="B53" s="13"/>
      <c r="C53" s="13" t="s">
        <v>17</v>
      </c>
      <c r="D53" s="13"/>
      <c r="E53" s="13" t="s">
        <v>18</v>
      </c>
      <c r="F53" s="13"/>
    </row>
    <row r="54" spans="1:6" ht="18" customHeight="1" x14ac:dyDescent="0.25">
      <c r="A54" s="14" t="s">
        <v>19</v>
      </c>
      <c r="B54" s="14"/>
      <c r="C54" s="14" t="s">
        <v>19</v>
      </c>
      <c r="D54" s="14"/>
      <c r="E54" s="14" t="s">
        <v>20</v>
      </c>
      <c r="F54" s="14"/>
    </row>
  </sheetData>
  <mergeCells count="22">
    <mergeCell ref="E28:F28"/>
    <mergeCell ref="E1:F1"/>
    <mergeCell ref="E2:F2"/>
    <mergeCell ref="E3:F3"/>
    <mergeCell ref="E4:F4"/>
    <mergeCell ref="A5:F5"/>
    <mergeCell ref="A6:F6"/>
    <mergeCell ref="A12:A13"/>
    <mergeCell ref="B12:B13"/>
    <mergeCell ref="C12:C13"/>
    <mergeCell ref="D12:D13"/>
    <mergeCell ref="E12:F12"/>
    <mergeCell ref="A39:A40"/>
    <mergeCell ref="B39:B40"/>
    <mergeCell ref="C39:C40"/>
    <mergeCell ref="D39:D40"/>
    <mergeCell ref="E39:F39"/>
    <mergeCell ref="E29:F29"/>
    <mergeCell ref="E30:F30"/>
    <mergeCell ref="E31:F31"/>
    <mergeCell ref="A32:F32"/>
    <mergeCell ref="A33:F33"/>
  </mergeCells>
  <pageMargins left="0.25" right="0.25" top="0.75" bottom="0.75" header="0.3" footer="0.3"/>
  <pageSetup paperSize="9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4"/>
  <sheetViews>
    <sheetView topLeftCell="A34" workbookViewId="0">
      <selection activeCell="D48" sqref="D48"/>
    </sheetView>
  </sheetViews>
  <sheetFormatPr defaultRowHeight="15.75" x14ac:dyDescent="0.25"/>
  <cols>
    <col min="1" max="1" width="45" style="1" customWidth="1"/>
    <col min="2" max="2" width="13" style="1" customWidth="1"/>
    <col min="3" max="4" width="13.75" style="1" customWidth="1"/>
    <col min="5" max="6" width="15.5" style="1" customWidth="1"/>
    <col min="7" max="7" width="13.75" style="1" customWidth="1"/>
    <col min="8" max="256" width="9" style="1"/>
    <col min="257" max="260" width="13.75" style="1" customWidth="1"/>
    <col min="261" max="262" width="15.5" style="1" customWidth="1"/>
    <col min="263" max="263" width="13.75" style="1" customWidth="1"/>
    <col min="264" max="512" width="9" style="1"/>
    <col min="513" max="516" width="13.75" style="1" customWidth="1"/>
    <col min="517" max="518" width="15.5" style="1" customWidth="1"/>
    <col min="519" max="519" width="13.75" style="1" customWidth="1"/>
    <col min="520" max="768" width="9" style="1"/>
    <col min="769" max="772" width="13.75" style="1" customWidth="1"/>
    <col min="773" max="774" width="15.5" style="1" customWidth="1"/>
    <col min="775" max="775" width="13.75" style="1" customWidth="1"/>
    <col min="776" max="1024" width="9" style="1"/>
    <col min="1025" max="1028" width="13.75" style="1" customWidth="1"/>
    <col min="1029" max="1030" width="15.5" style="1" customWidth="1"/>
    <col min="1031" max="1031" width="13.75" style="1" customWidth="1"/>
    <col min="1032" max="1280" width="9" style="1"/>
    <col min="1281" max="1284" width="13.75" style="1" customWidth="1"/>
    <col min="1285" max="1286" width="15.5" style="1" customWidth="1"/>
    <col min="1287" max="1287" width="13.75" style="1" customWidth="1"/>
    <col min="1288" max="1536" width="9" style="1"/>
    <col min="1537" max="1540" width="13.75" style="1" customWidth="1"/>
    <col min="1541" max="1542" width="15.5" style="1" customWidth="1"/>
    <col min="1543" max="1543" width="13.75" style="1" customWidth="1"/>
    <col min="1544" max="1792" width="9" style="1"/>
    <col min="1793" max="1796" width="13.75" style="1" customWidth="1"/>
    <col min="1797" max="1798" width="15.5" style="1" customWidth="1"/>
    <col min="1799" max="1799" width="13.75" style="1" customWidth="1"/>
    <col min="1800" max="2048" width="9" style="1"/>
    <col min="2049" max="2052" width="13.75" style="1" customWidth="1"/>
    <col min="2053" max="2054" width="15.5" style="1" customWidth="1"/>
    <col min="2055" max="2055" width="13.75" style="1" customWidth="1"/>
    <col min="2056" max="2304" width="9" style="1"/>
    <col min="2305" max="2308" width="13.75" style="1" customWidth="1"/>
    <col min="2309" max="2310" width="15.5" style="1" customWidth="1"/>
    <col min="2311" max="2311" width="13.75" style="1" customWidth="1"/>
    <col min="2312" max="2560" width="9" style="1"/>
    <col min="2561" max="2564" width="13.75" style="1" customWidth="1"/>
    <col min="2565" max="2566" width="15.5" style="1" customWidth="1"/>
    <col min="2567" max="2567" width="13.75" style="1" customWidth="1"/>
    <col min="2568" max="2816" width="9" style="1"/>
    <col min="2817" max="2820" width="13.75" style="1" customWidth="1"/>
    <col min="2821" max="2822" width="15.5" style="1" customWidth="1"/>
    <col min="2823" max="2823" width="13.75" style="1" customWidth="1"/>
    <col min="2824" max="3072" width="9" style="1"/>
    <col min="3073" max="3076" width="13.75" style="1" customWidth="1"/>
    <col min="3077" max="3078" width="15.5" style="1" customWidth="1"/>
    <col min="3079" max="3079" width="13.75" style="1" customWidth="1"/>
    <col min="3080" max="3328" width="9" style="1"/>
    <col min="3329" max="3332" width="13.75" style="1" customWidth="1"/>
    <col min="3333" max="3334" width="15.5" style="1" customWidth="1"/>
    <col min="3335" max="3335" width="13.75" style="1" customWidth="1"/>
    <col min="3336" max="3584" width="9" style="1"/>
    <col min="3585" max="3588" width="13.75" style="1" customWidth="1"/>
    <col min="3589" max="3590" width="15.5" style="1" customWidth="1"/>
    <col min="3591" max="3591" width="13.75" style="1" customWidth="1"/>
    <col min="3592" max="3840" width="9" style="1"/>
    <col min="3841" max="3844" width="13.75" style="1" customWidth="1"/>
    <col min="3845" max="3846" width="15.5" style="1" customWidth="1"/>
    <col min="3847" max="3847" width="13.75" style="1" customWidth="1"/>
    <col min="3848" max="4096" width="9" style="1"/>
    <col min="4097" max="4100" width="13.75" style="1" customWidth="1"/>
    <col min="4101" max="4102" width="15.5" style="1" customWidth="1"/>
    <col min="4103" max="4103" width="13.75" style="1" customWidth="1"/>
    <col min="4104" max="4352" width="9" style="1"/>
    <col min="4353" max="4356" width="13.75" style="1" customWidth="1"/>
    <col min="4357" max="4358" width="15.5" style="1" customWidth="1"/>
    <col min="4359" max="4359" width="13.75" style="1" customWidth="1"/>
    <col min="4360" max="4608" width="9" style="1"/>
    <col min="4609" max="4612" width="13.75" style="1" customWidth="1"/>
    <col min="4613" max="4614" width="15.5" style="1" customWidth="1"/>
    <col min="4615" max="4615" width="13.75" style="1" customWidth="1"/>
    <col min="4616" max="4864" width="9" style="1"/>
    <col min="4865" max="4868" width="13.75" style="1" customWidth="1"/>
    <col min="4869" max="4870" width="15.5" style="1" customWidth="1"/>
    <col min="4871" max="4871" width="13.75" style="1" customWidth="1"/>
    <col min="4872" max="5120" width="9" style="1"/>
    <col min="5121" max="5124" width="13.75" style="1" customWidth="1"/>
    <col min="5125" max="5126" width="15.5" style="1" customWidth="1"/>
    <col min="5127" max="5127" width="13.75" style="1" customWidth="1"/>
    <col min="5128" max="5376" width="9" style="1"/>
    <col min="5377" max="5380" width="13.75" style="1" customWidth="1"/>
    <col min="5381" max="5382" width="15.5" style="1" customWidth="1"/>
    <col min="5383" max="5383" width="13.75" style="1" customWidth="1"/>
    <col min="5384" max="5632" width="9" style="1"/>
    <col min="5633" max="5636" width="13.75" style="1" customWidth="1"/>
    <col min="5637" max="5638" width="15.5" style="1" customWidth="1"/>
    <col min="5639" max="5639" width="13.75" style="1" customWidth="1"/>
    <col min="5640" max="5888" width="9" style="1"/>
    <col min="5889" max="5892" width="13.75" style="1" customWidth="1"/>
    <col min="5893" max="5894" width="15.5" style="1" customWidth="1"/>
    <col min="5895" max="5895" width="13.75" style="1" customWidth="1"/>
    <col min="5896" max="6144" width="9" style="1"/>
    <col min="6145" max="6148" width="13.75" style="1" customWidth="1"/>
    <col min="6149" max="6150" width="15.5" style="1" customWidth="1"/>
    <col min="6151" max="6151" width="13.75" style="1" customWidth="1"/>
    <col min="6152" max="6400" width="9" style="1"/>
    <col min="6401" max="6404" width="13.75" style="1" customWidth="1"/>
    <col min="6405" max="6406" width="15.5" style="1" customWidth="1"/>
    <col min="6407" max="6407" width="13.75" style="1" customWidth="1"/>
    <col min="6408" max="6656" width="9" style="1"/>
    <col min="6657" max="6660" width="13.75" style="1" customWidth="1"/>
    <col min="6661" max="6662" width="15.5" style="1" customWidth="1"/>
    <col min="6663" max="6663" width="13.75" style="1" customWidth="1"/>
    <col min="6664" max="6912" width="9" style="1"/>
    <col min="6913" max="6916" width="13.75" style="1" customWidth="1"/>
    <col min="6917" max="6918" width="15.5" style="1" customWidth="1"/>
    <col min="6919" max="6919" width="13.75" style="1" customWidth="1"/>
    <col min="6920" max="7168" width="9" style="1"/>
    <col min="7169" max="7172" width="13.75" style="1" customWidth="1"/>
    <col min="7173" max="7174" width="15.5" style="1" customWidth="1"/>
    <col min="7175" max="7175" width="13.75" style="1" customWidth="1"/>
    <col min="7176" max="7424" width="9" style="1"/>
    <col min="7425" max="7428" width="13.75" style="1" customWidth="1"/>
    <col min="7429" max="7430" width="15.5" style="1" customWidth="1"/>
    <col min="7431" max="7431" width="13.75" style="1" customWidth="1"/>
    <col min="7432" max="7680" width="9" style="1"/>
    <col min="7681" max="7684" width="13.75" style="1" customWidth="1"/>
    <col min="7685" max="7686" width="15.5" style="1" customWidth="1"/>
    <col min="7687" max="7687" width="13.75" style="1" customWidth="1"/>
    <col min="7688" max="7936" width="9" style="1"/>
    <col min="7937" max="7940" width="13.75" style="1" customWidth="1"/>
    <col min="7941" max="7942" width="15.5" style="1" customWidth="1"/>
    <col min="7943" max="7943" width="13.75" style="1" customWidth="1"/>
    <col min="7944" max="8192" width="9" style="1"/>
    <col min="8193" max="8196" width="13.75" style="1" customWidth="1"/>
    <col min="8197" max="8198" width="15.5" style="1" customWidth="1"/>
    <col min="8199" max="8199" width="13.75" style="1" customWidth="1"/>
    <col min="8200" max="8448" width="9" style="1"/>
    <col min="8449" max="8452" width="13.75" style="1" customWidth="1"/>
    <col min="8453" max="8454" width="15.5" style="1" customWidth="1"/>
    <col min="8455" max="8455" width="13.75" style="1" customWidth="1"/>
    <col min="8456" max="8704" width="9" style="1"/>
    <col min="8705" max="8708" width="13.75" style="1" customWidth="1"/>
    <col min="8709" max="8710" width="15.5" style="1" customWidth="1"/>
    <col min="8711" max="8711" width="13.75" style="1" customWidth="1"/>
    <col min="8712" max="8960" width="9" style="1"/>
    <col min="8961" max="8964" width="13.75" style="1" customWidth="1"/>
    <col min="8965" max="8966" width="15.5" style="1" customWidth="1"/>
    <col min="8967" max="8967" width="13.75" style="1" customWidth="1"/>
    <col min="8968" max="9216" width="9" style="1"/>
    <col min="9217" max="9220" width="13.75" style="1" customWidth="1"/>
    <col min="9221" max="9222" width="15.5" style="1" customWidth="1"/>
    <col min="9223" max="9223" width="13.75" style="1" customWidth="1"/>
    <col min="9224" max="9472" width="9" style="1"/>
    <col min="9473" max="9476" width="13.75" style="1" customWidth="1"/>
    <col min="9477" max="9478" width="15.5" style="1" customWidth="1"/>
    <col min="9479" max="9479" width="13.75" style="1" customWidth="1"/>
    <col min="9480" max="9728" width="9" style="1"/>
    <col min="9729" max="9732" width="13.75" style="1" customWidth="1"/>
    <col min="9733" max="9734" width="15.5" style="1" customWidth="1"/>
    <col min="9735" max="9735" width="13.75" style="1" customWidth="1"/>
    <col min="9736" max="9984" width="9" style="1"/>
    <col min="9985" max="9988" width="13.75" style="1" customWidth="1"/>
    <col min="9989" max="9990" width="15.5" style="1" customWidth="1"/>
    <col min="9991" max="9991" width="13.75" style="1" customWidth="1"/>
    <col min="9992" max="10240" width="9" style="1"/>
    <col min="10241" max="10244" width="13.75" style="1" customWidth="1"/>
    <col min="10245" max="10246" width="15.5" style="1" customWidth="1"/>
    <col min="10247" max="10247" width="13.75" style="1" customWidth="1"/>
    <col min="10248" max="10496" width="9" style="1"/>
    <col min="10497" max="10500" width="13.75" style="1" customWidth="1"/>
    <col min="10501" max="10502" width="15.5" style="1" customWidth="1"/>
    <col min="10503" max="10503" width="13.75" style="1" customWidth="1"/>
    <col min="10504" max="10752" width="9" style="1"/>
    <col min="10753" max="10756" width="13.75" style="1" customWidth="1"/>
    <col min="10757" max="10758" width="15.5" style="1" customWidth="1"/>
    <col min="10759" max="10759" width="13.75" style="1" customWidth="1"/>
    <col min="10760" max="11008" width="9" style="1"/>
    <col min="11009" max="11012" width="13.75" style="1" customWidth="1"/>
    <col min="11013" max="11014" width="15.5" style="1" customWidth="1"/>
    <col min="11015" max="11015" width="13.75" style="1" customWidth="1"/>
    <col min="11016" max="11264" width="9" style="1"/>
    <col min="11265" max="11268" width="13.75" style="1" customWidth="1"/>
    <col min="11269" max="11270" width="15.5" style="1" customWidth="1"/>
    <col min="11271" max="11271" width="13.75" style="1" customWidth="1"/>
    <col min="11272" max="11520" width="9" style="1"/>
    <col min="11521" max="11524" width="13.75" style="1" customWidth="1"/>
    <col min="11525" max="11526" width="15.5" style="1" customWidth="1"/>
    <col min="11527" max="11527" width="13.75" style="1" customWidth="1"/>
    <col min="11528" max="11776" width="9" style="1"/>
    <col min="11777" max="11780" width="13.75" style="1" customWidth="1"/>
    <col min="11781" max="11782" width="15.5" style="1" customWidth="1"/>
    <col min="11783" max="11783" width="13.75" style="1" customWidth="1"/>
    <col min="11784" max="12032" width="9" style="1"/>
    <col min="12033" max="12036" width="13.75" style="1" customWidth="1"/>
    <col min="12037" max="12038" width="15.5" style="1" customWidth="1"/>
    <col min="12039" max="12039" width="13.75" style="1" customWidth="1"/>
    <col min="12040" max="12288" width="9" style="1"/>
    <col min="12289" max="12292" width="13.75" style="1" customWidth="1"/>
    <col min="12293" max="12294" width="15.5" style="1" customWidth="1"/>
    <col min="12295" max="12295" width="13.75" style="1" customWidth="1"/>
    <col min="12296" max="12544" width="9" style="1"/>
    <col min="12545" max="12548" width="13.75" style="1" customWidth="1"/>
    <col min="12549" max="12550" width="15.5" style="1" customWidth="1"/>
    <col min="12551" max="12551" width="13.75" style="1" customWidth="1"/>
    <col min="12552" max="12800" width="9" style="1"/>
    <col min="12801" max="12804" width="13.75" style="1" customWidth="1"/>
    <col min="12805" max="12806" width="15.5" style="1" customWidth="1"/>
    <col min="12807" max="12807" width="13.75" style="1" customWidth="1"/>
    <col min="12808" max="13056" width="9" style="1"/>
    <col min="13057" max="13060" width="13.75" style="1" customWidth="1"/>
    <col min="13061" max="13062" width="15.5" style="1" customWidth="1"/>
    <col min="13063" max="13063" width="13.75" style="1" customWidth="1"/>
    <col min="13064" max="13312" width="9" style="1"/>
    <col min="13313" max="13316" width="13.75" style="1" customWidth="1"/>
    <col min="13317" max="13318" width="15.5" style="1" customWidth="1"/>
    <col min="13319" max="13319" width="13.75" style="1" customWidth="1"/>
    <col min="13320" max="13568" width="9" style="1"/>
    <col min="13569" max="13572" width="13.75" style="1" customWidth="1"/>
    <col min="13573" max="13574" width="15.5" style="1" customWidth="1"/>
    <col min="13575" max="13575" width="13.75" style="1" customWidth="1"/>
    <col min="13576" max="13824" width="9" style="1"/>
    <col min="13825" max="13828" width="13.75" style="1" customWidth="1"/>
    <col min="13829" max="13830" width="15.5" style="1" customWidth="1"/>
    <col min="13831" max="13831" width="13.75" style="1" customWidth="1"/>
    <col min="13832" max="14080" width="9" style="1"/>
    <col min="14081" max="14084" width="13.75" style="1" customWidth="1"/>
    <col min="14085" max="14086" width="15.5" style="1" customWidth="1"/>
    <col min="14087" max="14087" width="13.75" style="1" customWidth="1"/>
    <col min="14088" max="14336" width="9" style="1"/>
    <col min="14337" max="14340" width="13.75" style="1" customWidth="1"/>
    <col min="14341" max="14342" width="15.5" style="1" customWidth="1"/>
    <col min="14343" max="14343" width="13.75" style="1" customWidth="1"/>
    <col min="14344" max="14592" width="9" style="1"/>
    <col min="14593" max="14596" width="13.75" style="1" customWidth="1"/>
    <col min="14597" max="14598" width="15.5" style="1" customWidth="1"/>
    <col min="14599" max="14599" width="13.75" style="1" customWidth="1"/>
    <col min="14600" max="14848" width="9" style="1"/>
    <col min="14849" max="14852" width="13.75" style="1" customWidth="1"/>
    <col min="14853" max="14854" width="15.5" style="1" customWidth="1"/>
    <col min="14855" max="14855" width="13.75" style="1" customWidth="1"/>
    <col min="14856" max="15104" width="9" style="1"/>
    <col min="15105" max="15108" width="13.75" style="1" customWidth="1"/>
    <col min="15109" max="15110" width="15.5" style="1" customWidth="1"/>
    <col min="15111" max="15111" width="13.75" style="1" customWidth="1"/>
    <col min="15112" max="15360" width="9" style="1"/>
    <col min="15361" max="15364" width="13.75" style="1" customWidth="1"/>
    <col min="15365" max="15366" width="15.5" style="1" customWidth="1"/>
    <col min="15367" max="15367" width="13.75" style="1" customWidth="1"/>
    <col min="15368" max="15616" width="9" style="1"/>
    <col min="15617" max="15620" width="13.75" style="1" customWidth="1"/>
    <col min="15621" max="15622" width="15.5" style="1" customWidth="1"/>
    <col min="15623" max="15623" width="13.75" style="1" customWidth="1"/>
    <col min="15624" max="15872" width="9" style="1"/>
    <col min="15873" max="15876" width="13.75" style="1" customWidth="1"/>
    <col min="15877" max="15878" width="15.5" style="1" customWidth="1"/>
    <col min="15879" max="15879" width="13.75" style="1" customWidth="1"/>
    <col min="15880" max="16128" width="9" style="1"/>
    <col min="16129" max="16132" width="13.75" style="1" customWidth="1"/>
    <col min="16133" max="16134" width="15.5" style="1" customWidth="1"/>
    <col min="16135" max="16135" width="13.75" style="1" customWidth="1"/>
    <col min="16136" max="16384" width="9" style="1"/>
  </cols>
  <sheetData>
    <row r="1" spans="1:6" x14ac:dyDescent="0.25">
      <c r="A1" s="1" t="str">
        <f>'THONG TIN'!C3</f>
        <v>Công ty TNHH Thuận An</v>
      </c>
      <c r="E1" s="108" t="s">
        <v>1</v>
      </c>
      <c r="F1" s="108"/>
    </row>
    <row r="2" spans="1:6" x14ac:dyDescent="0.25">
      <c r="A2" s="1" t="str">
        <f>'THONG TIN'!C4</f>
        <v>Ấp Chồng Nô 3, Xã Hòa Tân, Huyện Cầu Kè, Tỉnh Trà Vinh</v>
      </c>
      <c r="E2" s="101" t="s">
        <v>2</v>
      </c>
      <c r="F2" s="101"/>
    </row>
    <row r="3" spans="1:6" x14ac:dyDescent="0.25">
      <c r="E3" s="101" t="s">
        <v>53</v>
      </c>
      <c r="F3" s="101"/>
    </row>
    <row r="4" spans="1:6" x14ac:dyDescent="0.25">
      <c r="E4" s="101" t="s">
        <v>3</v>
      </c>
      <c r="F4" s="101"/>
    </row>
    <row r="5" spans="1:6" ht="18" x14ac:dyDescent="0.25">
      <c r="A5" s="102" t="s">
        <v>4</v>
      </c>
      <c r="B5" s="102"/>
      <c r="C5" s="102"/>
      <c r="D5" s="102"/>
      <c r="E5" s="102"/>
      <c r="F5" s="102"/>
    </row>
    <row r="6" spans="1:6" x14ac:dyDescent="0.25">
      <c r="A6" s="103" t="s">
        <v>76</v>
      </c>
      <c r="B6" s="103"/>
      <c r="C6" s="103"/>
      <c r="D6" s="103"/>
      <c r="E6" s="103"/>
      <c r="F6" s="103"/>
    </row>
    <row r="7" spans="1:6" x14ac:dyDescent="0.25">
      <c r="B7" s="1" t="s">
        <v>72</v>
      </c>
      <c r="C7" s="52" t="s">
        <v>68</v>
      </c>
    </row>
    <row r="8" spans="1:6" x14ac:dyDescent="0.25">
      <c r="B8" s="2" t="s">
        <v>55</v>
      </c>
      <c r="C8" s="3"/>
      <c r="D8" s="3"/>
      <c r="E8" s="53"/>
      <c r="F8" s="3"/>
    </row>
    <row r="9" spans="1:6" x14ac:dyDescent="0.25">
      <c r="B9" s="2" t="s">
        <v>56</v>
      </c>
      <c r="C9" s="3"/>
      <c r="D9" s="3"/>
      <c r="E9" s="56">
        <v>8501</v>
      </c>
      <c r="F9" s="3"/>
    </row>
    <row r="10" spans="1:6" x14ac:dyDescent="0.25">
      <c r="B10" s="2" t="s">
        <v>54</v>
      </c>
      <c r="C10" s="3"/>
      <c r="D10" s="3"/>
      <c r="E10" s="3"/>
      <c r="F10" s="3"/>
    </row>
    <row r="12" spans="1:6" x14ac:dyDescent="0.25">
      <c r="A12" s="104" t="s">
        <v>5</v>
      </c>
      <c r="B12" s="104" t="s">
        <v>6</v>
      </c>
      <c r="C12" s="104" t="s">
        <v>7</v>
      </c>
      <c r="D12" s="104" t="s">
        <v>8</v>
      </c>
      <c r="E12" s="106" t="s">
        <v>9</v>
      </c>
      <c r="F12" s="107"/>
    </row>
    <row r="13" spans="1:6" x14ac:dyDescent="0.25">
      <c r="A13" s="105"/>
      <c r="B13" s="105"/>
      <c r="C13" s="105"/>
      <c r="D13" s="105"/>
      <c r="E13" s="4" t="s">
        <v>10</v>
      </c>
      <c r="F13" s="4" t="s">
        <v>11</v>
      </c>
    </row>
    <row r="14" spans="1:6" x14ac:dyDescent="0.25">
      <c r="A14" s="5" t="s">
        <v>12</v>
      </c>
      <c r="B14" s="6"/>
      <c r="C14" s="6"/>
      <c r="D14" s="6"/>
      <c r="E14" s="6"/>
      <c r="F14" s="6"/>
    </row>
    <row r="15" spans="1:6" x14ac:dyDescent="0.25">
      <c r="A15" s="15"/>
      <c r="B15" s="16"/>
      <c r="C15" s="16"/>
      <c r="D15" s="16"/>
      <c r="E15" s="16"/>
      <c r="F15" s="16"/>
    </row>
    <row r="16" spans="1:6" x14ac:dyDescent="0.25">
      <c r="A16" s="7" t="s">
        <v>13</v>
      </c>
      <c r="B16" s="8"/>
      <c r="C16" s="8">
        <f>16128000/12</f>
        <v>1344000</v>
      </c>
      <c r="D16" s="8"/>
      <c r="E16" s="8">
        <f>C16</f>
        <v>1344000</v>
      </c>
      <c r="F16" s="8">
        <f>E16/E9</f>
        <v>158.09904717092107</v>
      </c>
    </row>
    <row r="17" spans="1:6" x14ac:dyDescent="0.25">
      <c r="A17" s="7"/>
      <c r="B17" s="8"/>
      <c r="C17" s="8"/>
      <c r="D17" s="8"/>
      <c r="E17" s="8"/>
      <c r="F17" s="8"/>
    </row>
    <row r="18" spans="1:6" x14ac:dyDescent="0.25">
      <c r="A18" s="7" t="s">
        <v>14</v>
      </c>
      <c r="B18" s="8"/>
      <c r="C18" s="8"/>
      <c r="D18" s="8"/>
      <c r="E18" s="9"/>
      <c r="F18" s="9"/>
    </row>
    <row r="19" spans="1:6" x14ac:dyDescent="0.25">
      <c r="A19" s="17"/>
      <c r="B19" s="18"/>
      <c r="C19" s="18"/>
      <c r="D19" s="18"/>
      <c r="E19" s="19"/>
      <c r="F19" s="19"/>
    </row>
    <row r="20" spans="1:6" x14ac:dyDescent="0.25">
      <c r="A20" s="7" t="s">
        <v>0</v>
      </c>
      <c r="B20" s="8"/>
      <c r="C20" s="8"/>
      <c r="D20" s="8"/>
      <c r="E20" s="8"/>
      <c r="F20" s="8"/>
    </row>
    <row r="21" spans="1:6" x14ac:dyDescent="0.25">
      <c r="A21" s="22" t="s">
        <v>71</v>
      </c>
      <c r="B21" s="23"/>
      <c r="C21" s="23">
        <f>12823592+(B21/12)</f>
        <v>12823592</v>
      </c>
      <c r="D21" s="23">
        <f>B21-(B21/12)*3</f>
        <v>0</v>
      </c>
      <c r="E21" s="23">
        <f>B21+C21-D21</f>
        <v>12823592</v>
      </c>
      <c r="F21" s="23">
        <f>E21/E9</f>
        <v>1508.480414068933</v>
      </c>
    </row>
    <row r="22" spans="1:6" x14ac:dyDescent="0.25">
      <c r="A22" s="20"/>
      <c r="B22" s="21"/>
      <c r="C22" s="21"/>
      <c r="D22" s="21"/>
      <c r="E22" s="21"/>
      <c r="F22" s="21"/>
    </row>
    <row r="23" spans="1:6" x14ac:dyDescent="0.25">
      <c r="A23" s="54" t="s">
        <v>15</v>
      </c>
      <c r="B23" s="55">
        <f>B21+B22</f>
        <v>0</v>
      </c>
      <c r="C23" s="55">
        <f>C21+C22</f>
        <v>12823592</v>
      </c>
      <c r="D23" s="55">
        <f>D21+D22</f>
        <v>0</v>
      </c>
      <c r="E23" s="55">
        <f>E21+E22</f>
        <v>12823592</v>
      </c>
      <c r="F23" s="55">
        <f>F16+F21</f>
        <v>1666.579461239854</v>
      </c>
    </row>
    <row r="25" spans="1:6" x14ac:dyDescent="0.25">
      <c r="A25" s="13" t="s">
        <v>16</v>
      </c>
      <c r="B25" s="13"/>
      <c r="C25" s="13" t="s">
        <v>17</v>
      </c>
      <c r="D25" s="13"/>
      <c r="E25" s="13" t="s">
        <v>18</v>
      </c>
      <c r="F25" s="13"/>
    </row>
    <row r="26" spans="1:6" x14ac:dyDescent="0.25">
      <c r="A26" s="14" t="s">
        <v>19</v>
      </c>
      <c r="B26" s="14"/>
      <c r="C26" s="14" t="s">
        <v>19</v>
      </c>
      <c r="D26" s="14"/>
      <c r="E26" s="14" t="s">
        <v>20</v>
      </c>
      <c r="F26" s="14"/>
    </row>
    <row r="27" spans="1:6" x14ac:dyDescent="0.25">
      <c r="A27" s="14"/>
      <c r="B27" s="14"/>
      <c r="C27" s="14"/>
      <c r="D27" s="14"/>
      <c r="E27" s="14"/>
      <c r="F27" s="14"/>
    </row>
    <row r="28" spans="1:6" x14ac:dyDescent="0.25">
      <c r="A28" s="1" t="str">
        <f>A1</f>
        <v>Công ty TNHH Thuận An</v>
      </c>
      <c r="E28" s="108" t="s">
        <v>1</v>
      </c>
      <c r="F28" s="108"/>
    </row>
    <row r="29" spans="1:6" x14ac:dyDescent="0.25">
      <c r="A29" s="1" t="str">
        <f>A2</f>
        <v>Ấp Chồng Nô 3, Xã Hòa Tân, Huyện Cầu Kè, Tỉnh Trà Vinh</v>
      </c>
      <c r="E29" s="101" t="s">
        <v>2</v>
      </c>
      <c r="F29" s="101"/>
    </row>
    <row r="30" spans="1:6" x14ac:dyDescent="0.25">
      <c r="E30" s="101" t="s">
        <v>53</v>
      </c>
      <c r="F30" s="101"/>
    </row>
    <row r="31" spans="1:6" x14ac:dyDescent="0.25">
      <c r="E31" s="101" t="s">
        <v>3</v>
      </c>
      <c r="F31" s="101"/>
    </row>
    <row r="32" spans="1:6" ht="18" x14ac:dyDescent="0.25">
      <c r="A32" s="102" t="s">
        <v>4</v>
      </c>
      <c r="B32" s="102"/>
      <c r="C32" s="102"/>
      <c r="D32" s="102"/>
      <c r="E32" s="102"/>
      <c r="F32" s="102"/>
    </row>
    <row r="33" spans="1:6" x14ac:dyDescent="0.25">
      <c r="A33" s="103" t="s">
        <v>76</v>
      </c>
      <c r="B33" s="103"/>
      <c r="C33" s="103"/>
      <c r="D33" s="103"/>
      <c r="E33" s="103"/>
      <c r="F33" s="103"/>
    </row>
    <row r="34" spans="1:6" x14ac:dyDescent="0.25">
      <c r="B34" s="1" t="s">
        <v>72</v>
      </c>
      <c r="C34" s="52" t="s">
        <v>69</v>
      </c>
    </row>
    <row r="35" spans="1:6" x14ac:dyDescent="0.25">
      <c r="B35" s="2" t="s">
        <v>55</v>
      </c>
      <c r="C35" s="3"/>
      <c r="D35" s="3"/>
      <c r="E35" s="53"/>
      <c r="F35" s="3"/>
    </row>
    <row r="36" spans="1:6" x14ac:dyDescent="0.25">
      <c r="B36" s="2" t="s">
        <v>56</v>
      </c>
      <c r="C36" s="3"/>
      <c r="D36" s="3"/>
      <c r="E36" s="56">
        <v>19213</v>
      </c>
      <c r="F36" s="3"/>
    </row>
    <row r="37" spans="1:6" x14ac:dyDescent="0.25">
      <c r="B37" s="2" t="s">
        <v>54</v>
      </c>
      <c r="C37" s="3"/>
      <c r="D37" s="3"/>
      <c r="E37" s="3"/>
      <c r="F37" s="3"/>
    </row>
    <row r="38" spans="1:6" ht="16.5" thickBot="1" x14ac:dyDescent="0.3"/>
    <row r="39" spans="1:6" x14ac:dyDescent="0.25">
      <c r="A39" s="109" t="s">
        <v>5</v>
      </c>
      <c r="B39" s="111" t="s">
        <v>6</v>
      </c>
      <c r="C39" s="111" t="s">
        <v>7</v>
      </c>
      <c r="D39" s="111" t="s">
        <v>8</v>
      </c>
      <c r="E39" s="112" t="s">
        <v>9</v>
      </c>
      <c r="F39" s="113"/>
    </row>
    <row r="40" spans="1:6" x14ac:dyDescent="0.25">
      <c r="A40" s="110"/>
      <c r="B40" s="105"/>
      <c r="C40" s="105"/>
      <c r="D40" s="105"/>
      <c r="E40" s="4" t="s">
        <v>10</v>
      </c>
      <c r="F40" s="82" t="s">
        <v>11</v>
      </c>
    </row>
    <row r="41" spans="1:6" x14ac:dyDescent="0.25">
      <c r="A41" s="83" t="s">
        <v>12</v>
      </c>
      <c r="B41" s="6"/>
      <c r="C41" s="6"/>
      <c r="D41" s="6"/>
      <c r="E41" s="6"/>
      <c r="F41" s="84"/>
    </row>
    <row r="42" spans="1:6" x14ac:dyDescent="0.25">
      <c r="A42" s="85"/>
      <c r="B42" s="16"/>
      <c r="C42" s="16"/>
      <c r="D42" s="16"/>
      <c r="E42" s="16"/>
      <c r="F42" s="86"/>
    </row>
    <row r="43" spans="1:6" x14ac:dyDescent="0.25">
      <c r="A43" s="87" t="s">
        <v>13</v>
      </c>
      <c r="B43" s="8"/>
      <c r="C43" s="8">
        <f>29952000/12</f>
        <v>2496000</v>
      </c>
      <c r="D43" s="8"/>
      <c r="E43" s="8">
        <f>C43</f>
        <v>2496000</v>
      </c>
      <c r="F43" s="88">
        <f>E43/E36</f>
        <v>129.91203872378077</v>
      </c>
    </row>
    <row r="44" spans="1:6" x14ac:dyDescent="0.25">
      <c r="A44" s="87"/>
      <c r="B44" s="8"/>
      <c r="C44" s="8"/>
      <c r="D44" s="8"/>
      <c r="E44" s="8"/>
      <c r="F44" s="88"/>
    </row>
    <row r="45" spans="1:6" x14ac:dyDescent="0.25">
      <c r="A45" s="87" t="s">
        <v>14</v>
      </c>
      <c r="B45" s="8"/>
      <c r="C45" s="8"/>
      <c r="D45" s="8"/>
      <c r="E45" s="9"/>
      <c r="F45" s="89"/>
    </row>
    <row r="46" spans="1:6" x14ac:dyDescent="0.25">
      <c r="A46" s="90"/>
      <c r="B46" s="18"/>
      <c r="C46" s="18"/>
      <c r="D46" s="18"/>
      <c r="E46" s="19"/>
      <c r="F46" s="91"/>
    </row>
    <row r="47" spans="1:6" x14ac:dyDescent="0.25">
      <c r="A47" s="90" t="s">
        <v>0</v>
      </c>
      <c r="B47" s="18"/>
      <c r="C47" s="18"/>
      <c r="D47" s="18"/>
      <c r="E47" s="18"/>
      <c r="F47" s="92"/>
    </row>
    <row r="48" spans="1:6" x14ac:dyDescent="0.25">
      <c r="A48" s="83" t="s">
        <v>71</v>
      </c>
      <c r="B48" s="6"/>
      <c r="C48" s="6">
        <v>21449563</v>
      </c>
      <c r="D48" s="6">
        <f>B48-(B48/12)*3</f>
        <v>0</v>
      </c>
      <c r="E48" s="6">
        <f>B48+C48-D48</f>
        <v>21449563</v>
      </c>
      <c r="F48" s="84">
        <f>E48/E36</f>
        <v>1116.408837766096</v>
      </c>
    </row>
    <row r="49" spans="1:6" x14ac:dyDescent="0.25">
      <c r="A49" s="87" t="s">
        <v>73</v>
      </c>
      <c r="B49" s="8"/>
      <c r="C49" s="8">
        <v>825978</v>
      </c>
      <c r="D49" s="8"/>
      <c r="E49" s="8">
        <f>B49+C49-D49</f>
        <v>825978</v>
      </c>
      <c r="F49" s="88">
        <f>E49/E36</f>
        <v>42.99057929526883</v>
      </c>
    </row>
    <row r="50" spans="1:6" x14ac:dyDescent="0.25">
      <c r="A50" s="87"/>
      <c r="B50" s="8"/>
      <c r="C50" s="8"/>
      <c r="D50" s="8"/>
      <c r="E50" s="8"/>
      <c r="F50" s="88"/>
    </row>
    <row r="51" spans="1:6" ht="16.5" thickBot="1" x14ac:dyDescent="0.3">
      <c r="A51" s="93" t="s">
        <v>15</v>
      </c>
      <c r="B51" s="94">
        <f>B48+B49</f>
        <v>0</v>
      </c>
      <c r="C51" s="94">
        <f>C48+C49</f>
        <v>22275541</v>
      </c>
      <c r="D51" s="94">
        <f>D48+D49</f>
        <v>0</v>
      </c>
      <c r="E51" s="94">
        <f>E48+E49</f>
        <v>22275541</v>
      </c>
      <c r="F51" s="95">
        <f>F43+F48+F49</f>
        <v>1289.3114557851457</v>
      </c>
    </row>
    <row r="52" spans="1:6" x14ac:dyDescent="0.25">
      <c r="A52" s="10"/>
      <c r="B52" s="11"/>
      <c r="C52" s="12"/>
      <c r="D52" s="12"/>
      <c r="E52" s="12"/>
      <c r="F52" s="12"/>
    </row>
    <row r="53" spans="1:6" x14ac:dyDescent="0.25">
      <c r="A53" s="13" t="s">
        <v>16</v>
      </c>
      <c r="B53" s="13"/>
      <c r="C53" s="13" t="s">
        <v>17</v>
      </c>
      <c r="D53" s="13"/>
      <c r="E53" s="13" t="s">
        <v>18</v>
      </c>
      <c r="F53" s="13"/>
    </row>
    <row r="54" spans="1:6" x14ac:dyDescent="0.25">
      <c r="A54" s="14" t="s">
        <v>19</v>
      </c>
      <c r="B54" s="14"/>
      <c r="C54" s="14" t="s">
        <v>19</v>
      </c>
      <c r="D54" s="14"/>
      <c r="E54" s="14" t="s">
        <v>20</v>
      </c>
      <c r="F54" s="14"/>
    </row>
  </sheetData>
  <mergeCells count="22">
    <mergeCell ref="E28:F28"/>
    <mergeCell ref="E1:F1"/>
    <mergeCell ref="E2:F2"/>
    <mergeCell ref="E3:F3"/>
    <mergeCell ref="E4:F4"/>
    <mergeCell ref="A5:F5"/>
    <mergeCell ref="A6:F6"/>
    <mergeCell ref="A12:A13"/>
    <mergeCell ref="B12:B13"/>
    <mergeCell ref="C12:C13"/>
    <mergeCell ref="D12:D13"/>
    <mergeCell ref="E12:F12"/>
    <mergeCell ref="A39:A40"/>
    <mergeCell ref="B39:B40"/>
    <mergeCell ref="C39:C40"/>
    <mergeCell ref="D39:D40"/>
    <mergeCell ref="E39:F39"/>
    <mergeCell ref="E29:F29"/>
    <mergeCell ref="E30:F30"/>
    <mergeCell ref="E31:F31"/>
    <mergeCell ref="A32:F32"/>
    <mergeCell ref="A33:F33"/>
  </mergeCell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4"/>
  <sheetViews>
    <sheetView topLeftCell="A37" workbookViewId="0">
      <selection activeCell="D48" sqref="D48"/>
    </sheetView>
  </sheetViews>
  <sheetFormatPr defaultRowHeight="15.75" x14ac:dyDescent="0.25"/>
  <cols>
    <col min="1" max="1" width="45" style="1" customWidth="1"/>
    <col min="2" max="2" width="13" style="1" customWidth="1"/>
    <col min="3" max="4" width="13.75" style="1" customWidth="1"/>
    <col min="5" max="6" width="15.5" style="1" customWidth="1"/>
    <col min="7" max="7" width="13.75" style="1" customWidth="1"/>
    <col min="8" max="256" width="9" style="1"/>
    <col min="257" max="260" width="13.75" style="1" customWidth="1"/>
    <col min="261" max="262" width="15.5" style="1" customWidth="1"/>
    <col min="263" max="263" width="13.75" style="1" customWidth="1"/>
    <col min="264" max="512" width="9" style="1"/>
    <col min="513" max="516" width="13.75" style="1" customWidth="1"/>
    <col min="517" max="518" width="15.5" style="1" customWidth="1"/>
    <col min="519" max="519" width="13.75" style="1" customWidth="1"/>
    <col min="520" max="768" width="9" style="1"/>
    <col min="769" max="772" width="13.75" style="1" customWidth="1"/>
    <col min="773" max="774" width="15.5" style="1" customWidth="1"/>
    <col min="775" max="775" width="13.75" style="1" customWidth="1"/>
    <col min="776" max="1024" width="9" style="1"/>
    <col min="1025" max="1028" width="13.75" style="1" customWidth="1"/>
    <col min="1029" max="1030" width="15.5" style="1" customWidth="1"/>
    <col min="1031" max="1031" width="13.75" style="1" customWidth="1"/>
    <col min="1032" max="1280" width="9" style="1"/>
    <col min="1281" max="1284" width="13.75" style="1" customWidth="1"/>
    <col min="1285" max="1286" width="15.5" style="1" customWidth="1"/>
    <col min="1287" max="1287" width="13.75" style="1" customWidth="1"/>
    <col min="1288" max="1536" width="9" style="1"/>
    <col min="1537" max="1540" width="13.75" style="1" customWidth="1"/>
    <col min="1541" max="1542" width="15.5" style="1" customWidth="1"/>
    <col min="1543" max="1543" width="13.75" style="1" customWidth="1"/>
    <col min="1544" max="1792" width="9" style="1"/>
    <col min="1793" max="1796" width="13.75" style="1" customWidth="1"/>
    <col min="1797" max="1798" width="15.5" style="1" customWidth="1"/>
    <col min="1799" max="1799" width="13.75" style="1" customWidth="1"/>
    <col min="1800" max="2048" width="9" style="1"/>
    <col min="2049" max="2052" width="13.75" style="1" customWidth="1"/>
    <col min="2053" max="2054" width="15.5" style="1" customWidth="1"/>
    <col min="2055" max="2055" width="13.75" style="1" customWidth="1"/>
    <col min="2056" max="2304" width="9" style="1"/>
    <col min="2305" max="2308" width="13.75" style="1" customWidth="1"/>
    <col min="2309" max="2310" width="15.5" style="1" customWidth="1"/>
    <col min="2311" max="2311" width="13.75" style="1" customWidth="1"/>
    <col min="2312" max="2560" width="9" style="1"/>
    <col min="2561" max="2564" width="13.75" style="1" customWidth="1"/>
    <col min="2565" max="2566" width="15.5" style="1" customWidth="1"/>
    <col min="2567" max="2567" width="13.75" style="1" customWidth="1"/>
    <col min="2568" max="2816" width="9" style="1"/>
    <col min="2817" max="2820" width="13.75" style="1" customWidth="1"/>
    <col min="2821" max="2822" width="15.5" style="1" customWidth="1"/>
    <col min="2823" max="2823" width="13.75" style="1" customWidth="1"/>
    <col min="2824" max="3072" width="9" style="1"/>
    <col min="3073" max="3076" width="13.75" style="1" customWidth="1"/>
    <col min="3077" max="3078" width="15.5" style="1" customWidth="1"/>
    <col min="3079" max="3079" width="13.75" style="1" customWidth="1"/>
    <col min="3080" max="3328" width="9" style="1"/>
    <col min="3329" max="3332" width="13.75" style="1" customWidth="1"/>
    <col min="3333" max="3334" width="15.5" style="1" customWidth="1"/>
    <col min="3335" max="3335" width="13.75" style="1" customWidth="1"/>
    <col min="3336" max="3584" width="9" style="1"/>
    <col min="3585" max="3588" width="13.75" style="1" customWidth="1"/>
    <col min="3589" max="3590" width="15.5" style="1" customWidth="1"/>
    <col min="3591" max="3591" width="13.75" style="1" customWidth="1"/>
    <col min="3592" max="3840" width="9" style="1"/>
    <col min="3841" max="3844" width="13.75" style="1" customWidth="1"/>
    <col min="3845" max="3846" width="15.5" style="1" customWidth="1"/>
    <col min="3847" max="3847" width="13.75" style="1" customWidth="1"/>
    <col min="3848" max="4096" width="9" style="1"/>
    <col min="4097" max="4100" width="13.75" style="1" customWidth="1"/>
    <col min="4101" max="4102" width="15.5" style="1" customWidth="1"/>
    <col min="4103" max="4103" width="13.75" style="1" customWidth="1"/>
    <col min="4104" max="4352" width="9" style="1"/>
    <col min="4353" max="4356" width="13.75" style="1" customWidth="1"/>
    <col min="4357" max="4358" width="15.5" style="1" customWidth="1"/>
    <col min="4359" max="4359" width="13.75" style="1" customWidth="1"/>
    <col min="4360" max="4608" width="9" style="1"/>
    <col min="4609" max="4612" width="13.75" style="1" customWidth="1"/>
    <col min="4613" max="4614" width="15.5" style="1" customWidth="1"/>
    <col min="4615" max="4615" width="13.75" style="1" customWidth="1"/>
    <col min="4616" max="4864" width="9" style="1"/>
    <col min="4865" max="4868" width="13.75" style="1" customWidth="1"/>
    <col min="4869" max="4870" width="15.5" style="1" customWidth="1"/>
    <col min="4871" max="4871" width="13.75" style="1" customWidth="1"/>
    <col min="4872" max="5120" width="9" style="1"/>
    <col min="5121" max="5124" width="13.75" style="1" customWidth="1"/>
    <col min="5125" max="5126" width="15.5" style="1" customWidth="1"/>
    <col min="5127" max="5127" width="13.75" style="1" customWidth="1"/>
    <col min="5128" max="5376" width="9" style="1"/>
    <col min="5377" max="5380" width="13.75" style="1" customWidth="1"/>
    <col min="5381" max="5382" width="15.5" style="1" customWidth="1"/>
    <col min="5383" max="5383" width="13.75" style="1" customWidth="1"/>
    <col min="5384" max="5632" width="9" style="1"/>
    <col min="5633" max="5636" width="13.75" style="1" customWidth="1"/>
    <col min="5637" max="5638" width="15.5" style="1" customWidth="1"/>
    <col min="5639" max="5639" width="13.75" style="1" customWidth="1"/>
    <col min="5640" max="5888" width="9" style="1"/>
    <col min="5889" max="5892" width="13.75" style="1" customWidth="1"/>
    <col min="5893" max="5894" width="15.5" style="1" customWidth="1"/>
    <col min="5895" max="5895" width="13.75" style="1" customWidth="1"/>
    <col min="5896" max="6144" width="9" style="1"/>
    <col min="6145" max="6148" width="13.75" style="1" customWidth="1"/>
    <col min="6149" max="6150" width="15.5" style="1" customWidth="1"/>
    <col min="6151" max="6151" width="13.75" style="1" customWidth="1"/>
    <col min="6152" max="6400" width="9" style="1"/>
    <col min="6401" max="6404" width="13.75" style="1" customWidth="1"/>
    <col min="6405" max="6406" width="15.5" style="1" customWidth="1"/>
    <col min="6407" max="6407" width="13.75" style="1" customWidth="1"/>
    <col min="6408" max="6656" width="9" style="1"/>
    <col min="6657" max="6660" width="13.75" style="1" customWidth="1"/>
    <col min="6661" max="6662" width="15.5" style="1" customWidth="1"/>
    <col min="6663" max="6663" width="13.75" style="1" customWidth="1"/>
    <col min="6664" max="6912" width="9" style="1"/>
    <col min="6913" max="6916" width="13.75" style="1" customWidth="1"/>
    <col min="6917" max="6918" width="15.5" style="1" customWidth="1"/>
    <col min="6919" max="6919" width="13.75" style="1" customWidth="1"/>
    <col min="6920" max="7168" width="9" style="1"/>
    <col min="7169" max="7172" width="13.75" style="1" customWidth="1"/>
    <col min="7173" max="7174" width="15.5" style="1" customWidth="1"/>
    <col min="7175" max="7175" width="13.75" style="1" customWidth="1"/>
    <col min="7176" max="7424" width="9" style="1"/>
    <col min="7425" max="7428" width="13.75" style="1" customWidth="1"/>
    <col min="7429" max="7430" width="15.5" style="1" customWidth="1"/>
    <col min="7431" max="7431" width="13.75" style="1" customWidth="1"/>
    <col min="7432" max="7680" width="9" style="1"/>
    <col min="7681" max="7684" width="13.75" style="1" customWidth="1"/>
    <col min="7685" max="7686" width="15.5" style="1" customWidth="1"/>
    <col min="7687" max="7687" width="13.75" style="1" customWidth="1"/>
    <col min="7688" max="7936" width="9" style="1"/>
    <col min="7937" max="7940" width="13.75" style="1" customWidth="1"/>
    <col min="7941" max="7942" width="15.5" style="1" customWidth="1"/>
    <col min="7943" max="7943" width="13.75" style="1" customWidth="1"/>
    <col min="7944" max="8192" width="9" style="1"/>
    <col min="8193" max="8196" width="13.75" style="1" customWidth="1"/>
    <col min="8197" max="8198" width="15.5" style="1" customWidth="1"/>
    <col min="8199" max="8199" width="13.75" style="1" customWidth="1"/>
    <col min="8200" max="8448" width="9" style="1"/>
    <col min="8449" max="8452" width="13.75" style="1" customWidth="1"/>
    <col min="8453" max="8454" width="15.5" style="1" customWidth="1"/>
    <col min="8455" max="8455" width="13.75" style="1" customWidth="1"/>
    <col min="8456" max="8704" width="9" style="1"/>
    <col min="8705" max="8708" width="13.75" style="1" customWidth="1"/>
    <col min="8709" max="8710" width="15.5" style="1" customWidth="1"/>
    <col min="8711" max="8711" width="13.75" style="1" customWidth="1"/>
    <col min="8712" max="8960" width="9" style="1"/>
    <col min="8961" max="8964" width="13.75" style="1" customWidth="1"/>
    <col min="8965" max="8966" width="15.5" style="1" customWidth="1"/>
    <col min="8967" max="8967" width="13.75" style="1" customWidth="1"/>
    <col min="8968" max="9216" width="9" style="1"/>
    <col min="9217" max="9220" width="13.75" style="1" customWidth="1"/>
    <col min="9221" max="9222" width="15.5" style="1" customWidth="1"/>
    <col min="9223" max="9223" width="13.75" style="1" customWidth="1"/>
    <col min="9224" max="9472" width="9" style="1"/>
    <col min="9473" max="9476" width="13.75" style="1" customWidth="1"/>
    <col min="9477" max="9478" width="15.5" style="1" customWidth="1"/>
    <col min="9479" max="9479" width="13.75" style="1" customWidth="1"/>
    <col min="9480" max="9728" width="9" style="1"/>
    <col min="9729" max="9732" width="13.75" style="1" customWidth="1"/>
    <col min="9733" max="9734" width="15.5" style="1" customWidth="1"/>
    <col min="9735" max="9735" width="13.75" style="1" customWidth="1"/>
    <col min="9736" max="9984" width="9" style="1"/>
    <col min="9985" max="9988" width="13.75" style="1" customWidth="1"/>
    <col min="9989" max="9990" width="15.5" style="1" customWidth="1"/>
    <col min="9991" max="9991" width="13.75" style="1" customWidth="1"/>
    <col min="9992" max="10240" width="9" style="1"/>
    <col min="10241" max="10244" width="13.75" style="1" customWidth="1"/>
    <col min="10245" max="10246" width="15.5" style="1" customWidth="1"/>
    <col min="10247" max="10247" width="13.75" style="1" customWidth="1"/>
    <col min="10248" max="10496" width="9" style="1"/>
    <col min="10497" max="10500" width="13.75" style="1" customWidth="1"/>
    <col min="10501" max="10502" width="15.5" style="1" customWidth="1"/>
    <col min="10503" max="10503" width="13.75" style="1" customWidth="1"/>
    <col min="10504" max="10752" width="9" style="1"/>
    <col min="10753" max="10756" width="13.75" style="1" customWidth="1"/>
    <col min="10757" max="10758" width="15.5" style="1" customWidth="1"/>
    <col min="10759" max="10759" width="13.75" style="1" customWidth="1"/>
    <col min="10760" max="11008" width="9" style="1"/>
    <col min="11009" max="11012" width="13.75" style="1" customWidth="1"/>
    <col min="11013" max="11014" width="15.5" style="1" customWidth="1"/>
    <col min="11015" max="11015" width="13.75" style="1" customWidth="1"/>
    <col min="11016" max="11264" width="9" style="1"/>
    <col min="11265" max="11268" width="13.75" style="1" customWidth="1"/>
    <col min="11269" max="11270" width="15.5" style="1" customWidth="1"/>
    <col min="11271" max="11271" width="13.75" style="1" customWidth="1"/>
    <col min="11272" max="11520" width="9" style="1"/>
    <col min="11521" max="11524" width="13.75" style="1" customWidth="1"/>
    <col min="11525" max="11526" width="15.5" style="1" customWidth="1"/>
    <col min="11527" max="11527" width="13.75" style="1" customWidth="1"/>
    <col min="11528" max="11776" width="9" style="1"/>
    <col min="11777" max="11780" width="13.75" style="1" customWidth="1"/>
    <col min="11781" max="11782" width="15.5" style="1" customWidth="1"/>
    <col min="11783" max="11783" width="13.75" style="1" customWidth="1"/>
    <col min="11784" max="12032" width="9" style="1"/>
    <col min="12033" max="12036" width="13.75" style="1" customWidth="1"/>
    <col min="12037" max="12038" width="15.5" style="1" customWidth="1"/>
    <col min="12039" max="12039" width="13.75" style="1" customWidth="1"/>
    <col min="12040" max="12288" width="9" style="1"/>
    <col min="12289" max="12292" width="13.75" style="1" customWidth="1"/>
    <col min="12293" max="12294" width="15.5" style="1" customWidth="1"/>
    <col min="12295" max="12295" width="13.75" style="1" customWidth="1"/>
    <col min="12296" max="12544" width="9" style="1"/>
    <col min="12545" max="12548" width="13.75" style="1" customWidth="1"/>
    <col min="12549" max="12550" width="15.5" style="1" customWidth="1"/>
    <col min="12551" max="12551" width="13.75" style="1" customWidth="1"/>
    <col min="12552" max="12800" width="9" style="1"/>
    <col min="12801" max="12804" width="13.75" style="1" customWidth="1"/>
    <col min="12805" max="12806" width="15.5" style="1" customWidth="1"/>
    <col min="12807" max="12807" width="13.75" style="1" customWidth="1"/>
    <col min="12808" max="13056" width="9" style="1"/>
    <col min="13057" max="13060" width="13.75" style="1" customWidth="1"/>
    <col min="13061" max="13062" width="15.5" style="1" customWidth="1"/>
    <col min="13063" max="13063" width="13.75" style="1" customWidth="1"/>
    <col min="13064" max="13312" width="9" style="1"/>
    <col min="13313" max="13316" width="13.75" style="1" customWidth="1"/>
    <col min="13317" max="13318" width="15.5" style="1" customWidth="1"/>
    <col min="13319" max="13319" width="13.75" style="1" customWidth="1"/>
    <col min="13320" max="13568" width="9" style="1"/>
    <col min="13569" max="13572" width="13.75" style="1" customWidth="1"/>
    <col min="13573" max="13574" width="15.5" style="1" customWidth="1"/>
    <col min="13575" max="13575" width="13.75" style="1" customWidth="1"/>
    <col min="13576" max="13824" width="9" style="1"/>
    <col min="13825" max="13828" width="13.75" style="1" customWidth="1"/>
    <col min="13829" max="13830" width="15.5" style="1" customWidth="1"/>
    <col min="13831" max="13831" width="13.75" style="1" customWidth="1"/>
    <col min="13832" max="14080" width="9" style="1"/>
    <col min="14081" max="14084" width="13.75" style="1" customWidth="1"/>
    <col min="14085" max="14086" width="15.5" style="1" customWidth="1"/>
    <col min="14087" max="14087" width="13.75" style="1" customWidth="1"/>
    <col min="14088" max="14336" width="9" style="1"/>
    <col min="14337" max="14340" width="13.75" style="1" customWidth="1"/>
    <col min="14341" max="14342" width="15.5" style="1" customWidth="1"/>
    <col min="14343" max="14343" width="13.75" style="1" customWidth="1"/>
    <col min="14344" max="14592" width="9" style="1"/>
    <col min="14593" max="14596" width="13.75" style="1" customWidth="1"/>
    <col min="14597" max="14598" width="15.5" style="1" customWidth="1"/>
    <col min="14599" max="14599" width="13.75" style="1" customWidth="1"/>
    <col min="14600" max="14848" width="9" style="1"/>
    <col min="14849" max="14852" width="13.75" style="1" customWidth="1"/>
    <col min="14853" max="14854" width="15.5" style="1" customWidth="1"/>
    <col min="14855" max="14855" width="13.75" style="1" customWidth="1"/>
    <col min="14856" max="15104" width="9" style="1"/>
    <col min="15105" max="15108" width="13.75" style="1" customWidth="1"/>
    <col min="15109" max="15110" width="15.5" style="1" customWidth="1"/>
    <col min="15111" max="15111" width="13.75" style="1" customWidth="1"/>
    <col min="15112" max="15360" width="9" style="1"/>
    <col min="15361" max="15364" width="13.75" style="1" customWidth="1"/>
    <col min="15365" max="15366" width="15.5" style="1" customWidth="1"/>
    <col min="15367" max="15367" width="13.75" style="1" customWidth="1"/>
    <col min="15368" max="15616" width="9" style="1"/>
    <col min="15617" max="15620" width="13.75" style="1" customWidth="1"/>
    <col min="15621" max="15622" width="15.5" style="1" customWidth="1"/>
    <col min="15623" max="15623" width="13.75" style="1" customWidth="1"/>
    <col min="15624" max="15872" width="9" style="1"/>
    <col min="15873" max="15876" width="13.75" style="1" customWidth="1"/>
    <col min="15877" max="15878" width="15.5" style="1" customWidth="1"/>
    <col min="15879" max="15879" width="13.75" style="1" customWidth="1"/>
    <col min="15880" max="16128" width="9" style="1"/>
    <col min="16129" max="16132" width="13.75" style="1" customWidth="1"/>
    <col min="16133" max="16134" width="15.5" style="1" customWidth="1"/>
    <col min="16135" max="16135" width="13.75" style="1" customWidth="1"/>
    <col min="16136" max="16384" width="9" style="1"/>
  </cols>
  <sheetData>
    <row r="1" spans="1:6" x14ac:dyDescent="0.25">
      <c r="A1" s="1" t="str">
        <f>'THONG TIN'!C3</f>
        <v>Công ty TNHH Thuận An</v>
      </c>
      <c r="E1" s="108" t="s">
        <v>1</v>
      </c>
      <c r="F1" s="108"/>
    </row>
    <row r="2" spans="1:6" x14ac:dyDescent="0.25">
      <c r="A2" s="1" t="str">
        <f>'THONG TIN'!C4</f>
        <v>Ấp Chồng Nô 3, Xã Hòa Tân, Huyện Cầu Kè, Tỉnh Trà Vinh</v>
      </c>
      <c r="E2" s="101" t="s">
        <v>2</v>
      </c>
      <c r="F2" s="101"/>
    </row>
    <row r="3" spans="1:6" x14ac:dyDescent="0.25">
      <c r="E3" s="101" t="s">
        <v>53</v>
      </c>
      <c r="F3" s="101"/>
    </row>
    <row r="4" spans="1:6" x14ac:dyDescent="0.25">
      <c r="E4" s="101" t="s">
        <v>3</v>
      </c>
      <c r="F4" s="101"/>
    </row>
    <row r="5" spans="1:6" ht="18" x14ac:dyDescent="0.25">
      <c r="A5" s="102" t="s">
        <v>4</v>
      </c>
      <c r="B5" s="102"/>
      <c r="C5" s="102"/>
      <c r="D5" s="102"/>
      <c r="E5" s="102"/>
      <c r="F5" s="102"/>
    </row>
    <row r="6" spans="1:6" x14ac:dyDescent="0.25">
      <c r="A6" s="103" t="s">
        <v>77</v>
      </c>
      <c r="B6" s="103"/>
      <c r="C6" s="103"/>
      <c r="D6" s="103"/>
      <c r="E6" s="103"/>
      <c r="F6" s="103"/>
    </row>
    <row r="7" spans="1:6" x14ac:dyDescent="0.25">
      <c r="B7" s="1" t="s">
        <v>72</v>
      </c>
      <c r="C7" s="52" t="s">
        <v>68</v>
      </c>
    </row>
    <row r="8" spans="1:6" x14ac:dyDescent="0.25">
      <c r="B8" s="2" t="s">
        <v>55</v>
      </c>
      <c r="C8" s="3"/>
      <c r="D8" s="3"/>
      <c r="E8" s="53"/>
      <c r="F8" s="3"/>
    </row>
    <row r="9" spans="1:6" x14ac:dyDescent="0.25">
      <c r="B9" s="2" t="s">
        <v>56</v>
      </c>
      <c r="C9" s="3"/>
      <c r="D9" s="3"/>
      <c r="E9" s="56">
        <v>8654</v>
      </c>
      <c r="F9" s="3"/>
    </row>
    <row r="10" spans="1:6" x14ac:dyDescent="0.25">
      <c r="B10" s="2" t="s">
        <v>54</v>
      </c>
      <c r="C10" s="3"/>
      <c r="D10" s="3"/>
      <c r="E10" s="3"/>
      <c r="F10" s="3"/>
    </row>
    <row r="12" spans="1:6" x14ac:dyDescent="0.25">
      <c r="A12" s="104" t="s">
        <v>5</v>
      </c>
      <c r="B12" s="104" t="s">
        <v>6</v>
      </c>
      <c r="C12" s="104" t="s">
        <v>7</v>
      </c>
      <c r="D12" s="104" t="s">
        <v>8</v>
      </c>
      <c r="E12" s="106" t="s">
        <v>9</v>
      </c>
      <c r="F12" s="107"/>
    </row>
    <row r="13" spans="1:6" x14ac:dyDescent="0.25">
      <c r="A13" s="105"/>
      <c r="B13" s="105"/>
      <c r="C13" s="105"/>
      <c r="D13" s="105"/>
      <c r="E13" s="4" t="s">
        <v>10</v>
      </c>
      <c r="F13" s="4" t="s">
        <v>11</v>
      </c>
    </row>
    <row r="14" spans="1:6" x14ac:dyDescent="0.25">
      <c r="A14" s="5" t="s">
        <v>12</v>
      </c>
      <c r="B14" s="6"/>
      <c r="C14" s="6"/>
      <c r="D14" s="6"/>
      <c r="E14" s="6"/>
      <c r="F14" s="6"/>
    </row>
    <row r="15" spans="1:6" x14ac:dyDescent="0.25">
      <c r="A15" s="15"/>
      <c r="B15" s="16"/>
      <c r="C15" s="16"/>
      <c r="D15" s="16"/>
      <c r="E15" s="16"/>
      <c r="F15" s="16"/>
    </row>
    <row r="16" spans="1:6" x14ac:dyDescent="0.25">
      <c r="A16" s="7" t="s">
        <v>13</v>
      </c>
      <c r="B16" s="8"/>
      <c r="C16" s="8">
        <f>16128000/12</f>
        <v>1344000</v>
      </c>
      <c r="D16" s="8"/>
      <c r="E16" s="8">
        <f>C16</f>
        <v>1344000</v>
      </c>
      <c r="F16" s="8">
        <f>E16/E9</f>
        <v>155.30390570834297</v>
      </c>
    </row>
    <row r="17" spans="1:6" x14ac:dyDescent="0.25">
      <c r="A17" s="7"/>
      <c r="B17" s="8"/>
      <c r="C17" s="8"/>
      <c r="D17" s="8"/>
      <c r="E17" s="8"/>
      <c r="F17" s="8"/>
    </row>
    <row r="18" spans="1:6" x14ac:dyDescent="0.25">
      <c r="A18" s="7" t="s">
        <v>14</v>
      </c>
      <c r="B18" s="8"/>
      <c r="C18" s="8"/>
      <c r="D18" s="8"/>
      <c r="E18" s="9"/>
      <c r="F18" s="9"/>
    </row>
    <row r="19" spans="1:6" x14ac:dyDescent="0.25">
      <c r="A19" s="17"/>
      <c r="B19" s="18"/>
      <c r="C19" s="18"/>
      <c r="D19" s="18"/>
      <c r="E19" s="19"/>
      <c r="F19" s="19"/>
    </row>
    <row r="20" spans="1:6" x14ac:dyDescent="0.25">
      <c r="A20" s="7" t="s">
        <v>0</v>
      </c>
      <c r="B20" s="8"/>
      <c r="C20" s="8"/>
      <c r="D20" s="8"/>
      <c r="E20" s="8"/>
      <c r="F20" s="8"/>
    </row>
    <row r="21" spans="1:6" x14ac:dyDescent="0.25">
      <c r="A21" s="22" t="s">
        <v>71</v>
      </c>
      <c r="B21" s="23"/>
      <c r="C21" s="23">
        <f>12823592+(B21/12)</f>
        <v>12823592</v>
      </c>
      <c r="D21" s="23">
        <f>B21-(B21/12)*3</f>
        <v>0</v>
      </c>
      <c r="E21" s="23">
        <f>B21+C21-D21</f>
        <v>12823592</v>
      </c>
      <c r="F21" s="23">
        <f>E21/E9</f>
        <v>1481.8109544719205</v>
      </c>
    </row>
    <row r="22" spans="1:6" x14ac:dyDescent="0.25">
      <c r="A22" s="20"/>
      <c r="B22" s="21"/>
      <c r="C22" s="21"/>
      <c r="D22" s="21"/>
      <c r="E22" s="21"/>
      <c r="F22" s="21"/>
    </row>
    <row r="23" spans="1:6" x14ac:dyDescent="0.25">
      <c r="A23" s="54" t="s">
        <v>15</v>
      </c>
      <c r="B23" s="55">
        <f>B21+B22</f>
        <v>0</v>
      </c>
      <c r="C23" s="55">
        <f>C21+C22</f>
        <v>12823592</v>
      </c>
      <c r="D23" s="55">
        <f>D21+D22</f>
        <v>0</v>
      </c>
      <c r="E23" s="55">
        <f>E21+E22</f>
        <v>12823592</v>
      </c>
      <c r="F23" s="55">
        <f>SUM(F16+F21)</f>
        <v>1637.1148601802633</v>
      </c>
    </row>
    <row r="25" spans="1:6" x14ac:dyDescent="0.25">
      <c r="A25" s="13" t="s">
        <v>16</v>
      </c>
      <c r="B25" s="13"/>
      <c r="C25" s="13" t="s">
        <v>17</v>
      </c>
      <c r="D25" s="13"/>
      <c r="E25" s="13" t="s">
        <v>18</v>
      </c>
      <c r="F25" s="13"/>
    </row>
    <row r="26" spans="1:6" x14ac:dyDescent="0.25">
      <c r="A26" s="14" t="s">
        <v>19</v>
      </c>
      <c r="B26" s="14"/>
      <c r="C26" s="14" t="s">
        <v>19</v>
      </c>
      <c r="D26" s="14"/>
      <c r="E26" s="14" t="s">
        <v>20</v>
      </c>
      <c r="F26" s="14"/>
    </row>
    <row r="27" spans="1:6" x14ac:dyDescent="0.25">
      <c r="A27" s="14"/>
      <c r="B27" s="14"/>
      <c r="C27" s="14"/>
      <c r="D27" s="14"/>
      <c r="E27" s="14"/>
      <c r="F27" s="14"/>
    </row>
    <row r="28" spans="1:6" x14ac:dyDescent="0.25">
      <c r="A28" s="1" t="str">
        <f>A1</f>
        <v>Công ty TNHH Thuận An</v>
      </c>
      <c r="E28" s="108" t="s">
        <v>1</v>
      </c>
      <c r="F28" s="108"/>
    </row>
    <row r="29" spans="1:6" x14ac:dyDescent="0.25">
      <c r="A29" s="1" t="str">
        <f>A2</f>
        <v>Ấp Chồng Nô 3, Xã Hòa Tân, Huyện Cầu Kè, Tỉnh Trà Vinh</v>
      </c>
      <c r="E29" s="101" t="s">
        <v>2</v>
      </c>
      <c r="F29" s="101"/>
    </row>
    <row r="30" spans="1:6" x14ac:dyDescent="0.25">
      <c r="E30" s="101" t="s">
        <v>53</v>
      </c>
      <c r="F30" s="101"/>
    </row>
    <row r="31" spans="1:6" x14ac:dyDescent="0.25">
      <c r="E31" s="101" t="s">
        <v>3</v>
      </c>
      <c r="F31" s="101"/>
    </row>
    <row r="32" spans="1:6" ht="18" x14ac:dyDescent="0.25">
      <c r="A32" s="102" t="s">
        <v>4</v>
      </c>
      <c r="B32" s="102"/>
      <c r="C32" s="102"/>
      <c r="D32" s="102"/>
      <c r="E32" s="102"/>
      <c r="F32" s="102"/>
    </row>
    <row r="33" spans="1:6" x14ac:dyDescent="0.25">
      <c r="A33" s="103" t="s">
        <v>77</v>
      </c>
      <c r="B33" s="103"/>
      <c r="C33" s="103"/>
      <c r="D33" s="103"/>
      <c r="E33" s="103"/>
      <c r="F33" s="103"/>
    </row>
    <row r="34" spans="1:6" x14ac:dyDescent="0.25">
      <c r="B34" s="1" t="s">
        <v>72</v>
      </c>
      <c r="C34" s="52" t="s">
        <v>69</v>
      </c>
    </row>
    <row r="35" spans="1:6" x14ac:dyDescent="0.25">
      <c r="B35" s="2" t="s">
        <v>55</v>
      </c>
      <c r="C35" s="3"/>
      <c r="D35" s="3"/>
      <c r="E35" s="53"/>
      <c r="F35" s="3"/>
    </row>
    <row r="36" spans="1:6" x14ac:dyDescent="0.25">
      <c r="B36" s="2" t="s">
        <v>56</v>
      </c>
      <c r="C36" s="3"/>
      <c r="D36" s="3"/>
      <c r="E36" s="56">
        <v>19976</v>
      </c>
      <c r="F36" s="3"/>
    </row>
    <row r="37" spans="1:6" x14ac:dyDescent="0.25">
      <c r="B37" s="2" t="s">
        <v>54</v>
      </c>
      <c r="C37" s="3"/>
      <c r="D37" s="3"/>
      <c r="E37" s="3"/>
      <c r="F37" s="3"/>
    </row>
    <row r="39" spans="1:6" x14ac:dyDescent="0.25">
      <c r="A39" s="104" t="s">
        <v>5</v>
      </c>
      <c r="B39" s="104" t="s">
        <v>6</v>
      </c>
      <c r="C39" s="104" t="s">
        <v>7</v>
      </c>
      <c r="D39" s="104" t="s">
        <v>8</v>
      </c>
      <c r="E39" s="106" t="s">
        <v>9</v>
      </c>
      <c r="F39" s="107"/>
    </row>
    <row r="40" spans="1:6" x14ac:dyDescent="0.25">
      <c r="A40" s="105"/>
      <c r="B40" s="105"/>
      <c r="C40" s="105"/>
      <c r="D40" s="105"/>
      <c r="E40" s="4" t="s">
        <v>10</v>
      </c>
      <c r="F40" s="4" t="s">
        <v>11</v>
      </c>
    </row>
    <row r="41" spans="1:6" x14ac:dyDescent="0.25">
      <c r="A41" s="5" t="s">
        <v>12</v>
      </c>
      <c r="B41" s="6"/>
      <c r="C41" s="6"/>
      <c r="D41" s="6"/>
      <c r="E41" s="6"/>
      <c r="F41" s="6"/>
    </row>
    <row r="42" spans="1:6" x14ac:dyDescent="0.25">
      <c r="A42" s="15"/>
      <c r="B42" s="16"/>
      <c r="C42" s="16"/>
      <c r="D42" s="16"/>
      <c r="E42" s="16"/>
      <c r="F42" s="16"/>
    </row>
    <row r="43" spans="1:6" x14ac:dyDescent="0.25">
      <c r="A43" s="7" t="s">
        <v>13</v>
      </c>
      <c r="B43" s="8"/>
      <c r="C43" s="8">
        <f>29952000/12</f>
        <v>2496000</v>
      </c>
      <c r="D43" s="8"/>
      <c r="E43" s="8">
        <f>C43</f>
        <v>2496000</v>
      </c>
      <c r="F43" s="8">
        <f>E43/E36</f>
        <v>124.94993992791349</v>
      </c>
    </row>
    <row r="44" spans="1:6" x14ac:dyDescent="0.25">
      <c r="A44" s="7"/>
      <c r="B44" s="8"/>
      <c r="C44" s="8"/>
      <c r="D44" s="8"/>
      <c r="E44" s="8"/>
      <c r="F44" s="8"/>
    </row>
    <row r="45" spans="1:6" x14ac:dyDescent="0.25">
      <c r="A45" s="7" t="s">
        <v>14</v>
      </c>
      <c r="B45" s="8"/>
      <c r="C45" s="8"/>
      <c r="D45" s="8"/>
      <c r="E45" s="9"/>
      <c r="F45" s="9"/>
    </row>
    <row r="46" spans="1:6" x14ac:dyDescent="0.25">
      <c r="A46" s="17"/>
      <c r="B46" s="18"/>
      <c r="C46" s="18"/>
      <c r="D46" s="18"/>
      <c r="E46" s="19"/>
      <c r="F46" s="19"/>
    </row>
    <row r="47" spans="1:6" x14ac:dyDescent="0.25">
      <c r="A47" s="7" t="s">
        <v>0</v>
      </c>
      <c r="B47" s="8"/>
      <c r="C47" s="8"/>
      <c r="D47" s="8"/>
      <c r="E47" s="8"/>
      <c r="F47" s="8"/>
    </row>
    <row r="48" spans="1:6" x14ac:dyDescent="0.25">
      <c r="A48" s="67" t="s">
        <v>71</v>
      </c>
      <c r="B48" s="8"/>
      <c r="C48" s="8">
        <v>21449563</v>
      </c>
      <c r="D48" s="68">
        <f>B48-(B48/12)*3</f>
        <v>0</v>
      </c>
      <c r="E48" s="8">
        <f>B48+C48-D48</f>
        <v>21449563</v>
      </c>
      <c r="F48" s="68">
        <f>E48/E36</f>
        <v>1073.7666700040047</v>
      </c>
    </row>
    <row r="49" spans="1:6" x14ac:dyDescent="0.25">
      <c r="A49" s="67" t="s">
        <v>73</v>
      </c>
      <c r="B49" s="8"/>
      <c r="C49" s="8">
        <f>825978+(B49/12)</f>
        <v>825978</v>
      </c>
      <c r="D49" s="68"/>
      <c r="E49" s="8">
        <f>B49+C49-D49</f>
        <v>825978</v>
      </c>
      <c r="F49" s="68">
        <f>E49/E36</f>
        <v>41.348518221866243</v>
      </c>
    </row>
    <row r="50" spans="1:6" x14ac:dyDescent="0.25">
      <c r="A50" s="69"/>
      <c r="B50" s="70"/>
      <c r="C50" s="70"/>
      <c r="D50" s="71"/>
      <c r="E50" s="70"/>
      <c r="F50" s="71"/>
    </row>
    <row r="51" spans="1:6" x14ac:dyDescent="0.25">
      <c r="A51" s="65" t="s">
        <v>15</v>
      </c>
      <c r="B51" s="66">
        <f>B48+B49</f>
        <v>0</v>
      </c>
      <c r="C51" s="66">
        <f>C48+C49</f>
        <v>22275541</v>
      </c>
      <c r="D51" s="66">
        <f>D48+D49</f>
        <v>0</v>
      </c>
      <c r="E51" s="66">
        <f>E48+E49</f>
        <v>22275541</v>
      </c>
      <c r="F51" s="66">
        <f>F43+F48+F49</f>
        <v>1240.0651281537844</v>
      </c>
    </row>
    <row r="52" spans="1:6" x14ac:dyDescent="0.25">
      <c r="A52" s="10"/>
      <c r="B52" s="11"/>
      <c r="C52" s="12"/>
      <c r="D52" s="12"/>
      <c r="E52" s="12"/>
      <c r="F52" s="12"/>
    </row>
    <row r="53" spans="1:6" x14ac:dyDescent="0.25">
      <c r="A53" s="13" t="s">
        <v>16</v>
      </c>
      <c r="B53" s="13"/>
      <c r="C53" s="13" t="s">
        <v>17</v>
      </c>
      <c r="D53" s="13"/>
      <c r="E53" s="13" t="s">
        <v>18</v>
      </c>
      <c r="F53" s="13"/>
    </row>
    <row r="54" spans="1:6" x14ac:dyDescent="0.25">
      <c r="A54" s="14" t="s">
        <v>19</v>
      </c>
      <c r="B54" s="14"/>
      <c r="C54" s="14" t="s">
        <v>19</v>
      </c>
      <c r="D54" s="14"/>
      <c r="E54" s="14" t="s">
        <v>20</v>
      </c>
      <c r="F54" s="14"/>
    </row>
  </sheetData>
  <mergeCells count="22">
    <mergeCell ref="E28:F28"/>
    <mergeCell ref="E1:F1"/>
    <mergeCell ref="E2:F2"/>
    <mergeCell ref="E3:F3"/>
    <mergeCell ref="E4:F4"/>
    <mergeCell ref="A5:F5"/>
    <mergeCell ref="A6:F6"/>
    <mergeCell ref="A12:A13"/>
    <mergeCell ref="B12:B13"/>
    <mergeCell ref="C12:C13"/>
    <mergeCell ref="D12:D13"/>
    <mergeCell ref="E12:F12"/>
    <mergeCell ref="A39:A40"/>
    <mergeCell ref="B39:B40"/>
    <mergeCell ref="C39:C40"/>
    <mergeCell ref="D39:D40"/>
    <mergeCell ref="E39:F39"/>
    <mergeCell ref="E29:F29"/>
    <mergeCell ref="E30:F30"/>
    <mergeCell ref="E31:F31"/>
    <mergeCell ref="A32:F32"/>
    <mergeCell ref="A33:F33"/>
  </mergeCells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4"/>
  <sheetViews>
    <sheetView topLeftCell="A31" workbookViewId="0">
      <selection activeCell="D48" sqref="D48"/>
    </sheetView>
  </sheetViews>
  <sheetFormatPr defaultRowHeight="15.75" x14ac:dyDescent="0.25"/>
  <cols>
    <col min="1" max="1" width="45" style="1" customWidth="1"/>
    <col min="2" max="2" width="13" style="1" customWidth="1"/>
    <col min="3" max="4" width="13.75" style="1" customWidth="1"/>
    <col min="5" max="6" width="15.5" style="1" customWidth="1"/>
    <col min="7" max="7" width="13.75" style="1" customWidth="1"/>
    <col min="8" max="256" width="9" style="1"/>
    <col min="257" max="260" width="13.75" style="1" customWidth="1"/>
    <col min="261" max="262" width="15.5" style="1" customWidth="1"/>
    <col min="263" max="263" width="13.75" style="1" customWidth="1"/>
    <col min="264" max="512" width="9" style="1"/>
    <col min="513" max="516" width="13.75" style="1" customWidth="1"/>
    <col min="517" max="518" width="15.5" style="1" customWidth="1"/>
    <col min="519" max="519" width="13.75" style="1" customWidth="1"/>
    <col min="520" max="768" width="9" style="1"/>
    <col min="769" max="772" width="13.75" style="1" customWidth="1"/>
    <col min="773" max="774" width="15.5" style="1" customWidth="1"/>
    <col min="775" max="775" width="13.75" style="1" customWidth="1"/>
    <col min="776" max="1024" width="9" style="1"/>
    <col min="1025" max="1028" width="13.75" style="1" customWidth="1"/>
    <col min="1029" max="1030" width="15.5" style="1" customWidth="1"/>
    <col min="1031" max="1031" width="13.75" style="1" customWidth="1"/>
    <col min="1032" max="1280" width="9" style="1"/>
    <col min="1281" max="1284" width="13.75" style="1" customWidth="1"/>
    <col min="1285" max="1286" width="15.5" style="1" customWidth="1"/>
    <col min="1287" max="1287" width="13.75" style="1" customWidth="1"/>
    <col min="1288" max="1536" width="9" style="1"/>
    <col min="1537" max="1540" width="13.75" style="1" customWidth="1"/>
    <col min="1541" max="1542" width="15.5" style="1" customWidth="1"/>
    <col min="1543" max="1543" width="13.75" style="1" customWidth="1"/>
    <col min="1544" max="1792" width="9" style="1"/>
    <col min="1793" max="1796" width="13.75" style="1" customWidth="1"/>
    <col min="1797" max="1798" width="15.5" style="1" customWidth="1"/>
    <col min="1799" max="1799" width="13.75" style="1" customWidth="1"/>
    <col min="1800" max="2048" width="9" style="1"/>
    <col min="2049" max="2052" width="13.75" style="1" customWidth="1"/>
    <col min="2053" max="2054" width="15.5" style="1" customWidth="1"/>
    <col min="2055" max="2055" width="13.75" style="1" customWidth="1"/>
    <col min="2056" max="2304" width="9" style="1"/>
    <col min="2305" max="2308" width="13.75" style="1" customWidth="1"/>
    <col min="2309" max="2310" width="15.5" style="1" customWidth="1"/>
    <col min="2311" max="2311" width="13.75" style="1" customWidth="1"/>
    <col min="2312" max="2560" width="9" style="1"/>
    <col min="2561" max="2564" width="13.75" style="1" customWidth="1"/>
    <col min="2565" max="2566" width="15.5" style="1" customWidth="1"/>
    <col min="2567" max="2567" width="13.75" style="1" customWidth="1"/>
    <col min="2568" max="2816" width="9" style="1"/>
    <col min="2817" max="2820" width="13.75" style="1" customWidth="1"/>
    <col min="2821" max="2822" width="15.5" style="1" customWidth="1"/>
    <col min="2823" max="2823" width="13.75" style="1" customWidth="1"/>
    <col min="2824" max="3072" width="9" style="1"/>
    <col min="3073" max="3076" width="13.75" style="1" customWidth="1"/>
    <col min="3077" max="3078" width="15.5" style="1" customWidth="1"/>
    <col min="3079" max="3079" width="13.75" style="1" customWidth="1"/>
    <col min="3080" max="3328" width="9" style="1"/>
    <col min="3329" max="3332" width="13.75" style="1" customWidth="1"/>
    <col min="3333" max="3334" width="15.5" style="1" customWidth="1"/>
    <col min="3335" max="3335" width="13.75" style="1" customWidth="1"/>
    <col min="3336" max="3584" width="9" style="1"/>
    <col min="3585" max="3588" width="13.75" style="1" customWidth="1"/>
    <col min="3589" max="3590" width="15.5" style="1" customWidth="1"/>
    <col min="3591" max="3591" width="13.75" style="1" customWidth="1"/>
    <col min="3592" max="3840" width="9" style="1"/>
    <col min="3841" max="3844" width="13.75" style="1" customWidth="1"/>
    <col min="3845" max="3846" width="15.5" style="1" customWidth="1"/>
    <col min="3847" max="3847" width="13.75" style="1" customWidth="1"/>
    <col min="3848" max="4096" width="9" style="1"/>
    <col min="4097" max="4100" width="13.75" style="1" customWidth="1"/>
    <col min="4101" max="4102" width="15.5" style="1" customWidth="1"/>
    <col min="4103" max="4103" width="13.75" style="1" customWidth="1"/>
    <col min="4104" max="4352" width="9" style="1"/>
    <col min="4353" max="4356" width="13.75" style="1" customWidth="1"/>
    <col min="4357" max="4358" width="15.5" style="1" customWidth="1"/>
    <col min="4359" max="4359" width="13.75" style="1" customWidth="1"/>
    <col min="4360" max="4608" width="9" style="1"/>
    <col min="4609" max="4612" width="13.75" style="1" customWidth="1"/>
    <col min="4613" max="4614" width="15.5" style="1" customWidth="1"/>
    <col min="4615" max="4615" width="13.75" style="1" customWidth="1"/>
    <col min="4616" max="4864" width="9" style="1"/>
    <col min="4865" max="4868" width="13.75" style="1" customWidth="1"/>
    <col min="4869" max="4870" width="15.5" style="1" customWidth="1"/>
    <col min="4871" max="4871" width="13.75" style="1" customWidth="1"/>
    <col min="4872" max="5120" width="9" style="1"/>
    <col min="5121" max="5124" width="13.75" style="1" customWidth="1"/>
    <col min="5125" max="5126" width="15.5" style="1" customWidth="1"/>
    <col min="5127" max="5127" width="13.75" style="1" customWidth="1"/>
    <col min="5128" max="5376" width="9" style="1"/>
    <col min="5377" max="5380" width="13.75" style="1" customWidth="1"/>
    <col min="5381" max="5382" width="15.5" style="1" customWidth="1"/>
    <col min="5383" max="5383" width="13.75" style="1" customWidth="1"/>
    <col min="5384" max="5632" width="9" style="1"/>
    <col min="5633" max="5636" width="13.75" style="1" customWidth="1"/>
    <col min="5637" max="5638" width="15.5" style="1" customWidth="1"/>
    <col min="5639" max="5639" width="13.75" style="1" customWidth="1"/>
    <col min="5640" max="5888" width="9" style="1"/>
    <col min="5889" max="5892" width="13.75" style="1" customWidth="1"/>
    <col min="5893" max="5894" width="15.5" style="1" customWidth="1"/>
    <col min="5895" max="5895" width="13.75" style="1" customWidth="1"/>
    <col min="5896" max="6144" width="9" style="1"/>
    <col min="6145" max="6148" width="13.75" style="1" customWidth="1"/>
    <col min="6149" max="6150" width="15.5" style="1" customWidth="1"/>
    <col min="6151" max="6151" width="13.75" style="1" customWidth="1"/>
    <col min="6152" max="6400" width="9" style="1"/>
    <col min="6401" max="6404" width="13.75" style="1" customWidth="1"/>
    <col min="6405" max="6406" width="15.5" style="1" customWidth="1"/>
    <col min="6407" max="6407" width="13.75" style="1" customWidth="1"/>
    <col min="6408" max="6656" width="9" style="1"/>
    <col min="6657" max="6660" width="13.75" style="1" customWidth="1"/>
    <col min="6661" max="6662" width="15.5" style="1" customWidth="1"/>
    <col min="6663" max="6663" width="13.75" style="1" customWidth="1"/>
    <col min="6664" max="6912" width="9" style="1"/>
    <col min="6913" max="6916" width="13.75" style="1" customWidth="1"/>
    <col min="6917" max="6918" width="15.5" style="1" customWidth="1"/>
    <col min="6919" max="6919" width="13.75" style="1" customWidth="1"/>
    <col min="6920" max="7168" width="9" style="1"/>
    <col min="7169" max="7172" width="13.75" style="1" customWidth="1"/>
    <col min="7173" max="7174" width="15.5" style="1" customWidth="1"/>
    <col min="7175" max="7175" width="13.75" style="1" customWidth="1"/>
    <col min="7176" max="7424" width="9" style="1"/>
    <col min="7425" max="7428" width="13.75" style="1" customWidth="1"/>
    <col min="7429" max="7430" width="15.5" style="1" customWidth="1"/>
    <col min="7431" max="7431" width="13.75" style="1" customWidth="1"/>
    <col min="7432" max="7680" width="9" style="1"/>
    <col min="7681" max="7684" width="13.75" style="1" customWidth="1"/>
    <col min="7685" max="7686" width="15.5" style="1" customWidth="1"/>
    <col min="7687" max="7687" width="13.75" style="1" customWidth="1"/>
    <col min="7688" max="7936" width="9" style="1"/>
    <col min="7937" max="7940" width="13.75" style="1" customWidth="1"/>
    <col min="7941" max="7942" width="15.5" style="1" customWidth="1"/>
    <col min="7943" max="7943" width="13.75" style="1" customWidth="1"/>
    <col min="7944" max="8192" width="9" style="1"/>
    <col min="8193" max="8196" width="13.75" style="1" customWidth="1"/>
    <col min="8197" max="8198" width="15.5" style="1" customWidth="1"/>
    <col min="8199" max="8199" width="13.75" style="1" customWidth="1"/>
    <col min="8200" max="8448" width="9" style="1"/>
    <col min="8449" max="8452" width="13.75" style="1" customWidth="1"/>
    <col min="8453" max="8454" width="15.5" style="1" customWidth="1"/>
    <col min="8455" max="8455" width="13.75" style="1" customWidth="1"/>
    <col min="8456" max="8704" width="9" style="1"/>
    <col min="8705" max="8708" width="13.75" style="1" customWidth="1"/>
    <col min="8709" max="8710" width="15.5" style="1" customWidth="1"/>
    <col min="8711" max="8711" width="13.75" style="1" customWidth="1"/>
    <col min="8712" max="8960" width="9" style="1"/>
    <col min="8961" max="8964" width="13.75" style="1" customWidth="1"/>
    <col min="8965" max="8966" width="15.5" style="1" customWidth="1"/>
    <col min="8967" max="8967" width="13.75" style="1" customWidth="1"/>
    <col min="8968" max="9216" width="9" style="1"/>
    <col min="9217" max="9220" width="13.75" style="1" customWidth="1"/>
    <col min="9221" max="9222" width="15.5" style="1" customWidth="1"/>
    <col min="9223" max="9223" width="13.75" style="1" customWidth="1"/>
    <col min="9224" max="9472" width="9" style="1"/>
    <col min="9473" max="9476" width="13.75" style="1" customWidth="1"/>
    <col min="9477" max="9478" width="15.5" style="1" customWidth="1"/>
    <col min="9479" max="9479" width="13.75" style="1" customWidth="1"/>
    <col min="9480" max="9728" width="9" style="1"/>
    <col min="9729" max="9732" width="13.75" style="1" customWidth="1"/>
    <col min="9733" max="9734" width="15.5" style="1" customWidth="1"/>
    <col min="9735" max="9735" width="13.75" style="1" customWidth="1"/>
    <col min="9736" max="9984" width="9" style="1"/>
    <col min="9985" max="9988" width="13.75" style="1" customWidth="1"/>
    <col min="9989" max="9990" width="15.5" style="1" customWidth="1"/>
    <col min="9991" max="9991" width="13.75" style="1" customWidth="1"/>
    <col min="9992" max="10240" width="9" style="1"/>
    <col min="10241" max="10244" width="13.75" style="1" customWidth="1"/>
    <col min="10245" max="10246" width="15.5" style="1" customWidth="1"/>
    <col min="10247" max="10247" width="13.75" style="1" customWidth="1"/>
    <col min="10248" max="10496" width="9" style="1"/>
    <col min="10497" max="10500" width="13.75" style="1" customWidth="1"/>
    <col min="10501" max="10502" width="15.5" style="1" customWidth="1"/>
    <col min="10503" max="10503" width="13.75" style="1" customWidth="1"/>
    <col min="10504" max="10752" width="9" style="1"/>
    <col min="10753" max="10756" width="13.75" style="1" customWidth="1"/>
    <col min="10757" max="10758" width="15.5" style="1" customWidth="1"/>
    <col min="10759" max="10759" width="13.75" style="1" customWidth="1"/>
    <col min="10760" max="11008" width="9" style="1"/>
    <col min="11009" max="11012" width="13.75" style="1" customWidth="1"/>
    <col min="11013" max="11014" width="15.5" style="1" customWidth="1"/>
    <col min="11015" max="11015" width="13.75" style="1" customWidth="1"/>
    <col min="11016" max="11264" width="9" style="1"/>
    <col min="11265" max="11268" width="13.75" style="1" customWidth="1"/>
    <col min="11269" max="11270" width="15.5" style="1" customWidth="1"/>
    <col min="11271" max="11271" width="13.75" style="1" customWidth="1"/>
    <col min="11272" max="11520" width="9" style="1"/>
    <col min="11521" max="11524" width="13.75" style="1" customWidth="1"/>
    <col min="11525" max="11526" width="15.5" style="1" customWidth="1"/>
    <col min="11527" max="11527" width="13.75" style="1" customWidth="1"/>
    <col min="11528" max="11776" width="9" style="1"/>
    <col min="11777" max="11780" width="13.75" style="1" customWidth="1"/>
    <col min="11781" max="11782" width="15.5" style="1" customWidth="1"/>
    <col min="11783" max="11783" width="13.75" style="1" customWidth="1"/>
    <col min="11784" max="12032" width="9" style="1"/>
    <col min="12033" max="12036" width="13.75" style="1" customWidth="1"/>
    <col min="12037" max="12038" width="15.5" style="1" customWidth="1"/>
    <col min="12039" max="12039" width="13.75" style="1" customWidth="1"/>
    <col min="12040" max="12288" width="9" style="1"/>
    <col min="12289" max="12292" width="13.75" style="1" customWidth="1"/>
    <col min="12293" max="12294" width="15.5" style="1" customWidth="1"/>
    <col min="12295" max="12295" width="13.75" style="1" customWidth="1"/>
    <col min="12296" max="12544" width="9" style="1"/>
    <col min="12545" max="12548" width="13.75" style="1" customWidth="1"/>
    <col min="12549" max="12550" width="15.5" style="1" customWidth="1"/>
    <col min="12551" max="12551" width="13.75" style="1" customWidth="1"/>
    <col min="12552" max="12800" width="9" style="1"/>
    <col min="12801" max="12804" width="13.75" style="1" customWidth="1"/>
    <col min="12805" max="12806" width="15.5" style="1" customWidth="1"/>
    <col min="12807" max="12807" width="13.75" style="1" customWidth="1"/>
    <col min="12808" max="13056" width="9" style="1"/>
    <col min="13057" max="13060" width="13.75" style="1" customWidth="1"/>
    <col min="13061" max="13062" width="15.5" style="1" customWidth="1"/>
    <col min="13063" max="13063" width="13.75" style="1" customWidth="1"/>
    <col min="13064" max="13312" width="9" style="1"/>
    <col min="13313" max="13316" width="13.75" style="1" customWidth="1"/>
    <col min="13317" max="13318" width="15.5" style="1" customWidth="1"/>
    <col min="13319" max="13319" width="13.75" style="1" customWidth="1"/>
    <col min="13320" max="13568" width="9" style="1"/>
    <col min="13569" max="13572" width="13.75" style="1" customWidth="1"/>
    <col min="13573" max="13574" width="15.5" style="1" customWidth="1"/>
    <col min="13575" max="13575" width="13.75" style="1" customWidth="1"/>
    <col min="13576" max="13824" width="9" style="1"/>
    <col min="13825" max="13828" width="13.75" style="1" customWidth="1"/>
    <col min="13829" max="13830" width="15.5" style="1" customWidth="1"/>
    <col min="13831" max="13831" width="13.75" style="1" customWidth="1"/>
    <col min="13832" max="14080" width="9" style="1"/>
    <col min="14081" max="14084" width="13.75" style="1" customWidth="1"/>
    <col min="14085" max="14086" width="15.5" style="1" customWidth="1"/>
    <col min="14087" max="14087" width="13.75" style="1" customWidth="1"/>
    <col min="14088" max="14336" width="9" style="1"/>
    <col min="14337" max="14340" width="13.75" style="1" customWidth="1"/>
    <col min="14341" max="14342" width="15.5" style="1" customWidth="1"/>
    <col min="14343" max="14343" width="13.75" style="1" customWidth="1"/>
    <col min="14344" max="14592" width="9" style="1"/>
    <col min="14593" max="14596" width="13.75" style="1" customWidth="1"/>
    <col min="14597" max="14598" width="15.5" style="1" customWidth="1"/>
    <col min="14599" max="14599" width="13.75" style="1" customWidth="1"/>
    <col min="14600" max="14848" width="9" style="1"/>
    <col min="14849" max="14852" width="13.75" style="1" customWidth="1"/>
    <col min="14853" max="14854" width="15.5" style="1" customWidth="1"/>
    <col min="14855" max="14855" width="13.75" style="1" customWidth="1"/>
    <col min="14856" max="15104" width="9" style="1"/>
    <col min="15105" max="15108" width="13.75" style="1" customWidth="1"/>
    <col min="15109" max="15110" width="15.5" style="1" customWidth="1"/>
    <col min="15111" max="15111" width="13.75" style="1" customWidth="1"/>
    <col min="15112" max="15360" width="9" style="1"/>
    <col min="15361" max="15364" width="13.75" style="1" customWidth="1"/>
    <col min="15365" max="15366" width="15.5" style="1" customWidth="1"/>
    <col min="15367" max="15367" width="13.75" style="1" customWidth="1"/>
    <col min="15368" max="15616" width="9" style="1"/>
    <col min="15617" max="15620" width="13.75" style="1" customWidth="1"/>
    <col min="15621" max="15622" width="15.5" style="1" customWidth="1"/>
    <col min="15623" max="15623" width="13.75" style="1" customWidth="1"/>
    <col min="15624" max="15872" width="9" style="1"/>
    <col min="15873" max="15876" width="13.75" style="1" customWidth="1"/>
    <col min="15877" max="15878" width="15.5" style="1" customWidth="1"/>
    <col min="15879" max="15879" width="13.75" style="1" customWidth="1"/>
    <col min="15880" max="16128" width="9" style="1"/>
    <col min="16129" max="16132" width="13.75" style="1" customWidth="1"/>
    <col min="16133" max="16134" width="15.5" style="1" customWidth="1"/>
    <col min="16135" max="16135" width="13.75" style="1" customWidth="1"/>
    <col min="16136" max="16384" width="9" style="1"/>
  </cols>
  <sheetData>
    <row r="1" spans="1:6" ht="15.75" customHeight="1" x14ac:dyDescent="0.25">
      <c r="A1" s="1" t="str">
        <f>'THONG TIN'!C3</f>
        <v>Công ty TNHH Thuận An</v>
      </c>
      <c r="E1" s="108" t="s">
        <v>1</v>
      </c>
      <c r="F1" s="108"/>
    </row>
    <row r="2" spans="1:6" ht="15.75" customHeight="1" x14ac:dyDescent="0.25">
      <c r="A2" s="1" t="str">
        <f>'THONG TIN'!C4</f>
        <v>Ấp Chồng Nô 3, Xã Hòa Tân, Huyện Cầu Kè, Tỉnh Trà Vinh</v>
      </c>
      <c r="E2" s="101" t="s">
        <v>2</v>
      </c>
      <c r="F2" s="101"/>
    </row>
    <row r="3" spans="1:6" ht="15.75" customHeight="1" x14ac:dyDescent="0.25">
      <c r="E3" s="101" t="s">
        <v>53</v>
      </c>
      <c r="F3" s="101"/>
    </row>
    <row r="4" spans="1:6" x14ac:dyDescent="0.25">
      <c r="E4" s="101" t="s">
        <v>3</v>
      </c>
      <c r="F4" s="101"/>
    </row>
    <row r="5" spans="1:6" ht="18" x14ac:dyDescent="0.25">
      <c r="A5" s="102" t="s">
        <v>4</v>
      </c>
      <c r="B5" s="102"/>
      <c r="C5" s="102"/>
      <c r="D5" s="102"/>
      <c r="E5" s="102"/>
      <c r="F5" s="102"/>
    </row>
    <row r="6" spans="1:6" x14ac:dyDescent="0.25">
      <c r="A6" s="103" t="s">
        <v>78</v>
      </c>
      <c r="B6" s="103"/>
      <c r="C6" s="103"/>
      <c r="D6" s="103"/>
      <c r="E6" s="103"/>
      <c r="F6" s="103"/>
    </row>
    <row r="7" spans="1:6" x14ac:dyDescent="0.25">
      <c r="B7" s="1" t="s">
        <v>72</v>
      </c>
      <c r="C7" s="52" t="s">
        <v>68</v>
      </c>
    </row>
    <row r="8" spans="1:6" x14ac:dyDescent="0.25">
      <c r="B8" s="2" t="s">
        <v>55</v>
      </c>
      <c r="C8" s="3"/>
      <c r="D8" s="3"/>
      <c r="E8" s="53"/>
      <c r="F8" s="3"/>
    </row>
    <row r="9" spans="1:6" x14ac:dyDescent="0.25">
      <c r="B9" s="2" t="s">
        <v>56</v>
      </c>
      <c r="C9" s="3"/>
      <c r="D9" s="3"/>
      <c r="E9" s="56">
        <v>8032</v>
      </c>
      <c r="F9" s="3"/>
    </row>
    <row r="10" spans="1:6" x14ac:dyDescent="0.25">
      <c r="B10" s="2" t="s">
        <v>54</v>
      </c>
      <c r="C10" s="3"/>
      <c r="D10" s="3"/>
      <c r="E10" s="3"/>
      <c r="F10" s="3"/>
    </row>
    <row r="12" spans="1:6" x14ac:dyDescent="0.25">
      <c r="A12" s="104" t="s">
        <v>5</v>
      </c>
      <c r="B12" s="104" t="s">
        <v>6</v>
      </c>
      <c r="C12" s="104" t="s">
        <v>7</v>
      </c>
      <c r="D12" s="104" t="s">
        <v>8</v>
      </c>
      <c r="E12" s="106" t="s">
        <v>9</v>
      </c>
      <c r="F12" s="107"/>
    </row>
    <row r="13" spans="1:6" ht="15.75" customHeight="1" x14ac:dyDescent="0.25">
      <c r="A13" s="105"/>
      <c r="B13" s="105"/>
      <c r="C13" s="105"/>
      <c r="D13" s="105"/>
      <c r="E13" s="4" t="s">
        <v>10</v>
      </c>
      <c r="F13" s="4" t="s">
        <v>11</v>
      </c>
    </row>
    <row r="14" spans="1:6" x14ac:dyDescent="0.25">
      <c r="A14" s="5" t="s">
        <v>12</v>
      </c>
      <c r="B14" s="6"/>
      <c r="C14" s="6"/>
      <c r="D14" s="6"/>
      <c r="E14" s="6"/>
      <c r="F14" s="6"/>
    </row>
    <row r="15" spans="1:6" x14ac:dyDescent="0.25">
      <c r="A15" s="15"/>
      <c r="B15" s="16"/>
      <c r="C15" s="16"/>
      <c r="D15" s="16"/>
      <c r="E15" s="16"/>
      <c r="F15" s="16"/>
    </row>
    <row r="16" spans="1:6" x14ac:dyDescent="0.25">
      <c r="A16" s="7" t="s">
        <v>13</v>
      </c>
      <c r="B16" s="8"/>
      <c r="C16" s="8">
        <f>16128000/12</f>
        <v>1344000</v>
      </c>
      <c r="D16" s="8"/>
      <c r="E16" s="8">
        <f>C16</f>
        <v>1344000</v>
      </c>
      <c r="F16" s="8">
        <f>E16/E9</f>
        <v>167.33067729083666</v>
      </c>
    </row>
    <row r="17" spans="1:6" x14ac:dyDescent="0.25">
      <c r="A17" s="7"/>
      <c r="B17" s="8"/>
      <c r="C17" s="8"/>
      <c r="D17" s="8"/>
      <c r="E17" s="8"/>
      <c r="F17" s="8"/>
    </row>
    <row r="18" spans="1:6" x14ac:dyDescent="0.25">
      <c r="A18" s="7" t="s">
        <v>14</v>
      </c>
      <c r="B18" s="8"/>
      <c r="C18" s="8"/>
      <c r="D18" s="8"/>
      <c r="E18" s="9"/>
      <c r="F18" s="9"/>
    </row>
    <row r="19" spans="1:6" x14ac:dyDescent="0.25">
      <c r="A19" s="17"/>
      <c r="B19" s="18"/>
      <c r="C19" s="18"/>
      <c r="D19" s="18"/>
      <c r="E19" s="19"/>
      <c r="F19" s="19"/>
    </row>
    <row r="20" spans="1:6" x14ac:dyDescent="0.25">
      <c r="A20" s="7" t="s">
        <v>0</v>
      </c>
      <c r="B20" s="8"/>
      <c r="C20" s="8"/>
      <c r="D20" s="8"/>
      <c r="E20" s="8"/>
      <c r="F20" s="8"/>
    </row>
    <row r="21" spans="1:6" x14ac:dyDescent="0.25">
      <c r="A21" s="22" t="s">
        <v>71</v>
      </c>
      <c r="B21" s="23"/>
      <c r="C21" s="23">
        <f>12823592+(B21/12)</f>
        <v>12823592</v>
      </c>
      <c r="D21" s="23">
        <f>B21-(B21/12)*3</f>
        <v>0</v>
      </c>
      <c r="E21" s="23">
        <f>B21+C21-D21</f>
        <v>12823592</v>
      </c>
      <c r="F21" s="23">
        <f>E21/E9</f>
        <v>1596.562749003984</v>
      </c>
    </row>
    <row r="22" spans="1:6" x14ac:dyDescent="0.25">
      <c r="A22" s="20"/>
      <c r="B22" s="21"/>
      <c r="C22" s="21"/>
      <c r="D22" s="21"/>
      <c r="E22" s="21"/>
      <c r="F22" s="21"/>
    </row>
    <row r="23" spans="1:6" x14ac:dyDescent="0.25">
      <c r="A23" s="54" t="s">
        <v>15</v>
      </c>
      <c r="B23" s="55">
        <f>B21+B22</f>
        <v>0</v>
      </c>
      <c r="C23" s="55">
        <f>C21+C22</f>
        <v>12823592</v>
      </c>
      <c r="D23" s="55">
        <f>D21+D22</f>
        <v>0</v>
      </c>
      <c r="E23" s="55">
        <f>E21+E22</f>
        <v>12823592</v>
      </c>
      <c r="F23" s="55">
        <f>F16+F21</f>
        <v>1763.8934262948205</v>
      </c>
    </row>
    <row r="25" spans="1:6" x14ac:dyDescent="0.25">
      <c r="A25" s="13" t="s">
        <v>16</v>
      </c>
      <c r="B25" s="13"/>
      <c r="C25" s="13" t="s">
        <v>17</v>
      </c>
      <c r="D25" s="13"/>
      <c r="E25" s="13" t="s">
        <v>18</v>
      </c>
      <c r="F25" s="13"/>
    </row>
    <row r="26" spans="1:6" x14ac:dyDescent="0.25">
      <c r="A26" s="14" t="s">
        <v>19</v>
      </c>
      <c r="B26" s="14"/>
      <c r="C26" s="14" t="s">
        <v>19</v>
      </c>
      <c r="D26" s="14"/>
      <c r="E26" s="14" t="s">
        <v>20</v>
      </c>
      <c r="F26" s="14"/>
    </row>
    <row r="27" spans="1:6" x14ac:dyDescent="0.25">
      <c r="A27" s="14"/>
      <c r="B27" s="14"/>
      <c r="C27" s="14"/>
      <c r="D27" s="14"/>
      <c r="E27" s="14"/>
      <c r="F27" s="14"/>
    </row>
    <row r="28" spans="1:6" ht="15.75" customHeight="1" x14ac:dyDescent="0.25">
      <c r="A28" s="1" t="str">
        <f>A1</f>
        <v>Công ty TNHH Thuận An</v>
      </c>
      <c r="E28" s="108" t="s">
        <v>1</v>
      </c>
      <c r="F28" s="108"/>
    </row>
    <row r="29" spans="1:6" ht="15.75" customHeight="1" x14ac:dyDescent="0.25">
      <c r="A29" s="1" t="str">
        <f>A2</f>
        <v>Ấp Chồng Nô 3, Xã Hòa Tân, Huyện Cầu Kè, Tỉnh Trà Vinh</v>
      </c>
      <c r="E29" s="101" t="s">
        <v>2</v>
      </c>
      <c r="F29" s="101"/>
    </row>
    <row r="30" spans="1:6" ht="15.75" customHeight="1" x14ac:dyDescent="0.25">
      <c r="E30" s="101" t="s">
        <v>53</v>
      </c>
      <c r="F30" s="101"/>
    </row>
    <row r="31" spans="1:6" x14ac:dyDescent="0.25">
      <c r="E31" s="101" t="s">
        <v>3</v>
      </c>
      <c r="F31" s="101"/>
    </row>
    <row r="32" spans="1:6" ht="18" x14ac:dyDescent="0.25">
      <c r="A32" s="102" t="s">
        <v>4</v>
      </c>
      <c r="B32" s="102"/>
      <c r="C32" s="102"/>
      <c r="D32" s="102"/>
      <c r="E32" s="102"/>
      <c r="F32" s="102"/>
    </row>
    <row r="33" spans="1:6" x14ac:dyDescent="0.25">
      <c r="A33" s="103" t="s">
        <v>78</v>
      </c>
      <c r="B33" s="103"/>
      <c r="C33" s="103"/>
      <c r="D33" s="103"/>
      <c r="E33" s="103"/>
      <c r="F33" s="103"/>
    </row>
    <row r="34" spans="1:6" x14ac:dyDescent="0.25">
      <c r="B34" s="1" t="s">
        <v>72</v>
      </c>
      <c r="C34" s="52" t="s">
        <v>69</v>
      </c>
    </row>
    <row r="35" spans="1:6" x14ac:dyDescent="0.25">
      <c r="B35" s="2" t="s">
        <v>55</v>
      </c>
      <c r="C35" s="3"/>
      <c r="D35" s="3"/>
      <c r="E35" s="53"/>
      <c r="F35" s="3"/>
    </row>
    <row r="36" spans="1:6" x14ac:dyDescent="0.25">
      <c r="B36" s="2" t="s">
        <v>56</v>
      </c>
      <c r="C36" s="3"/>
      <c r="D36" s="3"/>
      <c r="E36" s="56">
        <v>19432</v>
      </c>
      <c r="F36" s="3"/>
    </row>
    <row r="37" spans="1:6" x14ac:dyDescent="0.25">
      <c r="B37" s="2" t="s">
        <v>54</v>
      </c>
      <c r="C37" s="3"/>
      <c r="D37" s="3"/>
      <c r="E37" s="3"/>
      <c r="F37" s="3"/>
    </row>
    <row r="39" spans="1:6" x14ac:dyDescent="0.25">
      <c r="A39" s="104" t="s">
        <v>5</v>
      </c>
      <c r="B39" s="104" t="s">
        <v>6</v>
      </c>
      <c r="C39" s="104" t="s">
        <v>7</v>
      </c>
      <c r="D39" s="104" t="s">
        <v>8</v>
      </c>
      <c r="E39" s="106" t="s">
        <v>9</v>
      </c>
      <c r="F39" s="107"/>
    </row>
    <row r="40" spans="1:6" ht="15.75" customHeight="1" x14ac:dyDescent="0.25">
      <c r="A40" s="105"/>
      <c r="B40" s="105"/>
      <c r="C40" s="105"/>
      <c r="D40" s="105"/>
      <c r="E40" s="4" t="s">
        <v>10</v>
      </c>
      <c r="F40" s="4" t="s">
        <v>11</v>
      </c>
    </row>
    <row r="41" spans="1:6" x14ac:dyDescent="0.25">
      <c r="A41" s="5" t="s">
        <v>12</v>
      </c>
      <c r="B41" s="6"/>
      <c r="C41" s="6"/>
      <c r="D41" s="6"/>
      <c r="E41" s="6"/>
      <c r="F41" s="6"/>
    </row>
    <row r="42" spans="1:6" x14ac:dyDescent="0.25">
      <c r="A42" s="15"/>
      <c r="B42" s="16"/>
      <c r="C42" s="16"/>
      <c r="D42" s="16"/>
      <c r="E42" s="16"/>
      <c r="F42" s="16"/>
    </row>
    <row r="43" spans="1:6" x14ac:dyDescent="0.25">
      <c r="A43" s="7" t="s">
        <v>13</v>
      </c>
      <c r="B43" s="8"/>
      <c r="C43" s="8">
        <f>29952000/12</f>
        <v>2496000</v>
      </c>
      <c r="D43" s="8"/>
      <c r="E43" s="8">
        <f>C43</f>
        <v>2496000</v>
      </c>
      <c r="F43" s="8">
        <f>E43/E36</f>
        <v>128.44792095512557</v>
      </c>
    </row>
    <row r="44" spans="1:6" x14ac:dyDescent="0.25">
      <c r="A44" s="7"/>
      <c r="B44" s="8"/>
      <c r="C44" s="8"/>
      <c r="D44" s="8"/>
      <c r="E44" s="8"/>
      <c r="F44" s="8"/>
    </row>
    <row r="45" spans="1:6" x14ac:dyDescent="0.25">
      <c r="A45" s="7" t="s">
        <v>14</v>
      </c>
      <c r="B45" s="8"/>
      <c r="C45" s="8"/>
      <c r="D45" s="8"/>
      <c r="E45" s="9"/>
      <c r="F45" s="9"/>
    </row>
    <row r="46" spans="1:6" x14ac:dyDescent="0.25">
      <c r="A46" s="17"/>
      <c r="B46" s="18"/>
      <c r="C46" s="18"/>
      <c r="D46" s="18"/>
      <c r="E46" s="19"/>
      <c r="F46" s="19"/>
    </row>
    <row r="47" spans="1:6" x14ac:dyDescent="0.25">
      <c r="A47" s="7" t="s">
        <v>0</v>
      </c>
      <c r="B47" s="8"/>
      <c r="C47" s="74"/>
      <c r="D47" s="74"/>
      <c r="E47" s="8"/>
      <c r="F47" s="8"/>
    </row>
    <row r="48" spans="1:6" x14ac:dyDescent="0.25">
      <c r="A48" s="72" t="s">
        <v>71</v>
      </c>
      <c r="B48" s="74"/>
      <c r="C48" s="74">
        <v>21449563</v>
      </c>
      <c r="D48" s="74">
        <f>B48-(B48/12)*3</f>
        <v>0</v>
      </c>
      <c r="E48" s="74">
        <f>B48+C48-D48</f>
        <v>21449563</v>
      </c>
      <c r="F48" s="8">
        <f>E48/E36</f>
        <v>1103.8268320296418</v>
      </c>
    </row>
    <row r="49" spans="1:6" x14ac:dyDescent="0.25">
      <c r="A49" s="72" t="s">
        <v>73</v>
      </c>
      <c r="B49" s="74"/>
      <c r="C49" s="74">
        <f>825978+(B49/12)</f>
        <v>825978</v>
      </c>
      <c r="D49" s="74"/>
      <c r="E49" s="74">
        <f>B49+C49-D49</f>
        <v>825978</v>
      </c>
      <c r="F49" s="8">
        <f>E49/E36</f>
        <v>42.506072457801565</v>
      </c>
    </row>
    <row r="50" spans="1:6" x14ac:dyDescent="0.25">
      <c r="A50" s="73"/>
      <c r="B50" s="75"/>
      <c r="C50" s="75"/>
      <c r="D50" s="75"/>
      <c r="E50" s="75"/>
      <c r="F50" s="70"/>
    </row>
    <row r="51" spans="1:6" x14ac:dyDescent="0.25">
      <c r="A51" s="4" t="s">
        <v>15</v>
      </c>
      <c r="B51" s="55">
        <f>B48+B49</f>
        <v>0</v>
      </c>
      <c r="C51" s="55">
        <f>C48+C49+C50</f>
        <v>22275541</v>
      </c>
      <c r="D51" s="55">
        <f>D48+D49</f>
        <v>0</v>
      </c>
      <c r="E51" s="55">
        <f>E48+E49+E50</f>
        <v>22275541</v>
      </c>
      <c r="F51" s="55">
        <f>F43+F48+F49+F50</f>
        <v>1274.7808254425688</v>
      </c>
    </row>
    <row r="52" spans="1:6" x14ac:dyDescent="0.25">
      <c r="A52" s="10"/>
      <c r="B52" s="11"/>
      <c r="C52" s="12"/>
      <c r="D52" s="12"/>
      <c r="E52" s="12"/>
      <c r="F52" s="12"/>
    </row>
    <row r="53" spans="1:6" x14ac:dyDescent="0.25">
      <c r="A53" s="13" t="s">
        <v>16</v>
      </c>
      <c r="B53" s="13"/>
      <c r="C53" s="13" t="s">
        <v>17</v>
      </c>
      <c r="D53" s="13"/>
      <c r="E53" s="13" t="s">
        <v>18</v>
      </c>
      <c r="F53" s="13"/>
    </row>
    <row r="54" spans="1:6" x14ac:dyDescent="0.25">
      <c r="A54" s="14" t="s">
        <v>19</v>
      </c>
      <c r="B54" s="14"/>
      <c r="C54" s="14" t="s">
        <v>19</v>
      </c>
      <c r="D54" s="14"/>
      <c r="E54" s="14" t="s">
        <v>20</v>
      </c>
      <c r="F54" s="14"/>
    </row>
  </sheetData>
  <mergeCells count="22">
    <mergeCell ref="E1:F1"/>
    <mergeCell ref="E2:F2"/>
    <mergeCell ref="E3:F3"/>
    <mergeCell ref="E4:F4"/>
    <mergeCell ref="A6:F6"/>
    <mergeCell ref="A5:F5"/>
    <mergeCell ref="E12:F12"/>
    <mergeCell ref="A32:F32"/>
    <mergeCell ref="A39:A40"/>
    <mergeCell ref="B39:B40"/>
    <mergeCell ref="C39:C40"/>
    <mergeCell ref="D39:D40"/>
    <mergeCell ref="E39:F39"/>
    <mergeCell ref="E29:F29"/>
    <mergeCell ref="E30:F30"/>
    <mergeCell ref="E31:F31"/>
    <mergeCell ref="A33:F33"/>
    <mergeCell ref="E28:F28"/>
    <mergeCell ref="A12:A13"/>
    <mergeCell ref="B12:B13"/>
    <mergeCell ref="C12:C13"/>
    <mergeCell ref="D12:D13"/>
  </mergeCells>
  <pageMargins left="0.25" right="0.25" top="0.75" bottom="0.75" header="0.3" footer="0.3"/>
  <pageSetup paperSize="9" orientation="landscape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4"/>
  <sheetViews>
    <sheetView topLeftCell="A31" workbookViewId="0">
      <selection activeCell="D48" sqref="D48"/>
    </sheetView>
  </sheetViews>
  <sheetFormatPr defaultRowHeight="15.75" x14ac:dyDescent="0.25"/>
  <cols>
    <col min="1" max="1" width="45" style="1" customWidth="1"/>
    <col min="2" max="2" width="13" style="1" customWidth="1"/>
    <col min="3" max="4" width="13.75" style="1" customWidth="1"/>
    <col min="5" max="6" width="15.5" style="1" customWidth="1"/>
    <col min="7" max="7" width="13.75" style="1" customWidth="1"/>
    <col min="8" max="256" width="9" style="1"/>
    <col min="257" max="260" width="13.75" style="1" customWidth="1"/>
    <col min="261" max="262" width="15.5" style="1" customWidth="1"/>
    <col min="263" max="263" width="13.75" style="1" customWidth="1"/>
    <col min="264" max="512" width="9" style="1"/>
    <col min="513" max="516" width="13.75" style="1" customWidth="1"/>
    <col min="517" max="518" width="15.5" style="1" customWidth="1"/>
    <col min="519" max="519" width="13.75" style="1" customWidth="1"/>
    <col min="520" max="768" width="9" style="1"/>
    <col min="769" max="772" width="13.75" style="1" customWidth="1"/>
    <col min="773" max="774" width="15.5" style="1" customWidth="1"/>
    <col min="775" max="775" width="13.75" style="1" customWidth="1"/>
    <col min="776" max="1024" width="9" style="1"/>
    <col min="1025" max="1028" width="13.75" style="1" customWidth="1"/>
    <col min="1029" max="1030" width="15.5" style="1" customWidth="1"/>
    <col min="1031" max="1031" width="13.75" style="1" customWidth="1"/>
    <col min="1032" max="1280" width="9" style="1"/>
    <col min="1281" max="1284" width="13.75" style="1" customWidth="1"/>
    <col min="1285" max="1286" width="15.5" style="1" customWidth="1"/>
    <col min="1287" max="1287" width="13.75" style="1" customWidth="1"/>
    <col min="1288" max="1536" width="9" style="1"/>
    <col min="1537" max="1540" width="13.75" style="1" customWidth="1"/>
    <col min="1541" max="1542" width="15.5" style="1" customWidth="1"/>
    <col min="1543" max="1543" width="13.75" style="1" customWidth="1"/>
    <col min="1544" max="1792" width="9" style="1"/>
    <col min="1793" max="1796" width="13.75" style="1" customWidth="1"/>
    <col min="1797" max="1798" width="15.5" style="1" customWidth="1"/>
    <col min="1799" max="1799" width="13.75" style="1" customWidth="1"/>
    <col min="1800" max="2048" width="9" style="1"/>
    <col min="2049" max="2052" width="13.75" style="1" customWidth="1"/>
    <col min="2053" max="2054" width="15.5" style="1" customWidth="1"/>
    <col min="2055" max="2055" width="13.75" style="1" customWidth="1"/>
    <col min="2056" max="2304" width="9" style="1"/>
    <col min="2305" max="2308" width="13.75" style="1" customWidth="1"/>
    <col min="2309" max="2310" width="15.5" style="1" customWidth="1"/>
    <col min="2311" max="2311" width="13.75" style="1" customWidth="1"/>
    <col min="2312" max="2560" width="9" style="1"/>
    <col min="2561" max="2564" width="13.75" style="1" customWidth="1"/>
    <col min="2565" max="2566" width="15.5" style="1" customWidth="1"/>
    <col min="2567" max="2567" width="13.75" style="1" customWidth="1"/>
    <col min="2568" max="2816" width="9" style="1"/>
    <col min="2817" max="2820" width="13.75" style="1" customWidth="1"/>
    <col min="2821" max="2822" width="15.5" style="1" customWidth="1"/>
    <col min="2823" max="2823" width="13.75" style="1" customWidth="1"/>
    <col min="2824" max="3072" width="9" style="1"/>
    <col min="3073" max="3076" width="13.75" style="1" customWidth="1"/>
    <col min="3077" max="3078" width="15.5" style="1" customWidth="1"/>
    <col min="3079" max="3079" width="13.75" style="1" customWidth="1"/>
    <col min="3080" max="3328" width="9" style="1"/>
    <col min="3329" max="3332" width="13.75" style="1" customWidth="1"/>
    <col min="3333" max="3334" width="15.5" style="1" customWidth="1"/>
    <col min="3335" max="3335" width="13.75" style="1" customWidth="1"/>
    <col min="3336" max="3584" width="9" style="1"/>
    <col min="3585" max="3588" width="13.75" style="1" customWidth="1"/>
    <col min="3589" max="3590" width="15.5" style="1" customWidth="1"/>
    <col min="3591" max="3591" width="13.75" style="1" customWidth="1"/>
    <col min="3592" max="3840" width="9" style="1"/>
    <col min="3841" max="3844" width="13.75" style="1" customWidth="1"/>
    <col min="3845" max="3846" width="15.5" style="1" customWidth="1"/>
    <col min="3847" max="3847" width="13.75" style="1" customWidth="1"/>
    <col min="3848" max="4096" width="9" style="1"/>
    <col min="4097" max="4100" width="13.75" style="1" customWidth="1"/>
    <col min="4101" max="4102" width="15.5" style="1" customWidth="1"/>
    <col min="4103" max="4103" width="13.75" style="1" customWidth="1"/>
    <col min="4104" max="4352" width="9" style="1"/>
    <col min="4353" max="4356" width="13.75" style="1" customWidth="1"/>
    <col min="4357" max="4358" width="15.5" style="1" customWidth="1"/>
    <col min="4359" max="4359" width="13.75" style="1" customWidth="1"/>
    <col min="4360" max="4608" width="9" style="1"/>
    <col min="4609" max="4612" width="13.75" style="1" customWidth="1"/>
    <col min="4613" max="4614" width="15.5" style="1" customWidth="1"/>
    <col min="4615" max="4615" width="13.75" style="1" customWidth="1"/>
    <col min="4616" max="4864" width="9" style="1"/>
    <col min="4865" max="4868" width="13.75" style="1" customWidth="1"/>
    <col min="4869" max="4870" width="15.5" style="1" customWidth="1"/>
    <col min="4871" max="4871" width="13.75" style="1" customWidth="1"/>
    <col min="4872" max="5120" width="9" style="1"/>
    <col min="5121" max="5124" width="13.75" style="1" customWidth="1"/>
    <col min="5125" max="5126" width="15.5" style="1" customWidth="1"/>
    <col min="5127" max="5127" width="13.75" style="1" customWidth="1"/>
    <col min="5128" max="5376" width="9" style="1"/>
    <col min="5377" max="5380" width="13.75" style="1" customWidth="1"/>
    <col min="5381" max="5382" width="15.5" style="1" customWidth="1"/>
    <col min="5383" max="5383" width="13.75" style="1" customWidth="1"/>
    <col min="5384" max="5632" width="9" style="1"/>
    <col min="5633" max="5636" width="13.75" style="1" customWidth="1"/>
    <col min="5637" max="5638" width="15.5" style="1" customWidth="1"/>
    <col min="5639" max="5639" width="13.75" style="1" customWidth="1"/>
    <col min="5640" max="5888" width="9" style="1"/>
    <col min="5889" max="5892" width="13.75" style="1" customWidth="1"/>
    <col min="5893" max="5894" width="15.5" style="1" customWidth="1"/>
    <col min="5895" max="5895" width="13.75" style="1" customWidth="1"/>
    <col min="5896" max="6144" width="9" style="1"/>
    <col min="6145" max="6148" width="13.75" style="1" customWidth="1"/>
    <col min="6149" max="6150" width="15.5" style="1" customWidth="1"/>
    <col min="6151" max="6151" width="13.75" style="1" customWidth="1"/>
    <col min="6152" max="6400" width="9" style="1"/>
    <col min="6401" max="6404" width="13.75" style="1" customWidth="1"/>
    <col min="6405" max="6406" width="15.5" style="1" customWidth="1"/>
    <col min="6407" max="6407" width="13.75" style="1" customWidth="1"/>
    <col min="6408" max="6656" width="9" style="1"/>
    <col min="6657" max="6660" width="13.75" style="1" customWidth="1"/>
    <col min="6661" max="6662" width="15.5" style="1" customWidth="1"/>
    <col min="6663" max="6663" width="13.75" style="1" customWidth="1"/>
    <col min="6664" max="6912" width="9" style="1"/>
    <col min="6913" max="6916" width="13.75" style="1" customWidth="1"/>
    <col min="6917" max="6918" width="15.5" style="1" customWidth="1"/>
    <col min="6919" max="6919" width="13.75" style="1" customWidth="1"/>
    <col min="6920" max="7168" width="9" style="1"/>
    <col min="7169" max="7172" width="13.75" style="1" customWidth="1"/>
    <col min="7173" max="7174" width="15.5" style="1" customWidth="1"/>
    <col min="7175" max="7175" width="13.75" style="1" customWidth="1"/>
    <col min="7176" max="7424" width="9" style="1"/>
    <col min="7425" max="7428" width="13.75" style="1" customWidth="1"/>
    <col min="7429" max="7430" width="15.5" style="1" customWidth="1"/>
    <col min="7431" max="7431" width="13.75" style="1" customWidth="1"/>
    <col min="7432" max="7680" width="9" style="1"/>
    <col min="7681" max="7684" width="13.75" style="1" customWidth="1"/>
    <col min="7685" max="7686" width="15.5" style="1" customWidth="1"/>
    <col min="7687" max="7687" width="13.75" style="1" customWidth="1"/>
    <col min="7688" max="7936" width="9" style="1"/>
    <col min="7937" max="7940" width="13.75" style="1" customWidth="1"/>
    <col min="7941" max="7942" width="15.5" style="1" customWidth="1"/>
    <col min="7943" max="7943" width="13.75" style="1" customWidth="1"/>
    <col min="7944" max="8192" width="9" style="1"/>
    <col min="8193" max="8196" width="13.75" style="1" customWidth="1"/>
    <col min="8197" max="8198" width="15.5" style="1" customWidth="1"/>
    <col min="8199" max="8199" width="13.75" style="1" customWidth="1"/>
    <col min="8200" max="8448" width="9" style="1"/>
    <col min="8449" max="8452" width="13.75" style="1" customWidth="1"/>
    <col min="8453" max="8454" width="15.5" style="1" customWidth="1"/>
    <col min="8455" max="8455" width="13.75" style="1" customWidth="1"/>
    <col min="8456" max="8704" width="9" style="1"/>
    <col min="8705" max="8708" width="13.75" style="1" customWidth="1"/>
    <col min="8709" max="8710" width="15.5" style="1" customWidth="1"/>
    <col min="8711" max="8711" width="13.75" style="1" customWidth="1"/>
    <col min="8712" max="8960" width="9" style="1"/>
    <col min="8961" max="8964" width="13.75" style="1" customWidth="1"/>
    <col min="8965" max="8966" width="15.5" style="1" customWidth="1"/>
    <col min="8967" max="8967" width="13.75" style="1" customWidth="1"/>
    <col min="8968" max="9216" width="9" style="1"/>
    <col min="9217" max="9220" width="13.75" style="1" customWidth="1"/>
    <col min="9221" max="9222" width="15.5" style="1" customWidth="1"/>
    <col min="9223" max="9223" width="13.75" style="1" customWidth="1"/>
    <col min="9224" max="9472" width="9" style="1"/>
    <col min="9473" max="9476" width="13.75" style="1" customWidth="1"/>
    <col min="9477" max="9478" width="15.5" style="1" customWidth="1"/>
    <col min="9479" max="9479" width="13.75" style="1" customWidth="1"/>
    <col min="9480" max="9728" width="9" style="1"/>
    <col min="9729" max="9732" width="13.75" style="1" customWidth="1"/>
    <col min="9733" max="9734" width="15.5" style="1" customWidth="1"/>
    <col min="9735" max="9735" width="13.75" style="1" customWidth="1"/>
    <col min="9736" max="9984" width="9" style="1"/>
    <col min="9985" max="9988" width="13.75" style="1" customWidth="1"/>
    <col min="9989" max="9990" width="15.5" style="1" customWidth="1"/>
    <col min="9991" max="9991" width="13.75" style="1" customWidth="1"/>
    <col min="9992" max="10240" width="9" style="1"/>
    <col min="10241" max="10244" width="13.75" style="1" customWidth="1"/>
    <col min="10245" max="10246" width="15.5" style="1" customWidth="1"/>
    <col min="10247" max="10247" width="13.75" style="1" customWidth="1"/>
    <col min="10248" max="10496" width="9" style="1"/>
    <col min="10497" max="10500" width="13.75" style="1" customWidth="1"/>
    <col min="10501" max="10502" width="15.5" style="1" customWidth="1"/>
    <col min="10503" max="10503" width="13.75" style="1" customWidth="1"/>
    <col min="10504" max="10752" width="9" style="1"/>
    <col min="10753" max="10756" width="13.75" style="1" customWidth="1"/>
    <col min="10757" max="10758" width="15.5" style="1" customWidth="1"/>
    <col min="10759" max="10759" width="13.75" style="1" customWidth="1"/>
    <col min="10760" max="11008" width="9" style="1"/>
    <col min="11009" max="11012" width="13.75" style="1" customWidth="1"/>
    <col min="11013" max="11014" width="15.5" style="1" customWidth="1"/>
    <col min="11015" max="11015" width="13.75" style="1" customWidth="1"/>
    <col min="11016" max="11264" width="9" style="1"/>
    <col min="11265" max="11268" width="13.75" style="1" customWidth="1"/>
    <col min="11269" max="11270" width="15.5" style="1" customWidth="1"/>
    <col min="11271" max="11271" width="13.75" style="1" customWidth="1"/>
    <col min="11272" max="11520" width="9" style="1"/>
    <col min="11521" max="11524" width="13.75" style="1" customWidth="1"/>
    <col min="11525" max="11526" width="15.5" style="1" customWidth="1"/>
    <col min="11527" max="11527" width="13.75" style="1" customWidth="1"/>
    <col min="11528" max="11776" width="9" style="1"/>
    <col min="11777" max="11780" width="13.75" style="1" customWidth="1"/>
    <col min="11781" max="11782" width="15.5" style="1" customWidth="1"/>
    <col min="11783" max="11783" width="13.75" style="1" customWidth="1"/>
    <col min="11784" max="12032" width="9" style="1"/>
    <col min="12033" max="12036" width="13.75" style="1" customWidth="1"/>
    <col min="12037" max="12038" width="15.5" style="1" customWidth="1"/>
    <col min="12039" max="12039" width="13.75" style="1" customWidth="1"/>
    <col min="12040" max="12288" width="9" style="1"/>
    <col min="12289" max="12292" width="13.75" style="1" customWidth="1"/>
    <col min="12293" max="12294" width="15.5" style="1" customWidth="1"/>
    <col min="12295" max="12295" width="13.75" style="1" customWidth="1"/>
    <col min="12296" max="12544" width="9" style="1"/>
    <col min="12545" max="12548" width="13.75" style="1" customWidth="1"/>
    <col min="12549" max="12550" width="15.5" style="1" customWidth="1"/>
    <col min="12551" max="12551" width="13.75" style="1" customWidth="1"/>
    <col min="12552" max="12800" width="9" style="1"/>
    <col min="12801" max="12804" width="13.75" style="1" customWidth="1"/>
    <col min="12805" max="12806" width="15.5" style="1" customWidth="1"/>
    <col min="12807" max="12807" width="13.75" style="1" customWidth="1"/>
    <col min="12808" max="13056" width="9" style="1"/>
    <col min="13057" max="13060" width="13.75" style="1" customWidth="1"/>
    <col min="13061" max="13062" width="15.5" style="1" customWidth="1"/>
    <col min="13063" max="13063" width="13.75" style="1" customWidth="1"/>
    <col min="13064" max="13312" width="9" style="1"/>
    <col min="13313" max="13316" width="13.75" style="1" customWidth="1"/>
    <col min="13317" max="13318" width="15.5" style="1" customWidth="1"/>
    <col min="13319" max="13319" width="13.75" style="1" customWidth="1"/>
    <col min="13320" max="13568" width="9" style="1"/>
    <col min="13569" max="13572" width="13.75" style="1" customWidth="1"/>
    <col min="13573" max="13574" width="15.5" style="1" customWidth="1"/>
    <col min="13575" max="13575" width="13.75" style="1" customWidth="1"/>
    <col min="13576" max="13824" width="9" style="1"/>
    <col min="13825" max="13828" width="13.75" style="1" customWidth="1"/>
    <col min="13829" max="13830" width="15.5" style="1" customWidth="1"/>
    <col min="13831" max="13831" width="13.75" style="1" customWidth="1"/>
    <col min="13832" max="14080" width="9" style="1"/>
    <col min="14081" max="14084" width="13.75" style="1" customWidth="1"/>
    <col min="14085" max="14086" width="15.5" style="1" customWidth="1"/>
    <col min="14087" max="14087" width="13.75" style="1" customWidth="1"/>
    <col min="14088" max="14336" width="9" style="1"/>
    <col min="14337" max="14340" width="13.75" style="1" customWidth="1"/>
    <col min="14341" max="14342" width="15.5" style="1" customWidth="1"/>
    <col min="14343" max="14343" width="13.75" style="1" customWidth="1"/>
    <col min="14344" max="14592" width="9" style="1"/>
    <col min="14593" max="14596" width="13.75" style="1" customWidth="1"/>
    <col min="14597" max="14598" width="15.5" style="1" customWidth="1"/>
    <col min="14599" max="14599" width="13.75" style="1" customWidth="1"/>
    <col min="14600" max="14848" width="9" style="1"/>
    <col min="14849" max="14852" width="13.75" style="1" customWidth="1"/>
    <col min="14853" max="14854" width="15.5" style="1" customWidth="1"/>
    <col min="14855" max="14855" width="13.75" style="1" customWidth="1"/>
    <col min="14856" max="15104" width="9" style="1"/>
    <col min="15105" max="15108" width="13.75" style="1" customWidth="1"/>
    <col min="15109" max="15110" width="15.5" style="1" customWidth="1"/>
    <col min="15111" max="15111" width="13.75" style="1" customWidth="1"/>
    <col min="15112" max="15360" width="9" style="1"/>
    <col min="15361" max="15364" width="13.75" style="1" customWidth="1"/>
    <col min="15365" max="15366" width="15.5" style="1" customWidth="1"/>
    <col min="15367" max="15367" width="13.75" style="1" customWidth="1"/>
    <col min="15368" max="15616" width="9" style="1"/>
    <col min="15617" max="15620" width="13.75" style="1" customWidth="1"/>
    <col min="15621" max="15622" width="15.5" style="1" customWidth="1"/>
    <col min="15623" max="15623" width="13.75" style="1" customWidth="1"/>
    <col min="15624" max="15872" width="9" style="1"/>
    <col min="15873" max="15876" width="13.75" style="1" customWidth="1"/>
    <col min="15877" max="15878" width="15.5" style="1" customWidth="1"/>
    <col min="15879" max="15879" width="13.75" style="1" customWidth="1"/>
    <col min="15880" max="16128" width="9" style="1"/>
    <col min="16129" max="16132" width="13.75" style="1" customWidth="1"/>
    <col min="16133" max="16134" width="15.5" style="1" customWidth="1"/>
    <col min="16135" max="16135" width="13.75" style="1" customWidth="1"/>
    <col min="16136" max="16384" width="9" style="1"/>
  </cols>
  <sheetData>
    <row r="1" spans="1:6" ht="15.75" customHeight="1" x14ac:dyDescent="0.25">
      <c r="A1" s="1" t="str">
        <f>'THONG TIN'!C3</f>
        <v>Công ty TNHH Thuận An</v>
      </c>
      <c r="E1" s="108" t="s">
        <v>1</v>
      </c>
      <c r="F1" s="108"/>
    </row>
    <row r="2" spans="1:6" ht="15.75" customHeight="1" x14ac:dyDescent="0.25">
      <c r="A2" s="1" t="str">
        <f>'THONG TIN'!C4</f>
        <v>Ấp Chồng Nô 3, Xã Hòa Tân, Huyện Cầu Kè, Tỉnh Trà Vinh</v>
      </c>
      <c r="E2" s="101" t="s">
        <v>2</v>
      </c>
      <c r="F2" s="101"/>
    </row>
    <row r="3" spans="1:6" ht="15.75" customHeight="1" x14ac:dyDescent="0.25">
      <c r="E3" s="101" t="s">
        <v>53</v>
      </c>
      <c r="F3" s="101"/>
    </row>
    <row r="4" spans="1:6" x14ac:dyDescent="0.25">
      <c r="E4" s="101" t="s">
        <v>3</v>
      </c>
      <c r="F4" s="101"/>
    </row>
    <row r="5" spans="1:6" ht="18" x14ac:dyDescent="0.25">
      <c r="A5" s="102" t="s">
        <v>4</v>
      </c>
      <c r="B5" s="102"/>
      <c r="C5" s="102"/>
      <c r="D5" s="102"/>
      <c r="E5" s="102"/>
      <c r="F5" s="102"/>
    </row>
    <row r="6" spans="1:6" x14ac:dyDescent="0.25">
      <c r="A6" s="103" t="s">
        <v>79</v>
      </c>
      <c r="B6" s="103"/>
      <c r="C6" s="103"/>
      <c r="D6" s="103"/>
      <c r="E6" s="103"/>
      <c r="F6" s="103"/>
    </row>
    <row r="7" spans="1:6" x14ac:dyDescent="0.25">
      <c r="B7" s="1" t="s">
        <v>72</v>
      </c>
      <c r="C7" s="52" t="s">
        <v>68</v>
      </c>
    </row>
    <row r="8" spans="1:6" x14ac:dyDescent="0.25">
      <c r="B8" s="2" t="s">
        <v>55</v>
      </c>
      <c r="C8" s="3"/>
      <c r="D8" s="3"/>
      <c r="E8" s="53"/>
      <c r="F8" s="3"/>
    </row>
    <row r="9" spans="1:6" x14ac:dyDescent="0.25">
      <c r="B9" s="2" t="s">
        <v>56</v>
      </c>
      <c r="C9" s="3"/>
      <c r="D9" s="3"/>
      <c r="E9" s="56">
        <v>7450</v>
      </c>
      <c r="F9" s="3"/>
    </row>
    <row r="10" spans="1:6" x14ac:dyDescent="0.25">
      <c r="B10" s="2" t="s">
        <v>54</v>
      </c>
      <c r="C10" s="3"/>
      <c r="D10" s="3"/>
      <c r="E10" s="3"/>
      <c r="F10" s="3"/>
    </row>
    <row r="12" spans="1:6" ht="15.75" customHeight="1" x14ac:dyDescent="0.25">
      <c r="A12" s="104" t="s">
        <v>5</v>
      </c>
      <c r="B12" s="104" t="s">
        <v>6</v>
      </c>
      <c r="C12" s="104" t="s">
        <v>7</v>
      </c>
      <c r="D12" s="104" t="s">
        <v>8</v>
      </c>
      <c r="E12" s="106" t="s">
        <v>9</v>
      </c>
      <c r="F12" s="107"/>
    </row>
    <row r="13" spans="1:6" x14ac:dyDescent="0.25">
      <c r="A13" s="105"/>
      <c r="B13" s="105"/>
      <c r="C13" s="105"/>
      <c r="D13" s="105"/>
      <c r="E13" s="4" t="s">
        <v>10</v>
      </c>
      <c r="F13" s="4" t="s">
        <v>11</v>
      </c>
    </row>
    <row r="14" spans="1:6" x14ac:dyDescent="0.25">
      <c r="A14" s="5" t="s">
        <v>12</v>
      </c>
      <c r="B14" s="6"/>
      <c r="C14" s="6"/>
      <c r="D14" s="6"/>
      <c r="E14" s="6"/>
      <c r="F14" s="6"/>
    </row>
    <row r="15" spans="1:6" x14ac:dyDescent="0.25">
      <c r="A15" s="15"/>
      <c r="B15" s="16"/>
      <c r="C15" s="16"/>
      <c r="D15" s="16"/>
      <c r="E15" s="16"/>
      <c r="F15" s="16"/>
    </row>
    <row r="16" spans="1:6" x14ac:dyDescent="0.25">
      <c r="A16" s="7" t="s">
        <v>13</v>
      </c>
      <c r="B16" s="8"/>
      <c r="C16" s="8">
        <f>16128000/12</f>
        <v>1344000</v>
      </c>
      <c r="D16" s="8"/>
      <c r="E16" s="8">
        <f>C16</f>
        <v>1344000</v>
      </c>
      <c r="F16" s="8">
        <f>E16/E9</f>
        <v>180.40268456375838</v>
      </c>
    </row>
    <row r="17" spans="1:6" x14ac:dyDescent="0.25">
      <c r="A17" s="7"/>
      <c r="B17" s="8"/>
      <c r="C17" s="8"/>
      <c r="D17" s="8"/>
      <c r="E17" s="8"/>
      <c r="F17" s="8"/>
    </row>
    <row r="18" spans="1:6" x14ac:dyDescent="0.25">
      <c r="A18" s="7" t="s">
        <v>14</v>
      </c>
      <c r="B18" s="8"/>
      <c r="C18" s="8"/>
      <c r="D18" s="8"/>
      <c r="E18" s="9"/>
      <c r="F18" s="9"/>
    </row>
    <row r="19" spans="1:6" x14ac:dyDescent="0.25">
      <c r="A19" s="17"/>
      <c r="B19" s="18"/>
      <c r="C19" s="18"/>
      <c r="D19" s="18"/>
      <c r="E19" s="19"/>
      <c r="F19" s="19"/>
    </row>
    <row r="20" spans="1:6" x14ac:dyDescent="0.25">
      <c r="A20" s="7" t="s">
        <v>0</v>
      </c>
      <c r="B20" s="8"/>
      <c r="C20" s="8"/>
      <c r="D20" s="8"/>
      <c r="E20" s="8"/>
      <c r="F20" s="8"/>
    </row>
    <row r="21" spans="1:6" x14ac:dyDescent="0.25">
      <c r="A21" s="22" t="s">
        <v>71</v>
      </c>
      <c r="B21" s="23"/>
      <c r="C21" s="23">
        <f>12823592+(B21/12)</f>
        <v>12823592</v>
      </c>
      <c r="D21" s="23">
        <f>B21-(B21/12)*3</f>
        <v>0</v>
      </c>
      <c r="E21" s="23">
        <f>B21+C21-D21</f>
        <v>12823592</v>
      </c>
      <c r="F21" s="23">
        <f>E21/E9</f>
        <v>1721.2875167785235</v>
      </c>
    </row>
    <row r="22" spans="1:6" x14ac:dyDescent="0.25">
      <c r="A22" s="20"/>
      <c r="B22" s="21"/>
      <c r="C22" s="21"/>
      <c r="D22" s="21"/>
      <c r="E22" s="21"/>
      <c r="F22" s="21"/>
    </row>
    <row r="23" spans="1:6" x14ac:dyDescent="0.25">
      <c r="A23" s="54" t="s">
        <v>15</v>
      </c>
      <c r="B23" s="55">
        <f>B21+B22</f>
        <v>0</v>
      </c>
      <c r="C23" s="55">
        <f>C21+C22</f>
        <v>12823592</v>
      </c>
      <c r="D23" s="55">
        <f>D21+D22</f>
        <v>0</v>
      </c>
      <c r="E23" s="55">
        <f>E21+E22</f>
        <v>12823592</v>
      </c>
      <c r="F23" s="55">
        <f>F16+F21</f>
        <v>1901.6902013422819</v>
      </c>
    </row>
    <row r="25" spans="1:6" x14ac:dyDescent="0.25">
      <c r="A25" s="13" t="s">
        <v>16</v>
      </c>
      <c r="B25" s="13"/>
      <c r="C25" s="13" t="s">
        <v>17</v>
      </c>
      <c r="D25" s="13"/>
      <c r="E25" s="13" t="s">
        <v>18</v>
      </c>
      <c r="F25" s="13"/>
    </row>
    <row r="26" spans="1:6" x14ac:dyDescent="0.25">
      <c r="A26" s="14" t="s">
        <v>19</v>
      </c>
      <c r="B26" s="14"/>
      <c r="C26" s="14" t="s">
        <v>19</v>
      </c>
      <c r="D26" s="14"/>
      <c r="E26" s="14" t="s">
        <v>20</v>
      </c>
      <c r="F26" s="14"/>
    </row>
    <row r="27" spans="1:6" x14ac:dyDescent="0.25">
      <c r="A27" s="14"/>
      <c r="B27" s="14"/>
      <c r="C27" s="14"/>
      <c r="D27" s="14"/>
      <c r="E27" s="14"/>
      <c r="F27" s="14"/>
    </row>
    <row r="28" spans="1:6" ht="15.75" customHeight="1" x14ac:dyDescent="0.25">
      <c r="A28" s="1" t="str">
        <f>A1</f>
        <v>Công ty TNHH Thuận An</v>
      </c>
      <c r="E28" s="108" t="s">
        <v>1</v>
      </c>
      <c r="F28" s="108"/>
    </row>
    <row r="29" spans="1:6" ht="15.75" customHeight="1" x14ac:dyDescent="0.25">
      <c r="A29" s="1" t="str">
        <f>A2</f>
        <v>Ấp Chồng Nô 3, Xã Hòa Tân, Huyện Cầu Kè, Tỉnh Trà Vinh</v>
      </c>
      <c r="E29" s="101" t="s">
        <v>2</v>
      </c>
      <c r="F29" s="101"/>
    </row>
    <row r="30" spans="1:6" ht="15.75" customHeight="1" x14ac:dyDescent="0.25">
      <c r="E30" s="101" t="s">
        <v>53</v>
      </c>
      <c r="F30" s="101"/>
    </row>
    <row r="31" spans="1:6" x14ac:dyDescent="0.25">
      <c r="E31" s="101" t="s">
        <v>3</v>
      </c>
      <c r="F31" s="101"/>
    </row>
    <row r="32" spans="1:6" ht="18" x14ac:dyDescent="0.25">
      <c r="A32" s="102" t="s">
        <v>4</v>
      </c>
      <c r="B32" s="102"/>
      <c r="C32" s="102"/>
      <c r="D32" s="102"/>
      <c r="E32" s="102"/>
      <c r="F32" s="102"/>
    </row>
    <row r="33" spans="1:6" x14ac:dyDescent="0.25">
      <c r="A33" s="103" t="s">
        <v>80</v>
      </c>
      <c r="B33" s="103"/>
      <c r="C33" s="103"/>
      <c r="D33" s="103"/>
      <c r="E33" s="103"/>
      <c r="F33" s="103"/>
    </row>
    <row r="34" spans="1:6" x14ac:dyDescent="0.25">
      <c r="B34" s="1" t="s">
        <v>72</v>
      </c>
      <c r="C34" s="52" t="s">
        <v>69</v>
      </c>
    </row>
    <row r="35" spans="1:6" x14ac:dyDescent="0.25">
      <c r="B35" s="2" t="s">
        <v>55</v>
      </c>
      <c r="C35" s="3"/>
      <c r="D35" s="3"/>
      <c r="E35" s="53"/>
      <c r="F35" s="3"/>
    </row>
    <row r="36" spans="1:6" x14ac:dyDescent="0.25">
      <c r="B36" s="2" t="s">
        <v>56</v>
      </c>
      <c r="C36" s="3"/>
      <c r="D36" s="3"/>
      <c r="E36" s="56">
        <v>16587</v>
      </c>
      <c r="F36" s="3"/>
    </row>
    <row r="37" spans="1:6" x14ac:dyDescent="0.25">
      <c r="B37" s="2" t="s">
        <v>54</v>
      </c>
      <c r="C37" s="3"/>
      <c r="D37" s="3"/>
      <c r="E37" s="3"/>
      <c r="F37" s="3"/>
    </row>
    <row r="39" spans="1:6" ht="15.75" customHeight="1" x14ac:dyDescent="0.25">
      <c r="A39" s="104" t="s">
        <v>5</v>
      </c>
      <c r="B39" s="104" t="s">
        <v>6</v>
      </c>
      <c r="C39" s="104" t="s">
        <v>7</v>
      </c>
      <c r="D39" s="104" t="s">
        <v>8</v>
      </c>
      <c r="E39" s="106" t="s">
        <v>9</v>
      </c>
      <c r="F39" s="107"/>
    </row>
    <row r="40" spans="1:6" x14ac:dyDescent="0.25">
      <c r="A40" s="105"/>
      <c r="B40" s="105"/>
      <c r="C40" s="105"/>
      <c r="D40" s="105"/>
      <c r="E40" s="4" t="s">
        <v>10</v>
      </c>
      <c r="F40" s="4" t="s">
        <v>11</v>
      </c>
    </row>
    <row r="41" spans="1:6" x14ac:dyDescent="0.25">
      <c r="A41" s="5" t="s">
        <v>12</v>
      </c>
      <c r="B41" s="6"/>
      <c r="C41" s="6"/>
      <c r="D41" s="6"/>
      <c r="E41" s="6"/>
      <c r="F41" s="6"/>
    </row>
    <row r="42" spans="1:6" x14ac:dyDescent="0.25">
      <c r="A42" s="15"/>
      <c r="B42" s="16"/>
      <c r="C42" s="16"/>
      <c r="D42" s="16"/>
      <c r="E42" s="16"/>
      <c r="F42" s="16"/>
    </row>
    <row r="43" spans="1:6" x14ac:dyDescent="0.25">
      <c r="A43" s="7" t="s">
        <v>13</v>
      </c>
      <c r="B43" s="8"/>
      <c r="C43" s="8">
        <f>29952000/12</f>
        <v>2496000</v>
      </c>
      <c r="D43" s="8"/>
      <c r="E43" s="8">
        <f>C43</f>
        <v>2496000</v>
      </c>
      <c r="F43" s="8">
        <f>E43/E36</f>
        <v>150.47929101103273</v>
      </c>
    </row>
    <row r="44" spans="1:6" x14ac:dyDescent="0.25">
      <c r="A44" s="7"/>
      <c r="B44" s="8"/>
      <c r="C44" s="8"/>
      <c r="D44" s="8"/>
      <c r="E44" s="8"/>
      <c r="F44" s="8"/>
    </row>
    <row r="45" spans="1:6" x14ac:dyDescent="0.25">
      <c r="A45" s="7" t="s">
        <v>14</v>
      </c>
      <c r="B45" s="8"/>
      <c r="C45" s="8"/>
      <c r="D45" s="8"/>
      <c r="E45" s="9"/>
      <c r="F45" s="9"/>
    </row>
    <row r="46" spans="1:6" x14ac:dyDescent="0.25">
      <c r="A46" s="17"/>
      <c r="B46" s="18"/>
      <c r="C46" s="18"/>
      <c r="D46" s="18"/>
      <c r="E46" s="19"/>
      <c r="F46" s="19"/>
    </row>
    <row r="47" spans="1:6" x14ac:dyDescent="0.25">
      <c r="A47" s="7" t="s">
        <v>0</v>
      </c>
      <c r="B47" s="8"/>
      <c r="C47" s="74"/>
      <c r="D47" s="74"/>
      <c r="E47" s="8"/>
      <c r="F47" s="8"/>
    </row>
    <row r="48" spans="1:6" x14ac:dyDescent="0.25">
      <c r="A48" s="72" t="s">
        <v>71</v>
      </c>
      <c r="B48" s="74"/>
      <c r="C48" s="74">
        <v>21449563</v>
      </c>
      <c r="D48" s="74">
        <f>B48-(B48/12)*3</f>
        <v>0</v>
      </c>
      <c r="E48" s="74">
        <f>B48+C48-D48</f>
        <v>21449563</v>
      </c>
      <c r="F48" s="8">
        <f>E48/E36</f>
        <v>1293.1550611925002</v>
      </c>
    </row>
    <row r="49" spans="1:6" x14ac:dyDescent="0.25">
      <c r="A49" s="72" t="s">
        <v>73</v>
      </c>
      <c r="B49" s="74"/>
      <c r="C49" s="74">
        <f>825978+(B49/12)</f>
        <v>825978</v>
      </c>
      <c r="D49" s="74"/>
      <c r="E49" s="74">
        <f>B49+C49-D49</f>
        <v>825978</v>
      </c>
      <c r="F49" s="8">
        <f>E49/E36</f>
        <v>49.796708265509132</v>
      </c>
    </row>
    <row r="50" spans="1:6" x14ac:dyDescent="0.25">
      <c r="A50" s="73"/>
      <c r="B50" s="75"/>
      <c r="C50" s="75"/>
      <c r="D50" s="75"/>
      <c r="E50" s="75"/>
      <c r="F50" s="70"/>
    </row>
    <row r="51" spans="1:6" x14ac:dyDescent="0.25">
      <c r="A51" s="4" t="s">
        <v>15</v>
      </c>
      <c r="B51" s="55">
        <f>B48+B49</f>
        <v>0</v>
      </c>
      <c r="C51" s="55">
        <f>C48+C49+C50</f>
        <v>22275541</v>
      </c>
      <c r="D51" s="55">
        <f>D48+D49</f>
        <v>0</v>
      </c>
      <c r="E51" s="55">
        <f>E48+E49+E50</f>
        <v>22275541</v>
      </c>
      <c r="F51" s="55">
        <f>F43+F48+F49</f>
        <v>1493.431060469042</v>
      </c>
    </row>
    <row r="52" spans="1:6" x14ac:dyDescent="0.25">
      <c r="A52" s="10"/>
      <c r="B52" s="11"/>
      <c r="C52" s="12"/>
      <c r="D52" s="12"/>
      <c r="E52" s="12"/>
      <c r="F52" s="12"/>
    </row>
    <row r="53" spans="1:6" x14ac:dyDescent="0.25">
      <c r="A53" s="13" t="s">
        <v>16</v>
      </c>
      <c r="B53" s="13"/>
      <c r="C53" s="13" t="s">
        <v>17</v>
      </c>
      <c r="D53" s="13"/>
      <c r="E53" s="13" t="s">
        <v>18</v>
      </c>
      <c r="F53" s="13"/>
    </row>
    <row r="54" spans="1:6" x14ac:dyDescent="0.25">
      <c r="A54" s="14" t="s">
        <v>19</v>
      </c>
      <c r="B54" s="14"/>
      <c r="C54" s="14" t="s">
        <v>19</v>
      </c>
      <c r="D54" s="14"/>
      <c r="E54" s="14" t="s">
        <v>20</v>
      </c>
      <c r="F54" s="14"/>
    </row>
  </sheetData>
  <mergeCells count="22">
    <mergeCell ref="E28:F28"/>
    <mergeCell ref="E1:F1"/>
    <mergeCell ref="E2:F2"/>
    <mergeCell ref="E3:F3"/>
    <mergeCell ref="E4:F4"/>
    <mergeCell ref="A5:F5"/>
    <mergeCell ref="A6:F6"/>
    <mergeCell ref="A12:A13"/>
    <mergeCell ref="B12:B13"/>
    <mergeCell ref="C12:C13"/>
    <mergeCell ref="D12:D13"/>
    <mergeCell ref="E12:F12"/>
    <mergeCell ref="A39:A40"/>
    <mergeCell ref="B39:B40"/>
    <mergeCell ref="C39:C40"/>
    <mergeCell ref="D39:D40"/>
    <mergeCell ref="E39:F39"/>
    <mergeCell ref="E29:F29"/>
    <mergeCell ref="E30:F30"/>
    <mergeCell ref="E31:F31"/>
    <mergeCell ref="A32:F32"/>
    <mergeCell ref="A33:F3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4"/>
  <sheetViews>
    <sheetView topLeftCell="A37" workbookViewId="0">
      <selection activeCell="D48" sqref="D48"/>
    </sheetView>
  </sheetViews>
  <sheetFormatPr defaultRowHeight="15.75" x14ac:dyDescent="0.25"/>
  <cols>
    <col min="1" max="1" width="45" style="1" customWidth="1"/>
    <col min="2" max="2" width="13" style="1" customWidth="1"/>
    <col min="3" max="4" width="13.75" style="1" customWidth="1"/>
    <col min="5" max="6" width="15.5" style="1" customWidth="1"/>
    <col min="7" max="7" width="13.75" style="1" customWidth="1"/>
    <col min="8" max="256" width="9" style="1"/>
    <col min="257" max="260" width="13.75" style="1" customWidth="1"/>
    <col min="261" max="262" width="15.5" style="1" customWidth="1"/>
    <col min="263" max="263" width="13.75" style="1" customWidth="1"/>
    <col min="264" max="512" width="9" style="1"/>
    <col min="513" max="516" width="13.75" style="1" customWidth="1"/>
    <col min="517" max="518" width="15.5" style="1" customWidth="1"/>
    <col min="519" max="519" width="13.75" style="1" customWidth="1"/>
    <col min="520" max="768" width="9" style="1"/>
    <col min="769" max="772" width="13.75" style="1" customWidth="1"/>
    <col min="773" max="774" width="15.5" style="1" customWidth="1"/>
    <col min="775" max="775" width="13.75" style="1" customWidth="1"/>
    <col min="776" max="1024" width="9" style="1"/>
    <col min="1025" max="1028" width="13.75" style="1" customWidth="1"/>
    <col min="1029" max="1030" width="15.5" style="1" customWidth="1"/>
    <col min="1031" max="1031" width="13.75" style="1" customWidth="1"/>
    <col min="1032" max="1280" width="9" style="1"/>
    <col min="1281" max="1284" width="13.75" style="1" customWidth="1"/>
    <col min="1285" max="1286" width="15.5" style="1" customWidth="1"/>
    <col min="1287" max="1287" width="13.75" style="1" customWidth="1"/>
    <col min="1288" max="1536" width="9" style="1"/>
    <col min="1537" max="1540" width="13.75" style="1" customWidth="1"/>
    <col min="1541" max="1542" width="15.5" style="1" customWidth="1"/>
    <col min="1543" max="1543" width="13.75" style="1" customWidth="1"/>
    <col min="1544" max="1792" width="9" style="1"/>
    <col min="1793" max="1796" width="13.75" style="1" customWidth="1"/>
    <col min="1797" max="1798" width="15.5" style="1" customWidth="1"/>
    <col min="1799" max="1799" width="13.75" style="1" customWidth="1"/>
    <col min="1800" max="2048" width="9" style="1"/>
    <col min="2049" max="2052" width="13.75" style="1" customWidth="1"/>
    <col min="2053" max="2054" width="15.5" style="1" customWidth="1"/>
    <col min="2055" max="2055" width="13.75" style="1" customWidth="1"/>
    <col min="2056" max="2304" width="9" style="1"/>
    <col min="2305" max="2308" width="13.75" style="1" customWidth="1"/>
    <col min="2309" max="2310" width="15.5" style="1" customWidth="1"/>
    <col min="2311" max="2311" width="13.75" style="1" customWidth="1"/>
    <col min="2312" max="2560" width="9" style="1"/>
    <col min="2561" max="2564" width="13.75" style="1" customWidth="1"/>
    <col min="2565" max="2566" width="15.5" style="1" customWidth="1"/>
    <col min="2567" max="2567" width="13.75" style="1" customWidth="1"/>
    <col min="2568" max="2816" width="9" style="1"/>
    <col min="2817" max="2820" width="13.75" style="1" customWidth="1"/>
    <col min="2821" max="2822" width="15.5" style="1" customWidth="1"/>
    <col min="2823" max="2823" width="13.75" style="1" customWidth="1"/>
    <col min="2824" max="3072" width="9" style="1"/>
    <col min="3073" max="3076" width="13.75" style="1" customWidth="1"/>
    <col min="3077" max="3078" width="15.5" style="1" customWidth="1"/>
    <col min="3079" max="3079" width="13.75" style="1" customWidth="1"/>
    <col min="3080" max="3328" width="9" style="1"/>
    <col min="3329" max="3332" width="13.75" style="1" customWidth="1"/>
    <col min="3333" max="3334" width="15.5" style="1" customWidth="1"/>
    <col min="3335" max="3335" width="13.75" style="1" customWidth="1"/>
    <col min="3336" max="3584" width="9" style="1"/>
    <col min="3585" max="3588" width="13.75" style="1" customWidth="1"/>
    <col min="3589" max="3590" width="15.5" style="1" customWidth="1"/>
    <col min="3591" max="3591" width="13.75" style="1" customWidth="1"/>
    <col min="3592" max="3840" width="9" style="1"/>
    <col min="3841" max="3844" width="13.75" style="1" customWidth="1"/>
    <col min="3845" max="3846" width="15.5" style="1" customWidth="1"/>
    <col min="3847" max="3847" width="13.75" style="1" customWidth="1"/>
    <col min="3848" max="4096" width="9" style="1"/>
    <col min="4097" max="4100" width="13.75" style="1" customWidth="1"/>
    <col min="4101" max="4102" width="15.5" style="1" customWidth="1"/>
    <col min="4103" max="4103" width="13.75" style="1" customWidth="1"/>
    <col min="4104" max="4352" width="9" style="1"/>
    <col min="4353" max="4356" width="13.75" style="1" customWidth="1"/>
    <col min="4357" max="4358" width="15.5" style="1" customWidth="1"/>
    <col min="4359" max="4359" width="13.75" style="1" customWidth="1"/>
    <col min="4360" max="4608" width="9" style="1"/>
    <col min="4609" max="4612" width="13.75" style="1" customWidth="1"/>
    <col min="4613" max="4614" width="15.5" style="1" customWidth="1"/>
    <col min="4615" max="4615" width="13.75" style="1" customWidth="1"/>
    <col min="4616" max="4864" width="9" style="1"/>
    <col min="4865" max="4868" width="13.75" style="1" customWidth="1"/>
    <col min="4869" max="4870" width="15.5" style="1" customWidth="1"/>
    <col min="4871" max="4871" width="13.75" style="1" customWidth="1"/>
    <col min="4872" max="5120" width="9" style="1"/>
    <col min="5121" max="5124" width="13.75" style="1" customWidth="1"/>
    <col min="5125" max="5126" width="15.5" style="1" customWidth="1"/>
    <col min="5127" max="5127" width="13.75" style="1" customWidth="1"/>
    <col min="5128" max="5376" width="9" style="1"/>
    <col min="5377" max="5380" width="13.75" style="1" customWidth="1"/>
    <col min="5381" max="5382" width="15.5" style="1" customWidth="1"/>
    <col min="5383" max="5383" width="13.75" style="1" customWidth="1"/>
    <col min="5384" max="5632" width="9" style="1"/>
    <col min="5633" max="5636" width="13.75" style="1" customWidth="1"/>
    <col min="5637" max="5638" width="15.5" style="1" customWidth="1"/>
    <col min="5639" max="5639" width="13.75" style="1" customWidth="1"/>
    <col min="5640" max="5888" width="9" style="1"/>
    <col min="5889" max="5892" width="13.75" style="1" customWidth="1"/>
    <col min="5893" max="5894" width="15.5" style="1" customWidth="1"/>
    <col min="5895" max="5895" width="13.75" style="1" customWidth="1"/>
    <col min="5896" max="6144" width="9" style="1"/>
    <col min="6145" max="6148" width="13.75" style="1" customWidth="1"/>
    <col min="6149" max="6150" width="15.5" style="1" customWidth="1"/>
    <col min="6151" max="6151" width="13.75" style="1" customWidth="1"/>
    <col min="6152" max="6400" width="9" style="1"/>
    <col min="6401" max="6404" width="13.75" style="1" customWidth="1"/>
    <col min="6405" max="6406" width="15.5" style="1" customWidth="1"/>
    <col min="6407" max="6407" width="13.75" style="1" customWidth="1"/>
    <col min="6408" max="6656" width="9" style="1"/>
    <col min="6657" max="6660" width="13.75" style="1" customWidth="1"/>
    <col min="6661" max="6662" width="15.5" style="1" customWidth="1"/>
    <col min="6663" max="6663" width="13.75" style="1" customWidth="1"/>
    <col min="6664" max="6912" width="9" style="1"/>
    <col min="6913" max="6916" width="13.75" style="1" customWidth="1"/>
    <col min="6917" max="6918" width="15.5" style="1" customWidth="1"/>
    <col min="6919" max="6919" width="13.75" style="1" customWidth="1"/>
    <col min="6920" max="7168" width="9" style="1"/>
    <col min="7169" max="7172" width="13.75" style="1" customWidth="1"/>
    <col min="7173" max="7174" width="15.5" style="1" customWidth="1"/>
    <col min="7175" max="7175" width="13.75" style="1" customWidth="1"/>
    <col min="7176" max="7424" width="9" style="1"/>
    <col min="7425" max="7428" width="13.75" style="1" customWidth="1"/>
    <col min="7429" max="7430" width="15.5" style="1" customWidth="1"/>
    <col min="7431" max="7431" width="13.75" style="1" customWidth="1"/>
    <col min="7432" max="7680" width="9" style="1"/>
    <col min="7681" max="7684" width="13.75" style="1" customWidth="1"/>
    <col min="7685" max="7686" width="15.5" style="1" customWidth="1"/>
    <col min="7687" max="7687" width="13.75" style="1" customWidth="1"/>
    <col min="7688" max="7936" width="9" style="1"/>
    <col min="7937" max="7940" width="13.75" style="1" customWidth="1"/>
    <col min="7941" max="7942" width="15.5" style="1" customWidth="1"/>
    <col min="7943" max="7943" width="13.75" style="1" customWidth="1"/>
    <col min="7944" max="8192" width="9" style="1"/>
    <col min="8193" max="8196" width="13.75" style="1" customWidth="1"/>
    <col min="8197" max="8198" width="15.5" style="1" customWidth="1"/>
    <col min="8199" max="8199" width="13.75" style="1" customWidth="1"/>
    <col min="8200" max="8448" width="9" style="1"/>
    <col min="8449" max="8452" width="13.75" style="1" customWidth="1"/>
    <col min="8453" max="8454" width="15.5" style="1" customWidth="1"/>
    <col min="8455" max="8455" width="13.75" style="1" customWidth="1"/>
    <col min="8456" max="8704" width="9" style="1"/>
    <col min="8705" max="8708" width="13.75" style="1" customWidth="1"/>
    <col min="8709" max="8710" width="15.5" style="1" customWidth="1"/>
    <col min="8711" max="8711" width="13.75" style="1" customWidth="1"/>
    <col min="8712" max="8960" width="9" style="1"/>
    <col min="8961" max="8964" width="13.75" style="1" customWidth="1"/>
    <col min="8965" max="8966" width="15.5" style="1" customWidth="1"/>
    <col min="8967" max="8967" width="13.75" style="1" customWidth="1"/>
    <col min="8968" max="9216" width="9" style="1"/>
    <col min="9217" max="9220" width="13.75" style="1" customWidth="1"/>
    <col min="9221" max="9222" width="15.5" style="1" customWidth="1"/>
    <col min="9223" max="9223" width="13.75" style="1" customWidth="1"/>
    <col min="9224" max="9472" width="9" style="1"/>
    <col min="9473" max="9476" width="13.75" style="1" customWidth="1"/>
    <col min="9477" max="9478" width="15.5" style="1" customWidth="1"/>
    <col min="9479" max="9479" width="13.75" style="1" customWidth="1"/>
    <col min="9480" max="9728" width="9" style="1"/>
    <col min="9729" max="9732" width="13.75" style="1" customWidth="1"/>
    <col min="9733" max="9734" width="15.5" style="1" customWidth="1"/>
    <col min="9735" max="9735" width="13.75" style="1" customWidth="1"/>
    <col min="9736" max="9984" width="9" style="1"/>
    <col min="9985" max="9988" width="13.75" style="1" customWidth="1"/>
    <col min="9989" max="9990" width="15.5" style="1" customWidth="1"/>
    <col min="9991" max="9991" width="13.75" style="1" customWidth="1"/>
    <col min="9992" max="10240" width="9" style="1"/>
    <col min="10241" max="10244" width="13.75" style="1" customWidth="1"/>
    <col min="10245" max="10246" width="15.5" style="1" customWidth="1"/>
    <col min="10247" max="10247" width="13.75" style="1" customWidth="1"/>
    <col min="10248" max="10496" width="9" style="1"/>
    <col min="10497" max="10500" width="13.75" style="1" customWidth="1"/>
    <col min="10501" max="10502" width="15.5" style="1" customWidth="1"/>
    <col min="10503" max="10503" width="13.75" style="1" customWidth="1"/>
    <col min="10504" max="10752" width="9" style="1"/>
    <col min="10753" max="10756" width="13.75" style="1" customWidth="1"/>
    <col min="10757" max="10758" width="15.5" style="1" customWidth="1"/>
    <col min="10759" max="10759" width="13.75" style="1" customWidth="1"/>
    <col min="10760" max="11008" width="9" style="1"/>
    <col min="11009" max="11012" width="13.75" style="1" customWidth="1"/>
    <col min="11013" max="11014" width="15.5" style="1" customWidth="1"/>
    <col min="11015" max="11015" width="13.75" style="1" customWidth="1"/>
    <col min="11016" max="11264" width="9" style="1"/>
    <col min="11265" max="11268" width="13.75" style="1" customWidth="1"/>
    <col min="11269" max="11270" width="15.5" style="1" customWidth="1"/>
    <col min="11271" max="11271" width="13.75" style="1" customWidth="1"/>
    <col min="11272" max="11520" width="9" style="1"/>
    <col min="11521" max="11524" width="13.75" style="1" customWidth="1"/>
    <col min="11525" max="11526" width="15.5" style="1" customWidth="1"/>
    <col min="11527" max="11527" width="13.75" style="1" customWidth="1"/>
    <col min="11528" max="11776" width="9" style="1"/>
    <col min="11777" max="11780" width="13.75" style="1" customWidth="1"/>
    <col min="11781" max="11782" width="15.5" style="1" customWidth="1"/>
    <col min="11783" max="11783" width="13.75" style="1" customWidth="1"/>
    <col min="11784" max="12032" width="9" style="1"/>
    <col min="12033" max="12036" width="13.75" style="1" customWidth="1"/>
    <col min="12037" max="12038" width="15.5" style="1" customWidth="1"/>
    <col min="12039" max="12039" width="13.75" style="1" customWidth="1"/>
    <col min="12040" max="12288" width="9" style="1"/>
    <col min="12289" max="12292" width="13.75" style="1" customWidth="1"/>
    <col min="12293" max="12294" width="15.5" style="1" customWidth="1"/>
    <col min="12295" max="12295" width="13.75" style="1" customWidth="1"/>
    <col min="12296" max="12544" width="9" style="1"/>
    <col min="12545" max="12548" width="13.75" style="1" customWidth="1"/>
    <col min="12549" max="12550" width="15.5" style="1" customWidth="1"/>
    <col min="12551" max="12551" width="13.75" style="1" customWidth="1"/>
    <col min="12552" max="12800" width="9" style="1"/>
    <col min="12801" max="12804" width="13.75" style="1" customWidth="1"/>
    <col min="12805" max="12806" width="15.5" style="1" customWidth="1"/>
    <col min="12807" max="12807" width="13.75" style="1" customWidth="1"/>
    <col min="12808" max="13056" width="9" style="1"/>
    <col min="13057" max="13060" width="13.75" style="1" customWidth="1"/>
    <col min="13061" max="13062" width="15.5" style="1" customWidth="1"/>
    <col min="13063" max="13063" width="13.75" style="1" customWidth="1"/>
    <col min="13064" max="13312" width="9" style="1"/>
    <col min="13313" max="13316" width="13.75" style="1" customWidth="1"/>
    <col min="13317" max="13318" width="15.5" style="1" customWidth="1"/>
    <col min="13319" max="13319" width="13.75" style="1" customWidth="1"/>
    <col min="13320" max="13568" width="9" style="1"/>
    <col min="13569" max="13572" width="13.75" style="1" customWidth="1"/>
    <col min="13573" max="13574" width="15.5" style="1" customWidth="1"/>
    <col min="13575" max="13575" width="13.75" style="1" customWidth="1"/>
    <col min="13576" max="13824" width="9" style="1"/>
    <col min="13825" max="13828" width="13.75" style="1" customWidth="1"/>
    <col min="13829" max="13830" width="15.5" style="1" customWidth="1"/>
    <col min="13831" max="13831" width="13.75" style="1" customWidth="1"/>
    <col min="13832" max="14080" width="9" style="1"/>
    <col min="14081" max="14084" width="13.75" style="1" customWidth="1"/>
    <col min="14085" max="14086" width="15.5" style="1" customWidth="1"/>
    <col min="14087" max="14087" width="13.75" style="1" customWidth="1"/>
    <col min="14088" max="14336" width="9" style="1"/>
    <col min="14337" max="14340" width="13.75" style="1" customWidth="1"/>
    <col min="14341" max="14342" width="15.5" style="1" customWidth="1"/>
    <col min="14343" max="14343" width="13.75" style="1" customWidth="1"/>
    <col min="14344" max="14592" width="9" style="1"/>
    <col min="14593" max="14596" width="13.75" style="1" customWidth="1"/>
    <col min="14597" max="14598" width="15.5" style="1" customWidth="1"/>
    <col min="14599" max="14599" width="13.75" style="1" customWidth="1"/>
    <col min="14600" max="14848" width="9" style="1"/>
    <col min="14849" max="14852" width="13.75" style="1" customWidth="1"/>
    <col min="14853" max="14854" width="15.5" style="1" customWidth="1"/>
    <col min="14855" max="14855" width="13.75" style="1" customWidth="1"/>
    <col min="14856" max="15104" width="9" style="1"/>
    <col min="15105" max="15108" width="13.75" style="1" customWidth="1"/>
    <col min="15109" max="15110" width="15.5" style="1" customWidth="1"/>
    <col min="15111" max="15111" width="13.75" style="1" customWidth="1"/>
    <col min="15112" max="15360" width="9" style="1"/>
    <col min="15361" max="15364" width="13.75" style="1" customWidth="1"/>
    <col min="15365" max="15366" width="15.5" style="1" customWidth="1"/>
    <col min="15367" max="15367" width="13.75" style="1" customWidth="1"/>
    <col min="15368" max="15616" width="9" style="1"/>
    <col min="15617" max="15620" width="13.75" style="1" customWidth="1"/>
    <col min="15621" max="15622" width="15.5" style="1" customWidth="1"/>
    <col min="15623" max="15623" width="13.75" style="1" customWidth="1"/>
    <col min="15624" max="15872" width="9" style="1"/>
    <col min="15873" max="15876" width="13.75" style="1" customWidth="1"/>
    <col min="15877" max="15878" width="15.5" style="1" customWidth="1"/>
    <col min="15879" max="15879" width="13.75" style="1" customWidth="1"/>
    <col min="15880" max="16128" width="9" style="1"/>
    <col min="16129" max="16132" width="13.75" style="1" customWidth="1"/>
    <col min="16133" max="16134" width="15.5" style="1" customWidth="1"/>
    <col min="16135" max="16135" width="13.75" style="1" customWidth="1"/>
    <col min="16136" max="16384" width="9" style="1"/>
  </cols>
  <sheetData>
    <row r="1" spans="1:6" ht="15.75" customHeight="1" x14ac:dyDescent="0.25">
      <c r="A1" s="1" t="str">
        <f>'THONG TIN'!C3</f>
        <v>Công ty TNHH Thuận An</v>
      </c>
      <c r="E1" s="108" t="s">
        <v>1</v>
      </c>
      <c r="F1" s="108"/>
    </row>
    <row r="2" spans="1:6" ht="15.75" customHeight="1" x14ac:dyDescent="0.25">
      <c r="A2" s="1" t="str">
        <f>'THONG TIN'!C4</f>
        <v>Ấp Chồng Nô 3, Xã Hòa Tân, Huyện Cầu Kè, Tỉnh Trà Vinh</v>
      </c>
      <c r="E2" s="101" t="s">
        <v>2</v>
      </c>
      <c r="F2" s="101"/>
    </row>
    <row r="3" spans="1:6" ht="15.75" customHeight="1" x14ac:dyDescent="0.25">
      <c r="E3" s="101" t="s">
        <v>53</v>
      </c>
      <c r="F3" s="101"/>
    </row>
    <row r="4" spans="1:6" x14ac:dyDescent="0.25">
      <c r="E4" s="101" t="s">
        <v>3</v>
      </c>
      <c r="F4" s="101"/>
    </row>
    <row r="5" spans="1:6" ht="18" x14ac:dyDescent="0.25">
      <c r="A5" s="102" t="s">
        <v>4</v>
      </c>
      <c r="B5" s="102"/>
      <c r="C5" s="102"/>
      <c r="D5" s="102"/>
      <c r="E5" s="102"/>
      <c r="F5" s="102"/>
    </row>
    <row r="6" spans="1:6" x14ac:dyDescent="0.25">
      <c r="A6" s="103" t="s">
        <v>81</v>
      </c>
      <c r="B6" s="103"/>
      <c r="C6" s="103"/>
      <c r="D6" s="103"/>
      <c r="E6" s="103"/>
      <c r="F6" s="103"/>
    </row>
    <row r="7" spans="1:6" x14ac:dyDescent="0.25">
      <c r="B7" s="1" t="s">
        <v>72</v>
      </c>
      <c r="C7" s="52" t="s">
        <v>68</v>
      </c>
    </row>
    <row r="8" spans="1:6" x14ac:dyDescent="0.25">
      <c r="B8" s="2" t="s">
        <v>55</v>
      </c>
      <c r="C8" s="3"/>
      <c r="D8" s="3"/>
      <c r="E8" s="53"/>
      <c r="F8" s="3"/>
    </row>
    <row r="9" spans="1:6" x14ac:dyDescent="0.25">
      <c r="B9" s="2" t="s">
        <v>56</v>
      </c>
      <c r="C9" s="3"/>
      <c r="D9" s="3"/>
      <c r="E9" s="56">
        <v>8003</v>
      </c>
      <c r="F9" s="3"/>
    </row>
    <row r="10" spans="1:6" x14ac:dyDescent="0.25">
      <c r="B10" s="2" t="s">
        <v>54</v>
      </c>
      <c r="C10" s="3"/>
      <c r="D10" s="3"/>
      <c r="E10" s="3"/>
      <c r="F10" s="3"/>
    </row>
    <row r="12" spans="1:6" ht="15.75" customHeight="1" x14ac:dyDescent="0.25">
      <c r="A12" s="104" t="s">
        <v>5</v>
      </c>
      <c r="B12" s="104" t="s">
        <v>6</v>
      </c>
      <c r="C12" s="104" t="s">
        <v>7</v>
      </c>
      <c r="D12" s="104" t="s">
        <v>8</v>
      </c>
      <c r="E12" s="106" t="s">
        <v>9</v>
      </c>
      <c r="F12" s="107"/>
    </row>
    <row r="13" spans="1:6" x14ac:dyDescent="0.25">
      <c r="A13" s="105"/>
      <c r="B13" s="105"/>
      <c r="C13" s="105"/>
      <c r="D13" s="105"/>
      <c r="E13" s="4" t="s">
        <v>10</v>
      </c>
      <c r="F13" s="4" t="s">
        <v>11</v>
      </c>
    </row>
    <row r="14" spans="1:6" x14ac:dyDescent="0.25">
      <c r="A14" s="5" t="s">
        <v>12</v>
      </c>
      <c r="B14" s="6"/>
      <c r="C14" s="6"/>
      <c r="D14" s="6"/>
      <c r="E14" s="6"/>
      <c r="F14" s="6"/>
    </row>
    <row r="15" spans="1:6" x14ac:dyDescent="0.25">
      <c r="A15" s="15"/>
      <c r="B15" s="16"/>
      <c r="C15" s="16"/>
      <c r="D15" s="16"/>
      <c r="E15" s="16"/>
      <c r="F15" s="16"/>
    </row>
    <row r="16" spans="1:6" x14ac:dyDescent="0.25">
      <c r="A16" s="7" t="s">
        <v>13</v>
      </c>
      <c r="B16" s="8"/>
      <c r="C16" s="8">
        <f>16128000/12</f>
        <v>1344000</v>
      </c>
      <c r="D16" s="8"/>
      <c r="E16" s="8">
        <f>C16</f>
        <v>1344000</v>
      </c>
      <c r="F16" s="8">
        <f>E16/E9</f>
        <v>167.93702361614393</v>
      </c>
    </row>
    <row r="17" spans="1:6" x14ac:dyDescent="0.25">
      <c r="A17" s="7"/>
      <c r="B17" s="8"/>
      <c r="C17" s="8"/>
      <c r="D17" s="8"/>
      <c r="E17" s="8"/>
      <c r="F17" s="8"/>
    </row>
    <row r="18" spans="1:6" x14ac:dyDescent="0.25">
      <c r="A18" s="7" t="s">
        <v>14</v>
      </c>
      <c r="B18" s="8"/>
      <c r="C18" s="8"/>
      <c r="D18" s="8"/>
      <c r="E18" s="9"/>
      <c r="F18" s="9"/>
    </row>
    <row r="19" spans="1:6" x14ac:dyDescent="0.25">
      <c r="A19" s="17"/>
      <c r="B19" s="18"/>
      <c r="C19" s="18"/>
      <c r="D19" s="18"/>
      <c r="E19" s="19"/>
      <c r="F19" s="19"/>
    </row>
    <row r="20" spans="1:6" x14ac:dyDescent="0.25">
      <c r="A20" s="7" t="s">
        <v>0</v>
      </c>
      <c r="B20" s="8"/>
      <c r="C20" s="8"/>
      <c r="D20" s="8"/>
      <c r="E20" s="8"/>
      <c r="F20" s="8"/>
    </row>
    <row r="21" spans="1:6" x14ac:dyDescent="0.25">
      <c r="A21" s="22" t="s">
        <v>71</v>
      </c>
      <c r="B21" s="23"/>
      <c r="C21" s="23">
        <f>12823592+(B21/12)</f>
        <v>12823592</v>
      </c>
      <c r="D21" s="23">
        <f>B21-(B21/12)*3</f>
        <v>0</v>
      </c>
      <c r="E21" s="23">
        <f>B21+C21-D21</f>
        <v>12823592</v>
      </c>
      <c r="F21" s="23">
        <f>E21/E9</f>
        <v>1602.3481194552044</v>
      </c>
    </row>
    <row r="22" spans="1:6" x14ac:dyDescent="0.25">
      <c r="A22" s="20"/>
      <c r="B22" s="21"/>
      <c r="C22" s="21"/>
      <c r="D22" s="21"/>
      <c r="E22" s="21"/>
      <c r="F22" s="21"/>
    </row>
    <row r="23" spans="1:6" x14ac:dyDescent="0.25">
      <c r="A23" s="54" t="s">
        <v>15</v>
      </c>
      <c r="B23" s="55">
        <f>B21+B22</f>
        <v>0</v>
      </c>
      <c r="C23" s="55">
        <f>C21+C22</f>
        <v>12823592</v>
      </c>
      <c r="D23" s="55">
        <f>D21+D22</f>
        <v>0</v>
      </c>
      <c r="E23" s="55">
        <f>E21+E22</f>
        <v>12823592</v>
      </c>
      <c r="F23" s="55">
        <f>F16+F21</f>
        <v>1770.2851430713483</v>
      </c>
    </row>
    <row r="25" spans="1:6" x14ac:dyDescent="0.25">
      <c r="A25" s="13" t="s">
        <v>16</v>
      </c>
      <c r="B25" s="13"/>
      <c r="C25" s="13" t="s">
        <v>17</v>
      </c>
      <c r="D25" s="13"/>
      <c r="E25" s="13" t="s">
        <v>18</v>
      </c>
      <c r="F25" s="13"/>
    </row>
    <row r="26" spans="1:6" x14ac:dyDescent="0.25">
      <c r="A26" s="14" t="s">
        <v>19</v>
      </c>
      <c r="B26" s="14"/>
      <c r="C26" s="14" t="s">
        <v>19</v>
      </c>
      <c r="D26" s="14"/>
      <c r="E26" s="14" t="s">
        <v>20</v>
      </c>
      <c r="F26" s="14"/>
    </row>
    <row r="27" spans="1:6" x14ac:dyDescent="0.25">
      <c r="A27" s="14"/>
      <c r="B27" s="14"/>
      <c r="C27" s="14"/>
      <c r="D27" s="14"/>
      <c r="E27" s="14"/>
      <c r="F27" s="14"/>
    </row>
    <row r="28" spans="1:6" ht="15.75" customHeight="1" x14ac:dyDescent="0.25">
      <c r="A28" s="1" t="str">
        <f>A1</f>
        <v>Công ty TNHH Thuận An</v>
      </c>
      <c r="E28" s="108" t="s">
        <v>1</v>
      </c>
      <c r="F28" s="108"/>
    </row>
    <row r="29" spans="1:6" ht="15.75" customHeight="1" x14ac:dyDescent="0.25">
      <c r="A29" s="1" t="str">
        <f>A2</f>
        <v>Ấp Chồng Nô 3, Xã Hòa Tân, Huyện Cầu Kè, Tỉnh Trà Vinh</v>
      </c>
      <c r="E29" s="101" t="s">
        <v>2</v>
      </c>
      <c r="F29" s="101"/>
    </row>
    <row r="30" spans="1:6" ht="15.75" customHeight="1" x14ac:dyDescent="0.25">
      <c r="E30" s="101" t="s">
        <v>53</v>
      </c>
      <c r="F30" s="101"/>
    </row>
    <row r="31" spans="1:6" x14ac:dyDescent="0.25">
      <c r="E31" s="101" t="s">
        <v>3</v>
      </c>
      <c r="F31" s="101"/>
    </row>
    <row r="32" spans="1:6" ht="18" x14ac:dyDescent="0.25">
      <c r="A32" s="102" t="s">
        <v>4</v>
      </c>
      <c r="B32" s="102"/>
      <c r="C32" s="102"/>
      <c r="D32" s="102"/>
      <c r="E32" s="102"/>
      <c r="F32" s="102"/>
    </row>
    <row r="33" spans="1:6" x14ac:dyDescent="0.25">
      <c r="A33" s="103" t="s">
        <v>82</v>
      </c>
      <c r="B33" s="103"/>
      <c r="C33" s="103"/>
      <c r="D33" s="103"/>
      <c r="E33" s="103"/>
      <c r="F33" s="103"/>
    </row>
    <row r="34" spans="1:6" x14ac:dyDescent="0.25">
      <c r="B34" s="1" t="s">
        <v>72</v>
      </c>
      <c r="C34" s="52" t="s">
        <v>69</v>
      </c>
    </row>
    <row r="35" spans="1:6" x14ac:dyDescent="0.25">
      <c r="B35" s="2" t="s">
        <v>55</v>
      </c>
      <c r="C35" s="3"/>
      <c r="D35" s="3"/>
      <c r="E35" s="53"/>
      <c r="F35" s="3"/>
    </row>
    <row r="36" spans="1:6" x14ac:dyDescent="0.25">
      <c r="B36" s="2" t="s">
        <v>56</v>
      </c>
      <c r="C36" s="3"/>
      <c r="D36" s="3"/>
      <c r="E36" s="56">
        <v>18136</v>
      </c>
      <c r="F36" s="3"/>
    </row>
    <row r="37" spans="1:6" x14ac:dyDescent="0.25">
      <c r="B37" s="2" t="s">
        <v>54</v>
      </c>
      <c r="C37" s="3"/>
      <c r="D37" s="3"/>
      <c r="E37" s="3"/>
      <c r="F37" s="3"/>
    </row>
    <row r="39" spans="1:6" ht="15.75" customHeight="1" x14ac:dyDescent="0.25">
      <c r="A39" s="104" t="s">
        <v>5</v>
      </c>
      <c r="B39" s="104" t="s">
        <v>6</v>
      </c>
      <c r="C39" s="104" t="s">
        <v>7</v>
      </c>
      <c r="D39" s="104" t="s">
        <v>8</v>
      </c>
      <c r="E39" s="106" t="s">
        <v>9</v>
      </c>
      <c r="F39" s="107"/>
    </row>
    <row r="40" spans="1:6" x14ac:dyDescent="0.25">
      <c r="A40" s="105"/>
      <c r="B40" s="105"/>
      <c r="C40" s="105"/>
      <c r="D40" s="105"/>
      <c r="E40" s="4" t="s">
        <v>10</v>
      </c>
      <c r="F40" s="4" t="s">
        <v>11</v>
      </c>
    </row>
    <row r="41" spans="1:6" x14ac:dyDescent="0.25">
      <c r="A41" s="5" t="s">
        <v>12</v>
      </c>
      <c r="B41" s="6"/>
      <c r="C41" s="6"/>
      <c r="D41" s="6"/>
      <c r="E41" s="6"/>
      <c r="F41" s="6"/>
    </row>
    <row r="42" spans="1:6" x14ac:dyDescent="0.25">
      <c r="A42" s="15"/>
      <c r="B42" s="16"/>
      <c r="C42" s="16"/>
      <c r="D42" s="16"/>
      <c r="E42" s="16"/>
      <c r="F42" s="16"/>
    </row>
    <row r="43" spans="1:6" x14ac:dyDescent="0.25">
      <c r="A43" s="7" t="s">
        <v>13</v>
      </c>
      <c r="B43" s="8"/>
      <c r="C43" s="8">
        <f>29952000/12</f>
        <v>2496000</v>
      </c>
      <c r="D43" s="8"/>
      <c r="E43" s="8">
        <f>C43</f>
        <v>2496000</v>
      </c>
      <c r="F43" s="8">
        <f>E43/E36</f>
        <v>137.62681958535509</v>
      </c>
    </row>
    <row r="44" spans="1:6" x14ac:dyDescent="0.25">
      <c r="A44" s="7"/>
      <c r="B44" s="8"/>
      <c r="C44" s="8"/>
      <c r="D44" s="8"/>
      <c r="E44" s="8"/>
      <c r="F44" s="8"/>
    </row>
    <row r="45" spans="1:6" x14ac:dyDescent="0.25">
      <c r="A45" s="7" t="s">
        <v>14</v>
      </c>
      <c r="B45" s="8"/>
      <c r="C45" s="8"/>
      <c r="D45" s="8"/>
      <c r="E45" s="9"/>
      <c r="F45" s="9"/>
    </row>
    <row r="46" spans="1:6" x14ac:dyDescent="0.25">
      <c r="A46" s="17"/>
      <c r="B46" s="18"/>
      <c r="C46" s="18"/>
      <c r="D46" s="18"/>
      <c r="E46" s="19"/>
      <c r="F46" s="19"/>
    </row>
    <row r="47" spans="1:6" x14ac:dyDescent="0.25">
      <c r="A47" s="7" t="s">
        <v>0</v>
      </c>
      <c r="B47" s="8"/>
      <c r="C47" s="74"/>
      <c r="D47" s="74"/>
      <c r="E47" s="8"/>
      <c r="F47" s="8"/>
    </row>
    <row r="48" spans="1:6" x14ac:dyDescent="0.25">
      <c r="A48" s="72" t="s">
        <v>71</v>
      </c>
      <c r="B48" s="74"/>
      <c r="C48" s="74">
        <v>21449563</v>
      </c>
      <c r="D48" s="74">
        <f>B48-(B48/12)*3</f>
        <v>0</v>
      </c>
      <c r="E48" s="74">
        <f>B48+C48-D48</f>
        <v>21449563</v>
      </c>
      <c r="F48" s="8">
        <f>E48/E36</f>
        <v>1182.7063850904278</v>
      </c>
    </row>
    <row r="49" spans="1:6" x14ac:dyDescent="0.25">
      <c r="A49" s="72" t="s">
        <v>73</v>
      </c>
      <c r="B49" s="74"/>
      <c r="C49" s="74">
        <f>825978+(B49/12)</f>
        <v>825978</v>
      </c>
      <c r="D49" s="74"/>
      <c r="E49" s="74">
        <f>B49+C49-D49</f>
        <v>825978</v>
      </c>
      <c r="F49" s="8">
        <f>E49/E36</f>
        <v>45.543559770621968</v>
      </c>
    </row>
    <row r="50" spans="1:6" x14ac:dyDescent="0.25">
      <c r="A50" s="73"/>
      <c r="B50" s="75"/>
      <c r="C50" s="75"/>
      <c r="D50" s="75"/>
      <c r="E50" s="75"/>
      <c r="F50" s="70"/>
    </row>
    <row r="51" spans="1:6" x14ac:dyDescent="0.25">
      <c r="A51" s="4" t="s">
        <v>15</v>
      </c>
      <c r="B51" s="55">
        <f>B48+B49</f>
        <v>0</v>
      </c>
      <c r="C51" s="55">
        <f>C48+C49+C50</f>
        <v>22275541</v>
      </c>
      <c r="D51" s="55">
        <f>D48+D49</f>
        <v>0</v>
      </c>
      <c r="E51" s="55">
        <f>E48+E49+E50</f>
        <v>22275541</v>
      </c>
      <c r="F51" s="55">
        <f>F43+F48+F49</f>
        <v>1365.8767644464049</v>
      </c>
    </row>
    <row r="52" spans="1:6" x14ac:dyDescent="0.25">
      <c r="A52" s="10"/>
      <c r="B52" s="11"/>
      <c r="C52" s="12"/>
      <c r="D52" s="12"/>
      <c r="E52" s="12"/>
      <c r="F52" s="12"/>
    </row>
    <row r="53" spans="1:6" x14ac:dyDescent="0.25">
      <c r="A53" s="13" t="s">
        <v>16</v>
      </c>
      <c r="B53" s="13"/>
      <c r="C53" s="13" t="s">
        <v>17</v>
      </c>
      <c r="D53" s="13"/>
      <c r="E53" s="13" t="s">
        <v>18</v>
      </c>
      <c r="F53" s="13"/>
    </row>
    <row r="54" spans="1:6" x14ac:dyDescent="0.25">
      <c r="A54" s="14" t="s">
        <v>19</v>
      </c>
      <c r="B54" s="14"/>
      <c r="C54" s="14" t="s">
        <v>19</v>
      </c>
      <c r="D54" s="14"/>
      <c r="E54" s="14" t="s">
        <v>20</v>
      </c>
      <c r="F54" s="14"/>
    </row>
  </sheetData>
  <mergeCells count="22">
    <mergeCell ref="E28:F28"/>
    <mergeCell ref="E1:F1"/>
    <mergeCell ref="E2:F2"/>
    <mergeCell ref="E3:F3"/>
    <mergeCell ref="E4:F4"/>
    <mergeCell ref="A5:F5"/>
    <mergeCell ref="A6:F6"/>
    <mergeCell ref="A12:A13"/>
    <mergeCell ref="B12:B13"/>
    <mergeCell ref="C12:C13"/>
    <mergeCell ref="D12:D13"/>
    <mergeCell ref="E12:F12"/>
    <mergeCell ref="A39:A40"/>
    <mergeCell ref="B39:B40"/>
    <mergeCell ref="C39:C40"/>
    <mergeCell ref="D39:D40"/>
    <mergeCell ref="E39:F39"/>
    <mergeCell ref="E29:F29"/>
    <mergeCell ref="E30:F30"/>
    <mergeCell ref="E31:F31"/>
    <mergeCell ref="A32:F32"/>
    <mergeCell ref="A33:F3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4"/>
  <sheetViews>
    <sheetView topLeftCell="A34" workbookViewId="0">
      <selection activeCell="D48" sqref="D48"/>
    </sheetView>
  </sheetViews>
  <sheetFormatPr defaultRowHeight="15.75" x14ac:dyDescent="0.25"/>
  <cols>
    <col min="1" max="1" width="45" style="1" customWidth="1"/>
    <col min="2" max="2" width="13" style="1" customWidth="1"/>
    <col min="3" max="4" width="13.75" style="1" customWidth="1"/>
    <col min="5" max="6" width="15.5" style="1" customWidth="1"/>
    <col min="7" max="7" width="13.75" style="1" customWidth="1"/>
    <col min="8" max="256" width="9" style="1"/>
    <col min="257" max="260" width="13.75" style="1" customWidth="1"/>
    <col min="261" max="262" width="15.5" style="1" customWidth="1"/>
    <col min="263" max="263" width="13.75" style="1" customWidth="1"/>
    <col min="264" max="512" width="9" style="1"/>
    <col min="513" max="516" width="13.75" style="1" customWidth="1"/>
    <col min="517" max="518" width="15.5" style="1" customWidth="1"/>
    <col min="519" max="519" width="13.75" style="1" customWidth="1"/>
    <col min="520" max="768" width="9" style="1"/>
    <col min="769" max="772" width="13.75" style="1" customWidth="1"/>
    <col min="773" max="774" width="15.5" style="1" customWidth="1"/>
    <col min="775" max="775" width="13.75" style="1" customWidth="1"/>
    <col min="776" max="1024" width="9" style="1"/>
    <col min="1025" max="1028" width="13.75" style="1" customWidth="1"/>
    <col min="1029" max="1030" width="15.5" style="1" customWidth="1"/>
    <col min="1031" max="1031" width="13.75" style="1" customWidth="1"/>
    <col min="1032" max="1280" width="9" style="1"/>
    <col min="1281" max="1284" width="13.75" style="1" customWidth="1"/>
    <col min="1285" max="1286" width="15.5" style="1" customWidth="1"/>
    <col min="1287" max="1287" width="13.75" style="1" customWidth="1"/>
    <col min="1288" max="1536" width="9" style="1"/>
    <col min="1537" max="1540" width="13.75" style="1" customWidth="1"/>
    <col min="1541" max="1542" width="15.5" style="1" customWidth="1"/>
    <col min="1543" max="1543" width="13.75" style="1" customWidth="1"/>
    <col min="1544" max="1792" width="9" style="1"/>
    <col min="1793" max="1796" width="13.75" style="1" customWidth="1"/>
    <col min="1797" max="1798" width="15.5" style="1" customWidth="1"/>
    <col min="1799" max="1799" width="13.75" style="1" customWidth="1"/>
    <col min="1800" max="2048" width="9" style="1"/>
    <col min="2049" max="2052" width="13.75" style="1" customWidth="1"/>
    <col min="2053" max="2054" width="15.5" style="1" customWidth="1"/>
    <col min="2055" max="2055" width="13.75" style="1" customWidth="1"/>
    <col min="2056" max="2304" width="9" style="1"/>
    <col min="2305" max="2308" width="13.75" style="1" customWidth="1"/>
    <col min="2309" max="2310" width="15.5" style="1" customWidth="1"/>
    <col min="2311" max="2311" width="13.75" style="1" customWidth="1"/>
    <col min="2312" max="2560" width="9" style="1"/>
    <col min="2561" max="2564" width="13.75" style="1" customWidth="1"/>
    <col min="2565" max="2566" width="15.5" style="1" customWidth="1"/>
    <col min="2567" max="2567" width="13.75" style="1" customWidth="1"/>
    <col min="2568" max="2816" width="9" style="1"/>
    <col min="2817" max="2820" width="13.75" style="1" customWidth="1"/>
    <col min="2821" max="2822" width="15.5" style="1" customWidth="1"/>
    <col min="2823" max="2823" width="13.75" style="1" customWidth="1"/>
    <col min="2824" max="3072" width="9" style="1"/>
    <col min="3073" max="3076" width="13.75" style="1" customWidth="1"/>
    <col min="3077" max="3078" width="15.5" style="1" customWidth="1"/>
    <col min="3079" max="3079" width="13.75" style="1" customWidth="1"/>
    <col min="3080" max="3328" width="9" style="1"/>
    <col min="3329" max="3332" width="13.75" style="1" customWidth="1"/>
    <col min="3333" max="3334" width="15.5" style="1" customWidth="1"/>
    <col min="3335" max="3335" width="13.75" style="1" customWidth="1"/>
    <col min="3336" max="3584" width="9" style="1"/>
    <col min="3585" max="3588" width="13.75" style="1" customWidth="1"/>
    <col min="3589" max="3590" width="15.5" style="1" customWidth="1"/>
    <col min="3591" max="3591" width="13.75" style="1" customWidth="1"/>
    <col min="3592" max="3840" width="9" style="1"/>
    <col min="3841" max="3844" width="13.75" style="1" customWidth="1"/>
    <col min="3845" max="3846" width="15.5" style="1" customWidth="1"/>
    <col min="3847" max="3847" width="13.75" style="1" customWidth="1"/>
    <col min="3848" max="4096" width="9" style="1"/>
    <col min="4097" max="4100" width="13.75" style="1" customWidth="1"/>
    <col min="4101" max="4102" width="15.5" style="1" customWidth="1"/>
    <col min="4103" max="4103" width="13.75" style="1" customWidth="1"/>
    <col min="4104" max="4352" width="9" style="1"/>
    <col min="4353" max="4356" width="13.75" style="1" customWidth="1"/>
    <col min="4357" max="4358" width="15.5" style="1" customWidth="1"/>
    <col min="4359" max="4359" width="13.75" style="1" customWidth="1"/>
    <col min="4360" max="4608" width="9" style="1"/>
    <col min="4609" max="4612" width="13.75" style="1" customWidth="1"/>
    <col min="4613" max="4614" width="15.5" style="1" customWidth="1"/>
    <col min="4615" max="4615" width="13.75" style="1" customWidth="1"/>
    <col min="4616" max="4864" width="9" style="1"/>
    <col min="4865" max="4868" width="13.75" style="1" customWidth="1"/>
    <col min="4869" max="4870" width="15.5" style="1" customWidth="1"/>
    <col min="4871" max="4871" width="13.75" style="1" customWidth="1"/>
    <col min="4872" max="5120" width="9" style="1"/>
    <col min="5121" max="5124" width="13.75" style="1" customWidth="1"/>
    <col min="5125" max="5126" width="15.5" style="1" customWidth="1"/>
    <col min="5127" max="5127" width="13.75" style="1" customWidth="1"/>
    <col min="5128" max="5376" width="9" style="1"/>
    <col min="5377" max="5380" width="13.75" style="1" customWidth="1"/>
    <col min="5381" max="5382" width="15.5" style="1" customWidth="1"/>
    <col min="5383" max="5383" width="13.75" style="1" customWidth="1"/>
    <col min="5384" max="5632" width="9" style="1"/>
    <col min="5633" max="5636" width="13.75" style="1" customWidth="1"/>
    <col min="5637" max="5638" width="15.5" style="1" customWidth="1"/>
    <col min="5639" max="5639" width="13.75" style="1" customWidth="1"/>
    <col min="5640" max="5888" width="9" style="1"/>
    <col min="5889" max="5892" width="13.75" style="1" customWidth="1"/>
    <col min="5893" max="5894" width="15.5" style="1" customWidth="1"/>
    <col min="5895" max="5895" width="13.75" style="1" customWidth="1"/>
    <col min="5896" max="6144" width="9" style="1"/>
    <col min="6145" max="6148" width="13.75" style="1" customWidth="1"/>
    <col min="6149" max="6150" width="15.5" style="1" customWidth="1"/>
    <col min="6151" max="6151" width="13.75" style="1" customWidth="1"/>
    <col min="6152" max="6400" width="9" style="1"/>
    <col min="6401" max="6404" width="13.75" style="1" customWidth="1"/>
    <col min="6405" max="6406" width="15.5" style="1" customWidth="1"/>
    <col min="6407" max="6407" width="13.75" style="1" customWidth="1"/>
    <col min="6408" max="6656" width="9" style="1"/>
    <col min="6657" max="6660" width="13.75" style="1" customWidth="1"/>
    <col min="6661" max="6662" width="15.5" style="1" customWidth="1"/>
    <col min="6663" max="6663" width="13.75" style="1" customWidth="1"/>
    <col min="6664" max="6912" width="9" style="1"/>
    <col min="6913" max="6916" width="13.75" style="1" customWidth="1"/>
    <col min="6917" max="6918" width="15.5" style="1" customWidth="1"/>
    <col min="6919" max="6919" width="13.75" style="1" customWidth="1"/>
    <col min="6920" max="7168" width="9" style="1"/>
    <col min="7169" max="7172" width="13.75" style="1" customWidth="1"/>
    <col min="7173" max="7174" width="15.5" style="1" customWidth="1"/>
    <col min="7175" max="7175" width="13.75" style="1" customWidth="1"/>
    <col min="7176" max="7424" width="9" style="1"/>
    <col min="7425" max="7428" width="13.75" style="1" customWidth="1"/>
    <col min="7429" max="7430" width="15.5" style="1" customWidth="1"/>
    <col min="7431" max="7431" width="13.75" style="1" customWidth="1"/>
    <col min="7432" max="7680" width="9" style="1"/>
    <col min="7681" max="7684" width="13.75" style="1" customWidth="1"/>
    <col min="7685" max="7686" width="15.5" style="1" customWidth="1"/>
    <col min="7687" max="7687" width="13.75" style="1" customWidth="1"/>
    <col min="7688" max="7936" width="9" style="1"/>
    <col min="7937" max="7940" width="13.75" style="1" customWidth="1"/>
    <col min="7941" max="7942" width="15.5" style="1" customWidth="1"/>
    <col min="7943" max="7943" width="13.75" style="1" customWidth="1"/>
    <col min="7944" max="8192" width="9" style="1"/>
    <col min="8193" max="8196" width="13.75" style="1" customWidth="1"/>
    <col min="8197" max="8198" width="15.5" style="1" customWidth="1"/>
    <col min="8199" max="8199" width="13.75" style="1" customWidth="1"/>
    <col min="8200" max="8448" width="9" style="1"/>
    <col min="8449" max="8452" width="13.75" style="1" customWidth="1"/>
    <col min="8453" max="8454" width="15.5" style="1" customWidth="1"/>
    <col min="8455" max="8455" width="13.75" style="1" customWidth="1"/>
    <col min="8456" max="8704" width="9" style="1"/>
    <col min="8705" max="8708" width="13.75" style="1" customWidth="1"/>
    <col min="8709" max="8710" width="15.5" style="1" customWidth="1"/>
    <col min="8711" max="8711" width="13.75" style="1" customWidth="1"/>
    <col min="8712" max="8960" width="9" style="1"/>
    <col min="8961" max="8964" width="13.75" style="1" customWidth="1"/>
    <col min="8965" max="8966" width="15.5" style="1" customWidth="1"/>
    <col min="8967" max="8967" width="13.75" style="1" customWidth="1"/>
    <col min="8968" max="9216" width="9" style="1"/>
    <col min="9217" max="9220" width="13.75" style="1" customWidth="1"/>
    <col min="9221" max="9222" width="15.5" style="1" customWidth="1"/>
    <col min="9223" max="9223" width="13.75" style="1" customWidth="1"/>
    <col min="9224" max="9472" width="9" style="1"/>
    <col min="9473" max="9476" width="13.75" style="1" customWidth="1"/>
    <col min="9477" max="9478" width="15.5" style="1" customWidth="1"/>
    <col min="9479" max="9479" width="13.75" style="1" customWidth="1"/>
    <col min="9480" max="9728" width="9" style="1"/>
    <col min="9729" max="9732" width="13.75" style="1" customWidth="1"/>
    <col min="9733" max="9734" width="15.5" style="1" customWidth="1"/>
    <col min="9735" max="9735" width="13.75" style="1" customWidth="1"/>
    <col min="9736" max="9984" width="9" style="1"/>
    <col min="9985" max="9988" width="13.75" style="1" customWidth="1"/>
    <col min="9989" max="9990" width="15.5" style="1" customWidth="1"/>
    <col min="9991" max="9991" width="13.75" style="1" customWidth="1"/>
    <col min="9992" max="10240" width="9" style="1"/>
    <col min="10241" max="10244" width="13.75" style="1" customWidth="1"/>
    <col min="10245" max="10246" width="15.5" style="1" customWidth="1"/>
    <col min="10247" max="10247" width="13.75" style="1" customWidth="1"/>
    <col min="10248" max="10496" width="9" style="1"/>
    <col min="10497" max="10500" width="13.75" style="1" customWidth="1"/>
    <col min="10501" max="10502" width="15.5" style="1" customWidth="1"/>
    <col min="10503" max="10503" width="13.75" style="1" customWidth="1"/>
    <col min="10504" max="10752" width="9" style="1"/>
    <col min="10753" max="10756" width="13.75" style="1" customWidth="1"/>
    <col min="10757" max="10758" width="15.5" style="1" customWidth="1"/>
    <col min="10759" max="10759" width="13.75" style="1" customWidth="1"/>
    <col min="10760" max="11008" width="9" style="1"/>
    <col min="11009" max="11012" width="13.75" style="1" customWidth="1"/>
    <col min="11013" max="11014" width="15.5" style="1" customWidth="1"/>
    <col min="11015" max="11015" width="13.75" style="1" customWidth="1"/>
    <col min="11016" max="11264" width="9" style="1"/>
    <col min="11265" max="11268" width="13.75" style="1" customWidth="1"/>
    <col min="11269" max="11270" width="15.5" style="1" customWidth="1"/>
    <col min="11271" max="11271" width="13.75" style="1" customWidth="1"/>
    <col min="11272" max="11520" width="9" style="1"/>
    <col min="11521" max="11524" width="13.75" style="1" customWidth="1"/>
    <col min="11525" max="11526" width="15.5" style="1" customWidth="1"/>
    <col min="11527" max="11527" width="13.75" style="1" customWidth="1"/>
    <col min="11528" max="11776" width="9" style="1"/>
    <col min="11777" max="11780" width="13.75" style="1" customWidth="1"/>
    <col min="11781" max="11782" width="15.5" style="1" customWidth="1"/>
    <col min="11783" max="11783" width="13.75" style="1" customWidth="1"/>
    <col min="11784" max="12032" width="9" style="1"/>
    <col min="12033" max="12036" width="13.75" style="1" customWidth="1"/>
    <col min="12037" max="12038" width="15.5" style="1" customWidth="1"/>
    <col min="12039" max="12039" width="13.75" style="1" customWidth="1"/>
    <col min="12040" max="12288" width="9" style="1"/>
    <col min="12289" max="12292" width="13.75" style="1" customWidth="1"/>
    <col min="12293" max="12294" width="15.5" style="1" customWidth="1"/>
    <col min="12295" max="12295" width="13.75" style="1" customWidth="1"/>
    <col min="12296" max="12544" width="9" style="1"/>
    <col min="12545" max="12548" width="13.75" style="1" customWidth="1"/>
    <col min="12549" max="12550" width="15.5" style="1" customWidth="1"/>
    <col min="12551" max="12551" width="13.75" style="1" customWidth="1"/>
    <col min="12552" max="12800" width="9" style="1"/>
    <col min="12801" max="12804" width="13.75" style="1" customWidth="1"/>
    <col min="12805" max="12806" width="15.5" style="1" customWidth="1"/>
    <col min="12807" max="12807" width="13.75" style="1" customWidth="1"/>
    <col min="12808" max="13056" width="9" style="1"/>
    <col min="13057" max="13060" width="13.75" style="1" customWidth="1"/>
    <col min="13061" max="13062" width="15.5" style="1" customWidth="1"/>
    <col min="13063" max="13063" width="13.75" style="1" customWidth="1"/>
    <col min="13064" max="13312" width="9" style="1"/>
    <col min="13313" max="13316" width="13.75" style="1" customWidth="1"/>
    <col min="13317" max="13318" width="15.5" style="1" customWidth="1"/>
    <col min="13319" max="13319" width="13.75" style="1" customWidth="1"/>
    <col min="13320" max="13568" width="9" style="1"/>
    <col min="13569" max="13572" width="13.75" style="1" customWidth="1"/>
    <col min="13573" max="13574" width="15.5" style="1" customWidth="1"/>
    <col min="13575" max="13575" width="13.75" style="1" customWidth="1"/>
    <col min="13576" max="13824" width="9" style="1"/>
    <col min="13825" max="13828" width="13.75" style="1" customWidth="1"/>
    <col min="13829" max="13830" width="15.5" style="1" customWidth="1"/>
    <col min="13831" max="13831" width="13.75" style="1" customWidth="1"/>
    <col min="13832" max="14080" width="9" style="1"/>
    <col min="14081" max="14084" width="13.75" style="1" customWidth="1"/>
    <col min="14085" max="14086" width="15.5" style="1" customWidth="1"/>
    <col min="14087" max="14087" width="13.75" style="1" customWidth="1"/>
    <col min="14088" max="14336" width="9" style="1"/>
    <col min="14337" max="14340" width="13.75" style="1" customWidth="1"/>
    <col min="14341" max="14342" width="15.5" style="1" customWidth="1"/>
    <col min="14343" max="14343" width="13.75" style="1" customWidth="1"/>
    <col min="14344" max="14592" width="9" style="1"/>
    <col min="14593" max="14596" width="13.75" style="1" customWidth="1"/>
    <col min="14597" max="14598" width="15.5" style="1" customWidth="1"/>
    <col min="14599" max="14599" width="13.75" style="1" customWidth="1"/>
    <col min="14600" max="14848" width="9" style="1"/>
    <col min="14849" max="14852" width="13.75" style="1" customWidth="1"/>
    <col min="14853" max="14854" width="15.5" style="1" customWidth="1"/>
    <col min="14855" max="14855" width="13.75" style="1" customWidth="1"/>
    <col min="14856" max="15104" width="9" style="1"/>
    <col min="15105" max="15108" width="13.75" style="1" customWidth="1"/>
    <col min="15109" max="15110" width="15.5" style="1" customWidth="1"/>
    <col min="15111" max="15111" width="13.75" style="1" customWidth="1"/>
    <col min="15112" max="15360" width="9" style="1"/>
    <col min="15361" max="15364" width="13.75" style="1" customWidth="1"/>
    <col min="15365" max="15366" width="15.5" style="1" customWidth="1"/>
    <col min="15367" max="15367" width="13.75" style="1" customWidth="1"/>
    <col min="15368" max="15616" width="9" style="1"/>
    <col min="15617" max="15620" width="13.75" style="1" customWidth="1"/>
    <col min="15621" max="15622" width="15.5" style="1" customWidth="1"/>
    <col min="15623" max="15623" width="13.75" style="1" customWidth="1"/>
    <col min="15624" max="15872" width="9" style="1"/>
    <col min="15873" max="15876" width="13.75" style="1" customWidth="1"/>
    <col min="15877" max="15878" width="15.5" style="1" customWidth="1"/>
    <col min="15879" max="15879" width="13.75" style="1" customWidth="1"/>
    <col min="15880" max="16128" width="9" style="1"/>
    <col min="16129" max="16132" width="13.75" style="1" customWidth="1"/>
    <col min="16133" max="16134" width="15.5" style="1" customWidth="1"/>
    <col min="16135" max="16135" width="13.75" style="1" customWidth="1"/>
    <col min="16136" max="16384" width="9" style="1"/>
  </cols>
  <sheetData>
    <row r="1" spans="1:6" ht="15.75" customHeight="1" x14ac:dyDescent="0.25">
      <c r="A1" s="1" t="str">
        <f>'THONG TIN'!C3</f>
        <v>Công ty TNHH Thuận An</v>
      </c>
      <c r="E1" s="108" t="s">
        <v>1</v>
      </c>
      <c r="F1" s="108"/>
    </row>
    <row r="2" spans="1:6" ht="15.75" customHeight="1" x14ac:dyDescent="0.25">
      <c r="A2" s="1" t="str">
        <f>'THONG TIN'!C4</f>
        <v>Ấp Chồng Nô 3, Xã Hòa Tân, Huyện Cầu Kè, Tỉnh Trà Vinh</v>
      </c>
      <c r="E2" s="101" t="s">
        <v>2</v>
      </c>
      <c r="F2" s="101"/>
    </row>
    <row r="3" spans="1:6" ht="15.75" customHeight="1" x14ac:dyDescent="0.25">
      <c r="E3" s="101" t="s">
        <v>53</v>
      </c>
      <c r="F3" s="101"/>
    </row>
    <row r="4" spans="1:6" x14ac:dyDescent="0.25">
      <c r="E4" s="101" t="s">
        <v>3</v>
      </c>
      <c r="F4" s="101"/>
    </row>
    <row r="5" spans="1:6" ht="18" x14ac:dyDescent="0.25">
      <c r="A5" s="102" t="s">
        <v>4</v>
      </c>
      <c r="B5" s="102"/>
      <c r="C5" s="102"/>
      <c r="D5" s="102"/>
      <c r="E5" s="102"/>
      <c r="F5" s="102"/>
    </row>
    <row r="6" spans="1:6" x14ac:dyDescent="0.25">
      <c r="A6" s="103" t="s">
        <v>83</v>
      </c>
      <c r="B6" s="103"/>
      <c r="C6" s="103"/>
      <c r="D6" s="103"/>
      <c r="E6" s="103"/>
      <c r="F6" s="103"/>
    </row>
    <row r="7" spans="1:6" x14ac:dyDescent="0.25">
      <c r="B7" s="1" t="s">
        <v>72</v>
      </c>
      <c r="C7" s="52" t="s">
        <v>68</v>
      </c>
    </row>
    <row r="8" spans="1:6" x14ac:dyDescent="0.25">
      <c r="B8" s="2" t="s">
        <v>55</v>
      </c>
      <c r="C8" s="3"/>
      <c r="D8" s="3"/>
      <c r="E8" s="53"/>
      <c r="F8" s="3"/>
    </row>
    <row r="9" spans="1:6" x14ac:dyDescent="0.25">
      <c r="B9" s="2" t="s">
        <v>56</v>
      </c>
      <c r="C9" s="3"/>
      <c r="D9" s="3"/>
      <c r="E9" s="56">
        <v>7259</v>
      </c>
      <c r="F9" s="3"/>
    </row>
    <row r="10" spans="1:6" x14ac:dyDescent="0.25">
      <c r="B10" s="2" t="s">
        <v>54</v>
      </c>
      <c r="C10" s="3"/>
      <c r="D10" s="3"/>
      <c r="E10" s="3"/>
      <c r="F10" s="3"/>
    </row>
    <row r="12" spans="1:6" ht="15.75" customHeight="1" x14ac:dyDescent="0.25">
      <c r="A12" s="104" t="s">
        <v>5</v>
      </c>
      <c r="B12" s="104" t="s">
        <v>6</v>
      </c>
      <c r="C12" s="104" t="s">
        <v>7</v>
      </c>
      <c r="D12" s="104" t="s">
        <v>8</v>
      </c>
      <c r="E12" s="106" t="s">
        <v>9</v>
      </c>
      <c r="F12" s="107"/>
    </row>
    <row r="13" spans="1:6" x14ac:dyDescent="0.25">
      <c r="A13" s="105"/>
      <c r="B13" s="105"/>
      <c r="C13" s="105"/>
      <c r="D13" s="105"/>
      <c r="E13" s="4" t="s">
        <v>10</v>
      </c>
      <c r="F13" s="4" t="s">
        <v>11</v>
      </c>
    </row>
    <row r="14" spans="1:6" x14ac:dyDescent="0.25">
      <c r="A14" s="5" t="s">
        <v>12</v>
      </c>
      <c r="B14" s="6"/>
      <c r="C14" s="6"/>
      <c r="D14" s="6"/>
      <c r="E14" s="6"/>
      <c r="F14" s="6"/>
    </row>
    <row r="15" spans="1:6" x14ac:dyDescent="0.25">
      <c r="A15" s="15"/>
      <c r="B15" s="16"/>
      <c r="C15" s="16"/>
      <c r="D15" s="16"/>
      <c r="E15" s="16"/>
      <c r="F15" s="16"/>
    </row>
    <row r="16" spans="1:6" x14ac:dyDescent="0.25">
      <c r="A16" s="7" t="s">
        <v>13</v>
      </c>
      <c r="B16" s="8"/>
      <c r="C16" s="8">
        <f>16128000/12</f>
        <v>1344000</v>
      </c>
      <c r="D16" s="8"/>
      <c r="E16" s="8">
        <f>C16</f>
        <v>1344000</v>
      </c>
      <c r="F16" s="8">
        <f>E16/E9</f>
        <v>185.14946962391514</v>
      </c>
    </row>
    <row r="17" spans="1:6" x14ac:dyDescent="0.25">
      <c r="A17" s="7"/>
      <c r="B17" s="8"/>
      <c r="C17" s="8"/>
      <c r="D17" s="8"/>
      <c r="E17" s="8"/>
      <c r="F17" s="8"/>
    </row>
    <row r="18" spans="1:6" x14ac:dyDescent="0.25">
      <c r="A18" s="7" t="s">
        <v>14</v>
      </c>
      <c r="B18" s="8"/>
      <c r="C18" s="8"/>
      <c r="D18" s="8"/>
      <c r="E18" s="9"/>
      <c r="F18" s="9"/>
    </row>
    <row r="19" spans="1:6" x14ac:dyDescent="0.25">
      <c r="A19" s="17"/>
      <c r="B19" s="18"/>
      <c r="C19" s="18"/>
      <c r="D19" s="18"/>
      <c r="E19" s="19"/>
      <c r="F19" s="19"/>
    </row>
    <row r="20" spans="1:6" x14ac:dyDescent="0.25">
      <c r="A20" s="7" t="s">
        <v>0</v>
      </c>
      <c r="B20" s="8"/>
      <c r="C20" s="8"/>
      <c r="D20" s="8"/>
      <c r="E20" s="8"/>
      <c r="F20" s="8"/>
    </row>
    <row r="21" spans="1:6" x14ac:dyDescent="0.25">
      <c r="A21" s="22" t="s">
        <v>71</v>
      </c>
      <c r="B21" s="23"/>
      <c r="C21" s="23">
        <f>12823592+(B21/12)</f>
        <v>12823592</v>
      </c>
      <c r="D21" s="23">
        <f>B21-(B21/12)*3</f>
        <v>0</v>
      </c>
      <c r="E21" s="23">
        <f>B21+C21-D21</f>
        <v>12823592</v>
      </c>
      <c r="F21" s="23">
        <f>E21/E9</f>
        <v>1766.5783165725306</v>
      </c>
    </row>
    <row r="22" spans="1:6" x14ac:dyDescent="0.25">
      <c r="A22" s="20"/>
      <c r="B22" s="21"/>
      <c r="C22" s="21"/>
      <c r="D22" s="21"/>
      <c r="E22" s="21"/>
      <c r="F22" s="21"/>
    </row>
    <row r="23" spans="1:6" x14ac:dyDescent="0.25">
      <c r="A23" s="54" t="s">
        <v>15</v>
      </c>
      <c r="B23" s="55">
        <f>B21+B22</f>
        <v>0</v>
      </c>
      <c r="C23" s="55">
        <f>C21+C22</f>
        <v>12823592</v>
      </c>
      <c r="D23" s="55">
        <f>D21+D22</f>
        <v>0</v>
      </c>
      <c r="E23" s="55">
        <f>E21+E22</f>
        <v>12823592</v>
      </c>
      <c r="F23" s="55">
        <f>F16+F21</f>
        <v>1951.7277861964458</v>
      </c>
    </row>
    <row r="25" spans="1:6" x14ac:dyDescent="0.25">
      <c r="A25" s="13" t="s">
        <v>16</v>
      </c>
      <c r="B25" s="13"/>
      <c r="C25" s="13" t="s">
        <v>17</v>
      </c>
      <c r="D25" s="13"/>
      <c r="E25" s="13" t="s">
        <v>18</v>
      </c>
      <c r="F25" s="13"/>
    </row>
    <row r="26" spans="1:6" x14ac:dyDescent="0.25">
      <c r="A26" s="14" t="s">
        <v>19</v>
      </c>
      <c r="B26" s="14"/>
      <c r="C26" s="14" t="s">
        <v>19</v>
      </c>
      <c r="D26" s="14"/>
      <c r="E26" s="14" t="s">
        <v>20</v>
      </c>
      <c r="F26" s="14"/>
    </row>
    <row r="27" spans="1:6" x14ac:dyDescent="0.25">
      <c r="A27" s="14"/>
      <c r="B27" s="14"/>
      <c r="C27" s="14"/>
      <c r="D27" s="14"/>
      <c r="E27" s="14"/>
      <c r="F27" s="14"/>
    </row>
    <row r="28" spans="1:6" ht="15.75" customHeight="1" x14ac:dyDescent="0.25">
      <c r="A28" s="1" t="str">
        <f>A1</f>
        <v>Công ty TNHH Thuận An</v>
      </c>
      <c r="E28" s="108" t="s">
        <v>1</v>
      </c>
      <c r="F28" s="108"/>
    </row>
    <row r="29" spans="1:6" ht="15.75" customHeight="1" x14ac:dyDescent="0.25">
      <c r="A29" s="1" t="str">
        <f>A2</f>
        <v>Ấp Chồng Nô 3, Xã Hòa Tân, Huyện Cầu Kè, Tỉnh Trà Vinh</v>
      </c>
      <c r="E29" s="101" t="s">
        <v>2</v>
      </c>
      <c r="F29" s="101"/>
    </row>
    <row r="30" spans="1:6" ht="15.75" customHeight="1" x14ac:dyDescent="0.25">
      <c r="E30" s="101" t="s">
        <v>53</v>
      </c>
      <c r="F30" s="101"/>
    </row>
    <row r="31" spans="1:6" x14ac:dyDescent="0.25">
      <c r="E31" s="101" t="s">
        <v>3</v>
      </c>
      <c r="F31" s="101"/>
    </row>
    <row r="32" spans="1:6" ht="18" x14ac:dyDescent="0.25">
      <c r="A32" s="102" t="s">
        <v>4</v>
      </c>
      <c r="B32" s="102"/>
      <c r="C32" s="102"/>
      <c r="D32" s="102"/>
      <c r="E32" s="102"/>
      <c r="F32" s="102"/>
    </row>
    <row r="33" spans="1:6" x14ac:dyDescent="0.25">
      <c r="A33" s="103" t="s">
        <v>84</v>
      </c>
      <c r="B33" s="103"/>
      <c r="C33" s="103"/>
      <c r="D33" s="103"/>
      <c r="E33" s="103"/>
      <c r="F33" s="103"/>
    </row>
    <row r="34" spans="1:6" x14ac:dyDescent="0.25">
      <c r="B34" s="1" t="s">
        <v>72</v>
      </c>
      <c r="C34" s="52" t="s">
        <v>69</v>
      </c>
    </row>
    <row r="35" spans="1:6" x14ac:dyDescent="0.25">
      <c r="B35" s="2" t="s">
        <v>55</v>
      </c>
      <c r="C35" s="3"/>
      <c r="D35" s="3"/>
      <c r="E35" s="53"/>
      <c r="F35" s="3"/>
    </row>
    <row r="36" spans="1:6" x14ac:dyDescent="0.25">
      <c r="B36" s="2" t="s">
        <v>56</v>
      </c>
      <c r="C36" s="3"/>
      <c r="D36" s="3"/>
      <c r="E36" s="56">
        <v>16476</v>
      </c>
      <c r="F36" s="3"/>
    </row>
    <row r="37" spans="1:6" x14ac:dyDescent="0.25">
      <c r="B37" s="2" t="s">
        <v>54</v>
      </c>
      <c r="C37" s="3"/>
      <c r="D37" s="3"/>
      <c r="E37" s="3"/>
      <c r="F37" s="3"/>
    </row>
    <row r="39" spans="1:6" ht="15.75" customHeight="1" x14ac:dyDescent="0.25">
      <c r="A39" s="104" t="s">
        <v>5</v>
      </c>
      <c r="B39" s="104" t="s">
        <v>6</v>
      </c>
      <c r="C39" s="104" t="s">
        <v>7</v>
      </c>
      <c r="D39" s="104" t="s">
        <v>8</v>
      </c>
      <c r="E39" s="106" t="s">
        <v>9</v>
      </c>
      <c r="F39" s="107"/>
    </row>
    <row r="40" spans="1:6" x14ac:dyDescent="0.25">
      <c r="A40" s="105"/>
      <c r="B40" s="105"/>
      <c r="C40" s="105"/>
      <c r="D40" s="105"/>
      <c r="E40" s="4" t="s">
        <v>10</v>
      </c>
      <c r="F40" s="4" t="s">
        <v>11</v>
      </c>
    </row>
    <row r="41" spans="1:6" x14ac:dyDescent="0.25">
      <c r="A41" s="5" t="s">
        <v>12</v>
      </c>
      <c r="B41" s="6"/>
      <c r="C41" s="6"/>
      <c r="D41" s="6"/>
      <c r="E41" s="6"/>
      <c r="F41" s="6"/>
    </row>
    <row r="42" spans="1:6" x14ac:dyDescent="0.25">
      <c r="A42" s="15"/>
      <c r="B42" s="16"/>
      <c r="C42" s="16"/>
      <c r="D42" s="16"/>
      <c r="E42" s="16"/>
      <c r="F42" s="16"/>
    </row>
    <row r="43" spans="1:6" x14ac:dyDescent="0.25">
      <c r="A43" s="7" t="s">
        <v>13</v>
      </c>
      <c r="B43" s="8"/>
      <c r="C43" s="8">
        <f>29952000/12</f>
        <v>2496000</v>
      </c>
      <c r="D43" s="8"/>
      <c r="E43" s="8">
        <f>C43</f>
        <v>2496000</v>
      </c>
      <c r="F43" s="8">
        <f>E43/E36</f>
        <v>151.49308084486526</v>
      </c>
    </row>
    <row r="44" spans="1:6" x14ac:dyDescent="0.25">
      <c r="A44" s="7"/>
      <c r="B44" s="8"/>
      <c r="C44" s="8"/>
      <c r="D44" s="8"/>
      <c r="E44" s="8"/>
      <c r="F44" s="8"/>
    </row>
    <row r="45" spans="1:6" x14ac:dyDescent="0.25">
      <c r="A45" s="7" t="s">
        <v>14</v>
      </c>
      <c r="B45" s="8"/>
      <c r="C45" s="8"/>
      <c r="D45" s="8"/>
      <c r="E45" s="9"/>
      <c r="F45" s="9"/>
    </row>
    <row r="46" spans="1:6" x14ac:dyDescent="0.25">
      <c r="A46" s="17"/>
      <c r="B46" s="18"/>
      <c r="C46" s="18"/>
      <c r="D46" s="18"/>
      <c r="E46" s="19"/>
      <c r="F46" s="19"/>
    </row>
    <row r="47" spans="1:6" x14ac:dyDescent="0.25">
      <c r="A47" s="7" t="s">
        <v>0</v>
      </c>
      <c r="B47" s="8"/>
      <c r="C47" s="74"/>
      <c r="D47" s="74"/>
      <c r="E47" s="8"/>
      <c r="F47" s="8"/>
    </row>
    <row r="48" spans="1:6" x14ac:dyDescent="0.25">
      <c r="A48" s="72" t="s">
        <v>71</v>
      </c>
      <c r="B48" s="74"/>
      <c r="C48" s="74">
        <v>21449563</v>
      </c>
      <c r="D48" s="74">
        <f>B48-(B48/12)*3</f>
        <v>0</v>
      </c>
      <c r="E48" s="74">
        <f>B48+C48-D48</f>
        <v>21449563</v>
      </c>
      <c r="F48" s="8">
        <f>E48/E36</f>
        <v>1301.8671400825442</v>
      </c>
    </row>
    <row r="49" spans="1:6" x14ac:dyDescent="0.25">
      <c r="A49" s="72" t="s">
        <v>73</v>
      </c>
      <c r="B49" s="74"/>
      <c r="C49" s="74">
        <f>825978+(B49/12)</f>
        <v>825978</v>
      </c>
      <c r="D49" s="74"/>
      <c r="E49" s="74">
        <f>B49+C49-D49</f>
        <v>825978</v>
      </c>
      <c r="F49" s="8">
        <f>E49/E36</f>
        <v>50.132192279679536</v>
      </c>
    </row>
    <row r="50" spans="1:6" x14ac:dyDescent="0.25">
      <c r="A50" s="73"/>
      <c r="B50" s="75"/>
      <c r="C50" s="75"/>
      <c r="D50" s="75"/>
      <c r="E50" s="75"/>
      <c r="F50" s="70"/>
    </row>
    <row r="51" spans="1:6" x14ac:dyDescent="0.25">
      <c r="A51" s="4" t="s">
        <v>15</v>
      </c>
      <c r="B51" s="55">
        <f>B48+B49</f>
        <v>0</v>
      </c>
      <c r="C51" s="55">
        <f>C48+C49+C50</f>
        <v>22275541</v>
      </c>
      <c r="D51" s="55">
        <f>D48+D49</f>
        <v>0</v>
      </c>
      <c r="E51" s="55">
        <f>E48+E49+E50</f>
        <v>22275541</v>
      </c>
      <c r="F51" s="55">
        <f>F43+F48+F49</f>
        <v>1503.4924132070889</v>
      </c>
    </row>
    <row r="52" spans="1:6" x14ac:dyDescent="0.25">
      <c r="A52" s="10"/>
      <c r="B52" s="11"/>
      <c r="C52" s="12"/>
      <c r="D52" s="12"/>
      <c r="E52" s="12"/>
      <c r="F52" s="12"/>
    </row>
    <row r="53" spans="1:6" x14ac:dyDescent="0.25">
      <c r="A53" s="13" t="s">
        <v>16</v>
      </c>
      <c r="B53" s="13"/>
      <c r="C53" s="13" t="s">
        <v>17</v>
      </c>
      <c r="D53" s="13"/>
      <c r="E53" s="13" t="s">
        <v>18</v>
      </c>
      <c r="F53" s="13"/>
    </row>
    <row r="54" spans="1:6" x14ac:dyDescent="0.25">
      <c r="A54" s="14" t="s">
        <v>19</v>
      </c>
      <c r="B54" s="14"/>
      <c r="C54" s="14" t="s">
        <v>19</v>
      </c>
      <c r="D54" s="14"/>
      <c r="E54" s="14" t="s">
        <v>20</v>
      </c>
      <c r="F54" s="14"/>
    </row>
  </sheetData>
  <mergeCells count="22">
    <mergeCell ref="E28:F28"/>
    <mergeCell ref="E1:F1"/>
    <mergeCell ref="E2:F2"/>
    <mergeCell ref="E3:F3"/>
    <mergeCell ref="E4:F4"/>
    <mergeCell ref="A5:F5"/>
    <mergeCell ref="A6:F6"/>
    <mergeCell ref="A12:A13"/>
    <mergeCell ref="B12:B13"/>
    <mergeCell ref="C12:C13"/>
    <mergeCell ref="D12:D13"/>
    <mergeCell ref="E12:F12"/>
    <mergeCell ref="A39:A40"/>
    <mergeCell ref="B39:B40"/>
    <mergeCell ref="C39:C40"/>
    <mergeCell ref="D39:D40"/>
    <mergeCell ref="E39:F39"/>
    <mergeCell ref="E29:F29"/>
    <mergeCell ref="E30:F30"/>
    <mergeCell ref="E31:F31"/>
    <mergeCell ref="A32:F32"/>
    <mergeCell ref="A33:F3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4"/>
  <sheetViews>
    <sheetView topLeftCell="A34" workbookViewId="0">
      <selection activeCell="D48" sqref="D48"/>
    </sheetView>
  </sheetViews>
  <sheetFormatPr defaultRowHeight="15.75" x14ac:dyDescent="0.25"/>
  <cols>
    <col min="1" max="1" width="45" style="1" customWidth="1"/>
    <col min="2" max="2" width="13" style="1" customWidth="1"/>
    <col min="3" max="4" width="13.75" style="1" customWidth="1"/>
    <col min="5" max="6" width="15.5" style="1" customWidth="1"/>
    <col min="7" max="7" width="13.75" style="1" customWidth="1"/>
    <col min="8" max="256" width="9" style="1"/>
    <col min="257" max="260" width="13.75" style="1" customWidth="1"/>
    <col min="261" max="262" width="15.5" style="1" customWidth="1"/>
    <col min="263" max="263" width="13.75" style="1" customWidth="1"/>
    <col min="264" max="512" width="9" style="1"/>
    <col min="513" max="516" width="13.75" style="1" customWidth="1"/>
    <col min="517" max="518" width="15.5" style="1" customWidth="1"/>
    <col min="519" max="519" width="13.75" style="1" customWidth="1"/>
    <col min="520" max="768" width="9" style="1"/>
    <col min="769" max="772" width="13.75" style="1" customWidth="1"/>
    <col min="773" max="774" width="15.5" style="1" customWidth="1"/>
    <col min="775" max="775" width="13.75" style="1" customWidth="1"/>
    <col min="776" max="1024" width="9" style="1"/>
    <col min="1025" max="1028" width="13.75" style="1" customWidth="1"/>
    <col min="1029" max="1030" width="15.5" style="1" customWidth="1"/>
    <col min="1031" max="1031" width="13.75" style="1" customWidth="1"/>
    <col min="1032" max="1280" width="9" style="1"/>
    <col min="1281" max="1284" width="13.75" style="1" customWidth="1"/>
    <col min="1285" max="1286" width="15.5" style="1" customWidth="1"/>
    <col min="1287" max="1287" width="13.75" style="1" customWidth="1"/>
    <col min="1288" max="1536" width="9" style="1"/>
    <col min="1537" max="1540" width="13.75" style="1" customWidth="1"/>
    <col min="1541" max="1542" width="15.5" style="1" customWidth="1"/>
    <col min="1543" max="1543" width="13.75" style="1" customWidth="1"/>
    <col min="1544" max="1792" width="9" style="1"/>
    <col min="1793" max="1796" width="13.75" style="1" customWidth="1"/>
    <col min="1797" max="1798" width="15.5" style="1" customWidth="1"/>
    <col min="1799" max="1799" width="13.75" style="1" customWidth="1"/>
    <col min="1800" max="2048" width="9" style="1"/>
    <col min="2049" max="2052" width="13.75" style="1" customWidth="1"/>
    <col min="2053" max="2054" width="15.5" style="1" customWidth="1"/>
    <col min="2055" max="2055" width="13.75" style="1" customWidth="1"/>
    <col min="2056" max="2304" width="9" style="1"/>
    <col min="2305" max="2308" width="13.75" style="1" customWidth="1"/>
    <col min="2309" max="2310" width="15.5" style="1" customWidth="1"/>
    <col min="2311" max="2311" width="13.75" style="1" customWidth="1"/>
    <col min="2312" max="2560" width="9" style="1"/>
    <col min="2561" max="2564" width="13.75" style="1" customWidth="1"/>
    <col min="2565" max="2566" width="15.5" style="1" customWidth="1"/>
    <col min="2567" max="2567" width="13.75" style="1" customWidth="1"/>
    <col min="2568" max="2816" width="9" style="1"/>
    <col min="2817" max="2820" width="13.75" style="1" customWidth="1"/>
    <col min="2821" max="2822" width="15.5" style="1" customWidth="1"/>
    <col min="2823" max="2823" width="13.75" style="1" customWidth="1"/>
    <col min="2824" max="3072" width="9" style="1"/>
    <col min="3073" max="3076" width="13.75" style="1" customWidth="1"/>
    <col min="3077" max="3078" width="15.5" style="1" customWidth="1"/>
    <col min="3079" max="3079" width="13.75" style="1" customWidth="1"/>
    <col min="3080" max="3328" width="9" style="1"/>
    <col min="3329" max="3332" width="13.75" style="1" customWidth="1"/>
    <col min="3333" max="3334" width="15.5" style="1" customWidth="1"/>
    <col min="3335" max="3335" width="13.75" style="1" customWidth="1"/>
    <col min="3336" max="3584" width="9" style="1"/>
    <col min="3585" max="3588" width="13.75" style="1" customWidth="1"/>
    <col min="3589" max="3590" width="15.5" style="1" customWidth="1"/>
    <col min="3591" max="3591" width="13.75" style="1" customWidth="1"/>
    <col min="3592" max="3840" width="9" style="1"/>
    <col min="3841" max="3844" width="13.75" style="1" customWidth="1"/>
    <col min="3845" max="3846" width="15.5" style="1" customWidth="1"/>
    <col min="3847" max="3847" width="13.75" style="1" customWidth="1"/>
    <col min="3848" max="4096" width="9" style="1"/>
    <col min="4097" max="4100" width="13.75" style="1" customWidth="1"/>
    <col min="4101" max="4102" width="15.5" style="1" customWidth="1"/>
    <col min="4103" max="4103" width="13.75" style="1" customWidth="1"/>
    <col min="4104" max="4352" width="9" style="1"/>
    <col min="4353" max="4356" width="13.75" style="1" customWidth="1"/>
    <col min="4357" max="4358" width="15.5" style="1" customWidth="1"/>
    <col min="4359" max="4359" width="13.75" style="1" customWidth="1"/>
    <col min="4360" max="4608" width="9" style="1"/>
    <col min="4609" max="4612" width="13.75" style="1" customWidth="1"/>
    <col min="4613" max="4614" width="15.5" style="1" customWidth="1"/>
    <col min="4615" max="4615" width="13.75" style="1" customWidth="1"/>
    <col min="4616" max="4864" width="9" style="1"/>
    <col min="4865" max="4868" width="13.75" style="1" customWidth="1"/>
    <col min="4869" max="4870" width="15.5" style="1" customWidth="1"/>
    <col min="4871" max="4871" width="13.75" style="1" customWidth="1"/>
    <col min="4872" max="5120" width="9" style="1"/>
    <col min="5121" max="5124" width="13.75" style="1" customWidth="1"/>
    <col min="5125" max="5126" width="15.5" style="1" customWidth="1"/>
    <col min="5127" max="5127" width="13.75" style="1" customWidth="1"/>
    <col min="5128" max="5376" width="9" style="1"/>
    <col min="5377" max="5380" width="13.75" style="1" customWidth="1"/>
    <col min="5381" max="5382" width="15.5" style="1" customWidth="1"/>
    <col min="5383" max="5383" width="13.75" style="1" customWidth="1"/>
    <col min="5384" max="5632" width="9" style="1"/>
    <col min="5633" max="5636" width="13.75" style="1" customWidth="1"/>
    <col min="5637" max="5638" width="15.5" style="1" customWidth="1"/>
    <col min="5639" max="5639" width="13.75" style="1" customWidth="1"/>
    <col min="5640" max="5888" width="9" style="1"/>
    <col min="5889" max="5892" width="13.75" style="1" customWidth="1"/>
    <col min="5893" max="5894" width="15.5" style="1" customWidth="1"/>
    <col min="5895" max="5895" width="13.75" style="1" customWidth="1"/>
    <col min="5896" max="6144" width="9" style="1"/>
    <col min="6145" max="6148" width="13.75" style="1" customWidth="1"/>
    <col min="6149" max="6150" width="15.5" style="1" customWidth="1"/>
    <col min="6151" max="6151" width="13.75" style="1" customWidth="1"/>
    <col min="6152" max="6400" width="9" style="1"/>
    <col min="6401" max="6404" width="13.75" style="1" customWidth="1"/>
    <col min="6405" max="6406" width="15.5" style="1" customWidth="1"/>
    <col min="6407" max="6407" width="13.75" style="1" customWidth="1"/>
    <col min="6408" max="6656" width="9" style="1"/>
    <col min="6657" max="6660" width="13.75" style="1" customWidth="1"/>
    <col min="6661" max="6662" width="15.5" style="1" customWidth="1"/>
    <col min="6663" max="6663" width="13.75" style="1" customWidth="1"/>
    <col min="6664" max="6912" width="9" style="1"/>
    <col min="6913" max="6916" width="13.75" style="1" customWidth="1"/>
    <col min="6917" max="6918" width="15.5" style="1" customWidth="1"/>
    <col min="6919" max="6919" width="13.75" style="1" customWidth="1"/>
    <col min="6920" max="7168" width="9" style="1"/>
    <col min="7169" max="7172" width="13.75" style="1" customWidth="1"/>
    <col min="7173" max="7174" width="15.5" style="1" customWidth="1"/>
    <col min="7175" max="7175" width="13.75" style="1" customWidth="1"/>
    <col min="7176" max="7424" width="9" style="1"/>
    <col min="7425" max="7428" width="13.75" style="1" customWidth="1"/>
    <col min="7429" max="7430" width="15.5" style="1" customWidth="1"/>
    <col min="7431" max="7431" width="13.75" style="1" customWidth="1"/>
    <col min="7432" max="7680" width="9" style="1"/>
    <col min="7681" max="7684" width="13.75" style="1" customWidth="1"/>
    <col min="7685" max="7686" width="15.5" style="1" customWidth="1"/>
    <col min="7687" max="7687" width="13.75" style="1" customWidth="1"/>
    <col min="7688" max="7936" width="9" style="1"/>
    <col min="7937" max="7940" width="13.75" style="1" customWidth="1"/>
    <col min="7941" max="7942" width="15.5" style="1" customWidth="1"/>
    <col min="7943" max="7943" width="13.75" style="1" customWidth="1"/>
    <col min="7944" max="8192" width="9" style="1"/>
    <col min="8193" max="8196" width="13.75" style="1" customWidth="1"/>
    <col min="8197" max="8198" width="15.5" style="1" customWidth="1"/>
    <col min="8199" max="8199" width="13.75" style="1" customWidth="1"/>
    <col min="8200" max="8448" width="9" style="1"/>
    <col min="8449" max="8452" width="13.75" style="1" customWidth="1"/>
    <col min="8453" max="8454" width="15.5" style="1" customWidth="1"/>
    <col min="8455" max="8455" width="13.75" style="1" customWidth="1"/>
    <col min="8456" max="8704" width="9" style="1"/>
    <col min="8705" max="8708" width="13.75" style="1" customWidth="1"/>
    <col min="8709" max="8710" width="15.5" style="1" customWidth="1"/>
    <col min="8711" max="8711" width="13.75" style="1" customWidth="1"/>
    <col min="8712" max="8960" width="9" style="1"/>
    <col min="8961" max="8964" width="13.75" style="1" customWidth="1"/>
    <col min="8965" max="8966" width="15.5" style="1" customWidth="1"/>
    <col min="8967" max="8967" width="13.75" style="1" customWidth="1"/>
    <col min="8968" max="9216" width="9" style="1"/>
    <col min="9217" max="9220" width="13.75" style="1" customWidth="1"/>
    <col min="9221" max="9222" width="15.5" style="1" customWidth="1"/>
    <col min="9223" max="9223" width="13.75" style="1" customWidth="1"/>
    <col min="9224" max="9472" width="9" style="1"/>
    <col min="9473" max="9476" width="13.75" style="1" customWidth="1"/>
    <col min="9477" max="9478" width="15.5" style="1" customWidth="1"/>
    <col min="9479" max="9479" width="13.75" style="1" customWidth="1"/>
    <col min="9480" max="9728" width="9" style="1"/>
    <col min="9729" max="9732" width="13.75" style="1" customWidth="1"/>
    <col min="9733" max="9734" width="15.5" style="1" customWidth="1"/>
    <col min="9735" max="9735" width="13.75" style="1" customWidth="1"/>
    <col min="9736" max="9984" width="9" style="1"/>
    <col min="9985" max="9988" width="13.75" style="1" customWidth="1"/>
    <col min="9989" max="9990" width="15.5" style="1" customWidth="1"/>
    <col min="9991" max="9991" width="13.75" style="1" customWidth="1"/>
    <col min="9992" max="10240" width="9" style="1"/>
    <col min="10241" max="10244" width="13.75" style="1" customWidth="1"/>
    <col min="10245" max="10246" width="15.5" style="1" customWidth="1"/>
    <col min="10247" max="10247" width="13.75" style="1" customWidth="1"/>
    <col min="10248" max="10496" width="9" style="1"/>
    <col min="10497" max="10500" width="13.75" style="1" customWidth="1"/>
    <col min="10501" max="10502" width="15.5" style="1" customWidth="1"/>
    <col min="10503" max="10503" width="13.75" style="1" customWidth="1"/>
    <col min="10504" max="10752" width="9" style="1"/>
    <col min="10753" max="10756" width="13.75" style="1" customWidth="1"/>
    <col min="10757" max="10758" width="15.5" style="1" customWidth="1"/>
    <col min="10759" max="10759" width="13.75" style="1" customWidth="1"/>
    <col min="10760" max="11008" width="9" style="1"/>
    <col min="11009" max="11012" width="13.75" style="1" customWidth="1"/>
    <col min="11013" max="11014" width="15.5" style="1" customWidth="1"/>
    <col min="11015" max="11015" width="13.75" style="1" customWidth="1"/>
    <col min="11016" max="11264" width="9" style="1"/>
    <col min="11265" max="11268" width="13.75" style="1" customWidth="1"/>
    <col min="11269" max="11270" width="15.5" style="1" customWidth="1"/>
    <col min="11271" max="11271" width="13.75" style="1" customWidth="1"/>
    <col min="11272" max="11520" width="9" style="1"/>
    <col min="11521" max="11524" width="13.75" style="1" customWidth="1"/>
    <col min="11525" max="11526" width="15.5" style="1" customWidth="1"/>
    <col min="11527" max="11527" width="13.75" style="1" customWidth="1"/>
    <col min="11528" max="11776" width="9" style="1"/>
    <col min="11777" max="11780" width="13.75" style="1" customWidth="1"/>
    <col min="11781" max="11782" width="15.5" style="1" customWidth="1"/>
    <col min="11783" max="11783" width="13.75" style="1" customWidth="1"/>
    <col min="11784" max="12032" width="9" style="1"/>
    <col min="12033" max="12036" width="13.75" style="1" customWidth="1"/>
    <col min="12037" max="12038" width="15.5" style="1" customWidth="1"/>
    <col min="12039" max="12039" width="13.75" style="1" customWidth="1"/>
    <col min="12040" max="12288" width="9" style="1"/>
    <col min="12289" max="12292" width="13.75" style="1" customWidth="1"/>
    <col min="12293" max="12294" width="15.5" style="1" customWidth="1"/>
    <col min="12295" max="12295" width="13.75" style="1" customWidth="1"/>
    <col min="12296" max="12544" width="9" style="1"/>
    <col min="12545" max="12548" width="13.75" style="1" customWidth="1"/>
    <col min="12549" max="12550" width="15.5" style="1" customWidth="1"/>
    <col min="12551" max="12551" width="13.75" style="1" customWidth="1"/>
    <col min="12552" max="12800" width="9" style="1"/>
    <col min="12801" max="12804" width="13.75" style="1" customWidth="1"/>
    <col min="12805" max="12806" width="15.5" style="1" customWidth="1"/>
    <col min="12807" max="12807" width="13.75" style="1" customWidth="1"/>
    <col min="12808" max="13056" width="9" style="1"/>
    <col min="13057" max="13060" width="13.75" style="1" customWidth="1"/>
    <col min="13061" max="13062" width="15.5" style="1" customWidth="1"/>
    <col min="13063" max="13063" width="13.75" style="1" customWidth="1"/>
    <col min="13064" max="13312" width="9" style="1"/>
    <col min="13313" max="13316" width="13.75" style="1" customWidth="1"/>
    <col min="13317" max="13318" width="15.5" style="1" customWidth="1"/>
    <col min="13319" max="13319" width="13.75" style="1" customWidth="1"/>
    <col min="13320" max="13568" width="9" style="1"/>
    <col min="13569" max="13572" width="13.75" style="1" customWidth="1"/>
    <col min="13573" max="13574" width="15.5" style="1" customWidth="1"/>
    <col min="13575" max="13575" width="13.75" style="1" customWidth="1"/>
    <col min="13576" max="13824" width="9" style="1"/>
    <col min="13825" max="13828" width="13.75" style="1" customWidth="1"/>
    <col min="13829" max="13830" width="15.5" style="1" customWidth="1"/>
    <col min="13831" max="13831" width="13.75" style="1" customWidth="1"/>
    <col min="13832" max="14080" width="9" style="1"/>
    <col min="14081" max="14084" width="13.75" style="1" customWidth="1"/>
    <col min="14085" max="14086" width="15.5" style="1" customWidth="1"/>
    <col min="14087" max="14087" width="13.75" style="1" customWidth="1"/>
    <col min="14088" max="14336" width="9" style="1"/>
    <col min="14337" max="14340" width="13.75" style="1" customWidth="1"/>
    <col min="14341" max="14342" width="15.5" style="1" customWidth="1"/>
    <col min="14343" max="14343" width="13.75" style="1" customWidth="1"/>
    <col min="14344" max="14592" width="9" style="1"/>
    <col min="14593" max="14596" width="13.75" style="1" customWidth="1"/>
    <col min="14597" max="14598" width="15.5" style="1" customWidth="1"/>
    <col min="14599" max="14599" width="13.75" style="1" customWidth="1"/>
    <col min="14600" max="14848" width="9" style="1"/>
    <col min="14849" max="14852" width="13.75" style="1" customWidth="1"/>
    <col min="14853" max="14854" width="15.5" style="1" customWidth="1"/>
    <col min="14855" max="14855" width="13.75" style="1" customWidth="1"/>
    <col min="14856" max="15104" width="9" style="1"/>
    <col min="15105" max="15108" width="13.75" style="1" customWidth="1"/>
    <col min="15109" max="15110" width="15.5" style="1" customWidth="1"/>
    <col min="15111" max="15111" width="13.75" style="1" customWidth="1"/>
    <col min="15112" max="15360" width="9" style="1"/>
    <col min="15361" max="15364" width="13.75" style="1" customWidth="1"/>
    <col min="15365" max="15366" width="15.5" style="1" customWidth="1"/>
    <col min="15367" max="15367" width="13.75" style="1" customWidth="1"/>
    <col min="15368" max="15616" width="9" style="1"/>
    <col min="15617" max="15620" width="13.75" style="1" customWidth="1"/>
    <col min="15621" max="15622" width="15.5" style="1" customWidth="1"/>
    <col min="15623" max="15623" width="13.75" style="1" customWidth="1"/>
    <col min="15624" max="15872" width="9" style="1"/>
    <col min="15873" max="15876" width="13.75" style="1" customWidth="1"/>
    <col min="15877" max="15878" width="15.5" style="1" customWidth="1"/>
    <col min="15879" max="15879" width="13.75" style="1" customWidth="1"/>
    <col min="15880" max="16128" width="9" style="1"/>
    <col min="16129" max="16132" width="13.75" style="1" customWidth="1"/>
    <col min="16133" max="16134" width="15.5" style="1" customWidth="1"/>
    <col min="16135" max="16135" width="13.75" style="1" customWidth="1"/>
    <col min="16136" max="16384" width="9" style="1"/>
  </cols>
  <sheetData>
    <row r="1" spans="1:6" ht="15.75" customHeight="1" x14ac:dyDescent="0.25">
      <c r="A1" s="1" t="str">
        <f>'THONG TIN'!C3</f>
        <v>Công ty TNHH Thuận An</v>
      </c>
      <c r="E1" s="108" t="s">
        <v>1</v>
      </c>
      <c r="F1" s="108"/>
    </row>
    <row r="2" spans="1:6" ht="15.75" customHeight="1" x14ac:dyDescent="0.25">
      <c r="A2" s="1" t="str">
        <f>'THONG TIN'!C4</f>
        <v>Ấp Chồng Nô 3, Xã Hòa Tân, Huyện Cầu Kè, Tỉnh Trà Vinh</v>
      </c>
      <c r="E2" s="101" t="s">
        <v>2</v>
      </c>
      <c r="F2" s="101"/>
    </row>
    <row r="3" spans="1:6" ht="15.75" customHeight="1" x14ac:dyDescent="0.25">
      <c r="E3" s="101" t="s">
        <v>53</v>
      </c>
      <c r="F3" s="101"/>
    </row>
    <row r="4" spans="1:6" x14ac:dyDescent="0.25">
      <c r="E4" s="101" t="s">
        <v>3</v>
      </c>
      <c r="F4" s="101"/>
    </row>
    <row r="5" spans="1:6" ht="18" x14ac:dyDescent="0.25">
      <c r="A5" s="102" t="s">
        <v>4</v>
      </c>
      <c r="B5" s="102"/>
      <c r="C5" s="102"/>
      <c r="D5" s="102"/>
      <c r="E5" s="102"/>
      <c r="F5" s="102"/>
    </row>
    <row r="6" spans="1:6" x14ac:dyDescent="0.25">
      <c r="A6" s="103" t="s">
        <v>85</v>
      </c>
      <c r="B6" s="103"/>
      <c r="C6" s="103"/>
      <c r="D6" s="103"/>
      <c r="E6" s="103"/>
      <c r="F6" s="103"/>
    </row>
    <row r="7" spans="1:6" x14ac:dyDescent="0.25">
      <c r="B7" s="1" t="s">
        <v>72</v>
      </c>
      <c r="C7" s="52" t="s">
        <v>68</v>
      </c>
    </row>
    <row r="8" spans="1:6" x14ac:dyDescent="0.25">
      <c r="B8" s="2" t="s">
        <v>55</v>
      </c>
      <c r="C8" s="3"/>
      <c r="D8" s="3"/>
      <c r="E8" s="53"/>
      <c r="F8" s="3"/>
    </row>
    <row r="9" spans="1:6" x14ac:dyDescent="0.25">
      <c r="B9" s="2" t="s">
        <v>56</v>
      </c>
      <c r="C9" s="3"/>
      <c r="D9" s="3"/>
      <c r="E9" s="56">
        <v>7779</v>
      </c>
      <c r="F9" s="3"/>
    </row>
    <row r="10" spans="1:6" x14ac:dyDescent="0.25">
      <c r="B10" s="2" t="s">
        <v>54</v>
      </c>
      <c r="C10" s="3"/>
      <c r="D10" s="3"/>
      <c r="E10" s="3"/>
      <c r="F10" s="3"/>
    </row>
    <row r="12" spans="1:6" ht="15.75" customHeight="1" x14ac:dyDescent="0.25">
      <c r="A12" s="104" t="s">
        <v>5</v>
      </c>
      <c r="B12" s="104" t="s">
        <v>6</v>
      </c>
      <c r="C12" s="104" t="s">
        <v>7</v>
      </c>
      <c r="D12" s="104" t="s">
        <v>8</v>
      </c>
      <c r="E12" s="106" t="s">
        <v>9</v>
      </c>
      <c r="F12" s="107"/>
    </row>
    <row r="13" spans="1:6" x14ac:dyDescent="0.25">
      <c r="A13" s="105"/>
      <c r="B13" s="105"/>
      <c r="C13" s="105"/>
      <c r="D13" s="105"/>
      <c r="E13" s="4" t="s">
        <v>10</v>
      </c>
      <c r="F13" s="4" t="s">
        <v>11</v>
      </c>
    </row>
    <row r="14" spans="1:6" x14ac:dyDescent="0.25">
      <c r="A14" s="5" t="s">
        <v>12</v>
      </c>
      <c r="B14" s="6"/>
      <c r="C14" s="6"/>
      <c r="D14" s="6"/>
      <c r="E14" s="6"/>
      <c r="F14" s="6"/>
    </row>
    <row r="15" spans="1:6" x14ac:dyDescent="0.25">
      <c r="A15" s="15"/>
      <c r="B15" s="16"/>
      <c r="C15" s="16"/>
      <c r="D15" s="16"/>
      <c r="E15" s="16"/>
      <c r="F15" s="16"/>
    </row>
    <row r="16" spans="1:6" x14ac:dyDescent="0.25">
      <c r="A16" s="7" t="s">
        <v>13</v>
      </c>
      <c r="B16" s="8"/>
      <c r="C16" s="8">
        <f>16128000/12</f>
        <v>1344000</v>
      </c>
      <c r="D16" s="8"/>
      <c r="E16" s="8">
        <f>C16</f>
        <v>1344000</v>
      </c>
      <c r="F16" s="8">
        <f>E16/E9</f>
        <v>172.77284998071733</v>
      </c>
    </row>
    <row r="17" spans="1:6" x14ac:dyDescent="0.25">
      <c r="A17" s="7"/>
      <c r="B17" s="8"/>
      <c r="C17" s="8"/>
      <c r="D17" s="8"/>
      <c r="E17" s="8"/>
      <c r="F17" s="8"/>
    </row>
    <row r="18" spans="1:6" x14ac:dyDescent="0.25">
      <c r="A18" s="7" t="s">
        <v>14</v>
      </c>
      <c r="B18" s="8"/>
      <c r="C18" s="8"/>
      <c r="D18" s="8"/>
      <c r="E18" s="9"/>
      <c r="F18" s="9"/>
    </row>
    <row r="19" spans="1:6" x14ac:dyDescent="0.25">
      <c r="A19" s="17"/>
      <c r="B19" s="18"/>
      <c r="C19" s="18"/>
      <c r="D19" s="18"/>
      <c r="E19" s="19"/>
      <c r="F19" s="19"/>
    </row>
    <row r="20" spans="1:6" x14ac:dyDescent="0.25">
      <c r="A20" s="7" t="s">
        <v>0</v>
      </c>
      <c r="B20" s="8"/>
      <c r="C20" s="8"/>
      <c r="D20" s="8"/>
      <c r="E20" s="8"/>
      <c r="F20" s="8"/>
    </row>
    <row r="21" spans="1:6" x14ac:dyDescent="0.25">
      <c r="A21" s="22" t="s">
        <v>71</v>
      </c>
      <c r="B21" s="23"/>
      <c r="C21" s="23">
        <f>12823592+(B21/12)</f>
        <v>12823592</v>
      </c>
      <c r="D21" s="23">
        <f>B21-(B21/12)*3</f>
        <v>0</v>
      </c>
      <c r="E21" s="23">
        <f>B21+C21-D21</f>
        <v>12823592</v>
      </c>
      <c r="F21" s="23">
        <f>E21/E9</f>
        <v>1648.4884946651241</v>
      </c>
    </row>
    <row r="22" spans="1:6" x14ac:dyDescent="0.25">
      <c r="A22" s="20"/>
      <c r="B22" s="21"/>
      <c r="C22" s="21"/>
      <c r="D22" s="21"/>
      <c r="E22" s="21"/>
      <c r="F22" s="21"/>
    </row>
    <row r="23" spans="1:6" x14ac:dyDescent="0.25">
      <c r="A23" s="54" t="s">
        <v>15</v>
      </c>
      <c r="B23" s="55">
        <f>B21+B22</f>
        <v>0</v>
      </c>
      <c r="C23" s="55">
        <f>C21+C22</f>
        <v>12823592</v>
      </c>
      <c r="D23" s="55">
        <f>D21+D22</f>
        <v>0</v>
      </c>
      <c r="E23" s="55">
        <f>E21+E22</f>
        <v>12823592</v>
      </c>
      <c r="F23" s="55">
        <f>F16+F21</f>
        <v>1821.2613446458415</v>
      </c>
    </row>
    <row r="25" spans="1:6" x14ac:dyDescent="0.25">
      <c r="A25" s="13" t="s">
        <v>16</v>
      </c>
      <c r="B25" s="13"/>
      <c r="C25" s="13" t="s">
        <v>17</v>
      </c>
      <c r="D25" s="13"/>
      <c r="E25" s="13" t="s">
        <v>18</v>
      </c>
      <c r="F25" s="13"/>
    </row>
    <row r="26" spans="1:6" x14ac:dyDescent="0.25">
      <c r="A26" s="14" t="s">
        <v>19</v>
      </c>
      <c r="B26" s="14"/>
      <c r="C26" s="14" t="s">
        <v>19</v>
      </c>
      <c r="D26" s="14"/>
      <c r="E26" s="14" t="s">
        <v>20</v>
      </c>
      <c r="F26" s="14"/>
    </row>
    <row r="27" spans="1:6" x14ac:dyDescent="0.25">
      <c r="A27" s="14"/>
      <c r="B27" s="14"/>
      <c r="C27" s="14"/>
      <c r="D27" s="14"/>
      <c r="E27" s="14"/>
      <c r="F27" s="14"/>
    </row>
    <row r="28" spans="1:6" ht="15.75" customHeight="1" x14ac:dyDescent="0.25">
      <c r="A28" s="1" t="str">
        <f>A1</f>
        <v>Công ty TNHH Thuận An</v>
      </c>
      <c r="E28" s="108" t="s">
        <v>1</v>
      </c>
      <c r="F28" s="108"/>
    </row>
    <row r="29" spans="1:6" ht="15.75" customHeight="1" x14ac:dyDescent="0.25">
      <c r="A29" s="1" t="str">
        <f>A2</f>
        <v>Ấp Chồng Nô 3, Xã Hòa Tân, Huyện Cầu Kè, Tỉnh Trà Vinh</v>
      </c>
      <c r="E29" s="101" t="s">
        <v>2</v>
      </c>
      <c r="F29" s="101"/>
    </row>
    <row r="30" spans="1:6" ht="15.75" customHeight="1" x14ac:dyDescent="0.25">
      <c r="E30" s="101" t="s">
        <v>53</v>
      </c>
      <c r="F30" s="101"/>
    </row>
    <row r="31" spans="1:6" x14ac:dyDescent="0.25">
      <c r="E31" s="101" t="s">
        <v>3</v>
      </c>
      <c r="F31" s="101"/>
    </row>
    <row r="32" spans="1:6" ht="18" x14ac:dyDescent="0.25">
      <c r="A32" s="102" t="s">
        <v>4</v>
      </c>
      <c r="B32" s="102"/>
      <c r="C32" s="102"/>
      <c r="D32" s="102"/>
      <c r="E32" s="102"/>
      <c r="F32" s="102"/>
    </row>
    <row r="33" spans="1:6" x14ac:dyDescent="0.25">
      <c r="A33" s="103" t="s">
        <v>86</v>
      </c>
      <c r="B33" s="103"/>
      <c r="C33" s="103"/>
      <c r="D33" s="103"/>
      <c r="E33" s="103"/>
      <c r="F33" s="103"/>
    </row>
    <row r="34" spans="1:6" x14ac:dyDescent="0.25">
      <c r="B34" s="1" t="s">
        <v>72</v>
      </c>
      <c r="C34" s="52" t="s">
        <v>69</v>
      </c>
    </row>
    <row r="35" spans="1:6" x14ac:dyDescent="0.25">
      <c r="B35" s="2" t="s">
        <v>55</v>
      </c>
      <c r="C35" s="3"/>
      <c r="D35" s="3"/>
      <c r="E35" s="53"/>
      <c r="F35" s="3"/>
    </row>
    <row r="36" spans="1:6" x14ac:dyDescent="0.25">
      <c r="B36" s="2" t="s">
        <v>56</v>
      </c>
      <c r="C36" s="3"/>
      <c r="D36" s="3"/>
      <c r="E36" s="56">
        <v>18697</v>
      </c>
      <c r="F36" s="3"/>
    </row>
    <row r="37" spans="1:6" x14ac:dyDescent="0.25">
      <c r="B37" s="2" t="s">
        <v>54</v>
      </c>
      <c r="C37" s="3"/>
      <c r="D37" s="3"/>
      <c r="E37" s="3"/>
      <c r="F37" s="3"/>
    </row>
    <row r="39" spans="1:6" ht="15.75" customHeight="1" x14ac:dyDescent="0.25">
      <c r="A39" s="104" t="s">
        <v>5</v>
      </c>
      <c r="B39" s="104" t="s">
        <v>6</v>
      </c>
      <c r="C39" s="104" t="s">
        <v>7</v>
      </c>
      <c r="D39" s="104" t="s">
        <v>8</v>
      </c>
      <c r="E39" s="106" t="s">
        <v>9</v>
      </c>
      <c r="F39" s="107"/>
    </row>
    <row r="40" spans="1:6" x14ac:dyDescent="0.25">
      <c r="A40" s="105"/>
      <c r="B40" s="105"/>
      <c r="C40" s="105"/>
      <c r="D40" s="105"/>
      <c r="E40" s="4" t="s">
        <v>10</v>
      </c>
      <c r="F40" s="4" t="s">
        <v>11</v>
      </c>
    </row>
    <row r="41" spans="1:6" x14ac:dyDescent="0.25">
      <c r="A41" s="5" t="s">
        <v>12</v>
      </c>
      <c r="B41" s="6"/>
      <c r="C41" s="6"/>
      <c r="D41" s="6"/>
      <c r="E41" s="6"/>
      <c r="F41" s="6"/>
    </row>
    <row r="42" spans="1:6" x14ac:dyDescent="0.25">
      <c r="A42" s="15"/>
      <c r="B42" s="16"/>
      <c r="C42" s="16"/>
      <c r="D42" s="16"/>
      <c r="E42" s="16"/>
      <c r="F42" s="16"/>
    </row>
    <row r="43" spans="1:6" x14ac:dyDescent="0.25">
      <c r="A43" s="7" t="s">
        <v>13</v>
      </c>
      <c r="B43" s="8"/>
      <c r="C43" s="8">
        <f>29952000/12</f>
        <v>2496000</v>
      </c>
      <c r="D43" s="8"/>
      <c r="E43" s="8">
        <f>C43</f>
        <v>2496000</v>
      </c>
      <c r="F43" s="8">
        <f>E43/E36</f>
        <v>133.49735251644648</v>
      </c>
    </row>
    <row r="44" spans="1:6" x14ac:dyDescent="0.25">
      <c r="A44" s="7"/>
      <c r="B44" s="8"/>
      <c r="C44" s="8"/>
      <c r="D44" s="8"/>
      <c r="E44" s="8"/>
      <c r="F44" s="8"/>
    </row>
    <row r="45" spans="1:6" x14ac:dyDescent="0.25">
      <c r="A45" s="7" t="s">
        <v>14</v>
      </c>
      <c r="B45" s="8"/>
      <c r="C45" s="8"/>
      <c r="D45" s="8"/>
      <c r="E45" s="9"/>
      <c r="F45" s="9"/>
    </row>
    <row r="46" spans="1:6" x14ac:dyDescent="0.25">
      <c r="A46" s="17"/>
      <c r="B46" s="18"/>
      <c r="C46" s="18"/>
      <c r="D46" s="18"/>
      <c r="E46" s="19"/>
      <c r="F46" s="19"/>
    </row>
    <row r="47" spans="1:6" x14ac:dyDescent="0.25">
      <c r="A47" s="7" t="s">
        <v>0</v>
      </c>
      <c r="B47" s="8"/>
      <c r="C47" s="74"/>
      <c r="D47" s="74"/>
      <c r="E47" s="8"/>
      <c r="F47" s="8"/>
    </row>
    <row r="48" spans="1:6" x14ac:dyDescent="0.25">
      <c r="A48" s="72" t="s">
        <v>71</v>
      </c>
      <c r="B48" s="74"/>
      <c r="C48" s="74">
        <v>21449563</v>
      </c>
      <c r="D48" s="74">
        <f>B48-(B48/12)*3</f>
        <v>0</v>
      </c>
      <c r="E48" s="74">
        <f>B48+C48-D48</f>
        <v>21449563</v>
      </c>
      <c r="F48" s="8">
        <f>E48/E36</f>
        <v>1147.2195004546184</v>
      </c>
    </row>
    <row r="49" spans="1:6" x14ac:dyDescent="0.25">
      <c r="A49" s="72" t="s">
        <v>73</v>
      </c>
      <c r="B49" s="74"/>
      <c r="C49" s="74">
        <f>825978+(B49/12)</f>
        <v>825978</v>
      </c>
      <c r="D49" s="74"/>
      <c r="E49" s="74">
        <f>B49+C49-D49</f>
        <v>825978</v>
      </c>
      <c r="F49" s="8">
        <f>E49/E36</f>
        <v>44.177033748729741</v>
      </c>
    </row>
    <row r="50" spans="1:6" x14ac:dyDescent="0.25">
      <c r="A50" s="73"/>
      <c r="B50" s="75"/>
      <c r="C50" s="75"/>
      <c r="D50" s="75"/>
      <c r="E50" s="75"/>
      <c r="F50" s="70"/>
    </row>
    <row r="51" spans="1:6" x14ac:dyDescent="0.25">
      <c r="A51" s="4" t="s">
        <v>15</v>
      </c>
      <c r="B51" s="55">
        <f>B48+B49</f>
        <v>0</v>
      </c>
      <c r="C51" s="55">
        <f>C48+C49+C50</f>
        <v>22275541</v>
      </c>
      <c r="D51" s="55">
        <f>D48+D49</f>
        <v>0</v>
      </c>
      <c r="E51" s="55">
        <f>E48+E49+E50</f>
        <v>22275541</v>
      </c>
      <c r="F51" s="55">
        <f>F43+F48+F49</f>
        <v>1324.8938867197944</v>
      </c>
    </row>
    <row r="52" spans="1:6" x14ac:dyDescent="0.25">
      <c r="A52" s="10"/>
      <c r="B52" s="11"/>
      <c r="C52" s="12"/>
      <c r="D52" s="12"/>
      <c r="E52" s="12"/>
      <c r="F52" s="12"/>
    </row>
    <row r="53" spans="1:6" x14ac:dyDescent="0.25">
      <c r="A53" s="13" t="s">
        <v>16</v>
      </c>
      <c r="B53" s="13"/>
      <c r="C53" s="13" t="s">
        <v>17</v>
      </c>
      <c r="D53" s="13"/>
      <c r="E53" s="13" t="s">
        <v>18</v>
      </c>
      <c r="F53" s="13"/>
    </row>
    <row r="54" spans="1:6" x14ac:dyDescent="0.25">
      <c r="A54" s="14" t="s">
        <v>19</v>
      </c>
      <c r="B54" s="14"/>
      <c r="C54" s="14" t="s">
        <v>19</v>
      </c>
      <c r="D54" s="14"/>
      <c r="E54" s="14" t="s">
        <v>20</v>
      </c>
      <c r="F54" s="14"/>
    </row>
  </sheetData>
  <mergeCells count="22">
    <mergeCell ref="E28:F28"/>
    <mergeCell ref="E1:F1"/>
    <mergeCell ref="E2:F2"/>
    <mergeCell ref="E3:F3"/>
    <mergeCell ref="E4:F4"/>
    <mergeCell ref="A5:F5"/>
    <mergeCell ref="A6:F6"/>
    <mergeCell ref="A12:A13"/>
    <mergeCell ref="B12:B13"/>
    <mergeCell ref="C12:C13"/>
    <mergeCell ref="D12:D13"/>
    <mergeCell ref="E12:F12"/>
    <mergeCell ref="A39:A40"/>
    <mergeCell ref="B39:B40"/>
    <mergeCell ref="C39:C40"/>
    <mergeCell ref="D39:D40"/>
    <mergeCell ref="E39:F39"/>
    <mergeCell ref="E29:F29"/>
    <mergeCell ref="E30:F30"/>
    <mergeCell ref="E31:F31"/>
    <mergeCell ref="A32:F32"/>
    <mergeCell ref="A33:F3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4"/>
  <sheetViews>
    <sheetView topLeftCell="A37" workbookViewId="0">
      <selection activeCell="D48" sqref="D48"/>
    </sheetView>
  </sheetViews>
  <sheetFormatPr defaultRowHeight="15.75" x14ac:dyDescent="0.25"/>
  <cols>
    <col min="1" max="1" width="45" style="1" customWidth="1"/>
    <col min="2" max="2" width="13" style="1" customWidth="1"/>
    <col min="3" max="4" width="13.75" style="1" customWidth="1"/>
    <col min="5" max="6" width="15.5" style="1" customWidth="1"/>
    <col min="7" max="7" width="13.75" style="1" customWidth="1"/>
    <col min="8" max="256" width="9" style="1"/>
    <col min="257" max="260" width="13.75" style="1" customWidth="1"/>
    <col min="261" max="262" width="15.5" style="1" customWidth="1"/>
    <col min="263" max="263" width="13.75" style="1" customWidth="1"/>
    <col min="264" max="512" width="9" style="1"/>
    <col min="513" max="516" width="13.75" style="1" customWidth="1"/>
    <col min="517" max="518" width="15.5" style="1" customWidth="1"/>
    <col min="519" max="519" width="13.75" style="1" customWidth="1"/>
    <col min="520" max="768" width="9" style="1"/>
    <col min="769" max="772" width="13.75" style="1" customWidth="1"/>
    <col min="773" max="774" width="15.5" style="1" customWidth="1"/>
    <col min="775" max="775" width="13.75" style="1" customWidth="1"/>
    <col min="776" max="1024" width="9" style="1"/>
    <col min="1025" max="1028" width="13.75" style="1" customWidth="1"/>
    <col min="1029" max="1030" width="15.5" style="1" customWidth="1"/>
    <col min="1031" max="1031" width="13.75" style="1" customWidth="1"/>
    <col min="1032" max="1280" width="9" style="1"/>
    <col min="1281" max="1284" width="13.75" style="1" customWidth="1"/>
    <col min="1285" max="1286" width="15.5" style="1" customWidth="1"/>
    <col min="1287" max="1287" width="13.75" style="1" customWidth="1"/>
    <col min="1288" max="1536" width="9" style="1"/>
    <col min="1537" max="1540" width="13.75" style="1" customWidth="1"/>
    <col min="1541" max="1542" width="15.5" style="1" customWidth="1"/>
    <col min="1543" max="1543" width="13.75" style="1" customWidth="1"/>
    <col min="1544" max="1792" width="9" style="1"/>
    <col min="1793" max="1796" width="13.75" style="1" customWidth="1"/>
    <col min="1797" max="1798" width="15.5" style="1" customWidth="1"/>
    <col min="1799" max="1799" width="13.75" style="1" customWidth="1"/>
    <col min="1800" max="2048" width="9" style="1"/>
    <col min="2049" max="2052" width="13.75" style="1" customWidth="1"/>
    <col min="2053" max="2054" width="15.5" style="1" customWidth="1"/>
    <col min="2055" max="2055" width="13.75" style="1" customWidth="1"/>
    <col min="2056" max="2304" width="9" style="1"/>
    <col min="2305" max="2308" width="13.75" style="1" customWidth="1"/>
    <col min="2309" max="2310" width="15.5" style="1" customWidth="1"/>
    <col min="2311" max="2311" width="13.75" style="1" customWidth="1"/>
    <col min="2312" max="2560" width="9" style="1"/>
    <col min="2561" max="2564" width="13.75" style="1" customWidth="1"/>
    <col min="2565" max="2566" width="15.5" style="1" customWidth="1"/>
    <col min="2567" max="2567" width="13.75" style="1" customWidth="1"/>
    <col min="2568" max="2816" width="9" style="1"/>
    <col min="2817" max="2820" width="13.75" style="1" customWidth="1"/>
    <col min="2821" max="2822" width="15.5" style="1" customWidth="1"/>
    <col min="2823" max="2823" width="13.75" style="1" customWidth="1"/>
    <col min="2824" max="3072" width="9" style="1"/>
    <col min="3073" max="3076" width="13.75" style="1" customWidth="1"/>
    <col min="3077" max="3078" width="15.5" style="1" customWidth="1"/>
    <col min="3079" max="3079" width="13.75" style="1" customWidth="1"/>
    <col min="3080" max="3328" width="9" style="1"/>
    <col min="3329" max="3332" width="13.75" style="1" customWidth="1"/>
    <col min="3333" max="3334" width="15.5" style="1" customWidth="1"/>
    <col min="3335" max="3335" width="13.75" style="1" customWidth="1"/>
    <col min="3336" max="3584" width="9" style="1"/>
    <col min="3585" max="3588" width="13.75" style="1" customWidth="1"/>
    <col min="3589" max="3590" width="15.5" style="1" customWidth="1"/>
    <col min="3591" max="3591" width="13.75" style="1" customWidth="1"/>
    <col min="3592" max="3840" width="9" style="1"/>
    <col min="3841" max="3844" width="13.75" style="1" customWidth="1"/>
    <col min="3845" max="3846" width="15.5" style="1" customWidth="1"/>
    <col min="3847" max="3847" width="13.75" style="1" customWidth="1"/>
    <col min="3848" max="4096" width="9" style="1"/>
    <col min="4097" max="4100" width="13.75" style="1" customWidth="1"/>
    <col min="4101" max="4102" width="15.5" style="1" customWidth="1"/>
    <col min="4103" max="4103" width="13.75" style="1" customWidth="1"/>
    <col min="4104" max="4352" width="9" style="1"/>
    <col min="4353" max="4356" width="13.75" style="1" customWidth="1"/>
    <col min="4357" max="4358" width="15.5" style="1" customWidth="1"/>
    <col min="4359" max="4359" width="13.75" style="1" customWidth="1"/>
    <col min="4360" max="4608" width="9" style="1"/>
    <col min="4609" max="4612" width="13.75" style="1" customWidth="1"/>
    <col min="4613" max="4614" width="15.5" style="1" customWidth="1"/>
    <col min="4615" max="4615" width="13.75" style="1" customWidth="1"/>
    <col min="4616" max="4864" width="9" style="1"/>
    <col min="4865" max="4868" width="13.75" style="1" customWidth="1"/>
    <col min="4869" max="4870" width="15.5" style="1" customWidth="1"/>
    <col min="4871" max="4871" width="13.75" style="1" customWidth="1"/>
    <col min="4872" max="5120" width="9" style="1"/>
    <col min="5121" max="5124" width="13.75" style="1" customWidth="1"/>
    <col min="5125" max="5126" width="15.5" style="1" customWidth="1"/>
    <col min="5127" max="5127" width="13.75" style="1" customWidth="1"/>
    <col min="5128" max="5376" width="9" style="1"/>
    <col min="5377" max="5380" width="13.75" style="1" customWidth="1"/>
    <col min="5381" max="5382" width="15.5" style="1" customWidth="1"/>
    <col min="5383" max="5383" width="13.75" style="1" customWidth="1"/>
    <col min="5384" max="5632" width="9" style="1"/>
    <col min="5633" max="5636" width="13.75" style="1" customWidth="1"/>
    <col min="5637" max="5638" width="15.5" style="1" customWidth="1"/>
    <col min="5639" max="5639" width="13.75" style="1" customWidth="1"/>
    <col min="5640" max="5888" width="9" style="1"/>
    <col min="5889" max="5892" width="13.75" style="1" customWidth="1"/>
    <col min="5893" max="5894" width="15.5" style="1" customWidth="1"/>
    <col min="5895" max="5895" width="13.75" style="1" customWidth="1"/>
    <col min="5896" max="6144" width="9" style="1"/>
    <col min="6145" max="6148" width="13.75" style="1" customWidth="1"/>
    <col min="6149" max="6150" width="15.5" style="1" customWidth="1"/>
    <col min="6151" max="6151" width="13.75" style="1" customWidth="1"/>
    <col min="6152" max="6400" width="9" style="1"/>
    <col min="6401" max="6404" width="13.75" style="1" customWidth="1"/>
    <col min="6405" max="6406" width="15.5" style="1" customWidth="1"/>
    <col min="6407" max="6407" width="13.75" style="1" customWidth="1"/>
    <col min="6408" max="6656" width="9" style="1"/>
    <col min="6657" max="6660" width="13.75" style="1" customWidth="1"/>
    <col min="6661" max="6662" width="15.5" style="1" customWidth="1"/>
    <col min="6663" max="6663" width="13.75" style="1" customWidth="1"/>
    <col min="6664" max="6912" width="9" style="1"/>
    <col min="6913" max="6916" width="13.75" style="1" customWidth="1"/>
    <col min="6917" max="6918" width="15.5" style="1" customWidth="1"/>
    <col min="6919" max="6919" width="13.75" style="1" customWidth="1"/>
    <col min="6920" max="7168" width="9" style="1"/>
    <col min="7169" max="7172" width="13.75" style="1" customWidth="1"/>
    <col min="7173" max="7174" width="15.5" style="1" customWidth="1"/>
    <col min="7175" max="7175" width="13.75" style="1" customWidth="1"/>
    <col min="7176" max="7424" width="9" style="1"/>
    <col min="7425" max="7428" width="13.75" style="1" customWidth="1"/>
    <col min="7429" max="7430" width="15.5" style="1" customWidth="1"/>
    <col min="7431" max="7431" width="13.75" style="1" customWidth="1"/>
    <col min="7432" max="7680" width="9" style="1"/>
    <col min="7681" max="7684" width="13.75" style="1" customWidth="1"/>
    <col min="7685" max="7686" width="15.5" style="1" customWidth="1"/>
    <col min="7687" max="7687" width="13.75" style="1" customWidth="1"/>
    <col min="7688" max="7936" width="9" style="1"/>
    <col min="7937" max="7940" width="13.75" style="1" customWidth="1"/>
    <col min="7941" max="7942" width="15.5" style="1" customWidth="1"/>
    <col min="7943" max="7943" width="13.75" style="1" customWidth="1"/>
    <col min="7944" max="8192" width="9" style="1"/>
    <col min="8193" max="8196" width="13.75" style="1" customWidth="1"/>
    <col min="8197" max="8198" width="15.5" style="1" customWidth="1"/>
    <col min="8199" max="8199" width="13.75" style="1" customWidth="1"/>
    <col min="8200" max="8448" width="9" style="1"/>
    <col min="8449" max="8452" width="13.75" style="1" customWidth="1"/>
    <col min="8453" max="8454" width="15.5" style="1" customWidth="1"/>
    <col min="8455" max="8455" width="13.75" style="1" customWidth="1"/>
    <col min="8456" max="8704" width="9" style="1"/>
    <col min="8705" max="8708" width="13.75" style="1" customWidth="1"/>
    <col min="8709" max="8710" width="15.5" style="1" customWidth="1"/>
    <col min="8711" max="8711" width="13.75" style="1" customWidth="1"/>
    <col min="8712" max="8960" width="9" style="1"/>
    <col min="8961" max="8964" width="13.75" style="1" customWidth="1"/>
    <col min="8965" max="8966" width="15.5" style="1" customWidth="1"/>
    <col min="8967" max="8967" width="13.75" style="1" customWidth="1"/>
    <col min="8968" max="9216" width="9" style="1"/>
    <col min="9217" max="9220" width="13.75" style="1" customWidth="1"/>
    <col min="9221" max="9222" width="15.5" style="1" customWidth="1"/>
    <col min="9223" max="9223" width="13.75" style="1" customWidth="1"/>
    <col min="9224" max="9472" width="9" style="1"/>
    <col min="9473" max="9476" width="13.75" style="1" customWidth="1"/>
    <col min="9477" max="9478" width="15.5" style="1" customWidth="1"/>
    <col min="9479" max="9479" width="13.75" style="1" customWidth="1"/>
    <col min="9480" max="9728" width="9" style="1"/>
    <col min="9729" max="9732" width="13.75" style="1" customWidth="1"/>
    <col min="9733" max="9734" width="15.5" style="1" customWidth="1"/>
    <col min="9735" max="9735" width="13.75" style="1" customWidth="1"/>
    <col min="9736" max="9984" width="9" style="1"/>
    <col min="9985" max="9988" width="13.75" style="1" customWidth="1"/>
    <col min="9989" max="9990" width="15.5" style="1" customWidth="1"/>
    <col min="9991" max="9991" width="13.75" style="1" customWidth="1"/>
    <col min="9992" max="10240" width="9" style="1"/>
    <col min="10241" max="10244" width="13.75" style="1" customWidth="1"/>
    <col min="10245" max="10246" width="15.5" style="1" customWidth="1"/>
    <col min="10247" max="10247" width="13.75" style="1" customWidth="1"/>
    <col min="10248" max="10496" width="9" style="1"/>
    <col min="10497" max="10500" width="13.75" style="1" customWidth="1"/>
    <col min="10501" max="10502" width="15.5" style="1" customWidth="1"/>
    <col min="10503" max="10503" width="13.75" style="1" customWidth="1"/>
    <col min="10504" max="10752" width="9" style="1"/>
    <col min="10753" max="10756" width="13.75" style="1" customWidth="1"/>
    <col min="10757" max="10758" width="15.5" style="1" customWidth="1"/>
    <col min="10759" max="10759" width="13.75" style="1" customWidth="1"/>
    <col min="10760" max="11008" width="9" style="1"/>
    <col min="11009" max="11012" width="13.75" style="1" customWidth="1"/>
    <col min="11013" max="11014" width="15.5" style="1" customWidth="1"/>
    <col min="11015" max="11015" width="13.75" style="1" customWidth="1"/>
    <col min="11016" max="11264" width="9" style="1"/>
    <col min="11265" max="11268" width="13.75" style="1" customWidth="1"/>
    <col min="11269" max="11270" width="15.5" style="1" customWidth="1"/>
    <col min="11271" max="11271" width="13.75" style="1" customWidth="1"/>
    <col min="11272" max="11520" width="9" style="1"/>
    <col min="11521" max="11524" width="13.75" style="1" customWidth="1"/>
    <col min="11525" max="11526" width="15.5" style="1" customWidth="1"/>
    <col min="11527" max="11527" width="13.75" style="1" customWidth="1"/>
    <col min="11528" max="11776" width="9" style="1"/>
    <col min="11777" max="11780" width="13.75" style="1" customWidth="1"/>
    <col min="11781" max="11782" width="15.5" style="1" customWidth="1"/>
    <col min="11783" max="11783" width="13.75" style="1" customWidth="1"/>
    <col min="11784" max="12032" width="9" style="1"/>
    <col min="12033" max="12036" width="13.75" style="1" customWidth="1"/>
    <col min="12037" max="12038" width="15.5" style="1" customWidth="1"/>
    <col min="12039" max="12039" width="13.75" style="1" customWidth="1"/>
    <col min="12040" max="12288" width="9" style="1"/>
    <col min="12289" max="12292" width="13.75" style="1" customWidth="1"/>
    <col min="12293" max="12294" width="15.5" style="1" customWidth="1"/>
    <col min="12295" max="12295" width="13.75" style="1" customWidth="1"/>
    <col min="12296" max="12544" width="9" style="1"/>
    <col min="12545" max="12548" width="13.75" style="1" customWidth="1"/>
    <col min="12549" max="12550" width="15.5" style="1" customWidth="1"/>
    <col min="12551" max="12551" width="13.75" style="1" customWidth="1"/>
    <col min="12552" max="12800" width="9" style="1"/>
    <col min="12801" max="12804" width="13.75" style="1" customWidth="1"/>
    <col min="12805" max="12806" width="15.5" style="1" customWidth="1"/>
    <col min="12807" max="12807" width="13.75" style="1" customWidth="1"/>
    <col min="12808" max="13056" width="9" style="1"/>
    <col min="13057" max="13060" width="13.75" style="1" customWidth="1"/>
    <col min="13061" max="13062" width="15.5" style="1" customWidth="1"/>
    <col min="13063" max="13063" width="13.75" style="1" customWidth="1"/>
    <col min="13064" max="13312" width="9" style="1"/>
    <col min="13313" max="13316" width="13.75" style="1" customWidth="1"/>
    <col min="13317" max="13318" width="15.5" style="1" customWidth="1"/>
    <col min="13319" max="13319" width="13.75" style="1" customWidth="1"/>
    <col min="13320" max="13568" width="9" style="1"/>
    <col min="13569" max="13572" width="13.75" style="1" customWidth="1"/>
    <col min="13573" max="13574" width="15.5" style="1" customWidth="1"/>
    <col min="13575" max="13575" width="13.75" style="1" customWidth="1"/>
    <col min="13576" max="13824" width="9" style="1"/>
    <col min="13825" max="13828" width="13.75" style="1" customWidth="1"/>
    <col min="13829" max="13830" width="15.5" style="1" customWidth="1"/>
    <col min="13831" max="13831" width="13.75" style="1" customWidth="1"/>
    <col min="13832" max="14080" width="9" style="1"/>
    <col min="14081" max="14084" width="13.75" style="1" customWidth="1"/>
    <col min="14085" max="14086" width="15.5" style="1" customWidth="1"/>
    <col min="14087" max="14087" width="13.75" style="1" customWidth="1"/>
    <col min="14088" max="14336" width="9" style="1"/>
    <col min="14337" max="14340" width="13.75" style="1" customWidth="1"/>
    <col min="14341" max="14342" width="15.5" style="1" customWidth="1"/>
    <col min="14343" max="14343" width="13.75" style="1" customWidth="1"/>
    <col min="14344" max="14592" width="9" style="1"/>
    <col min="14593" max="14596" width="13.75" style="1" customWidth="1"/>
    <col min="14597" max="14598" width="15.5" style="1" customWidth="1"/>
    <col min="14599" max="14599" width="13.75" style="1" customWidth="1"/>
    <col min="14600" max="14848" width="9" style="1"/>
    <col min="14849" max="14852" width="13.75" style="1" customWidth="1"/>
    <col min="14853" max="14854" width="15.5" style="1" customWidth="1"/>
    <col min="14855" max="14855" width="13.75" style="1" customWidth="1"/>
    <col min="14856" max="15104" width="9" style="1"/>
    <col min="15105" max="15108" width="13.75" style="1" customWidth="1"/>
    <col min="15109" max="15110" width="15.5" style="1" customWidth="1"/>
    <col min="15111" max="15111" width="13.75" style="1" customWidth="1"/>
    <col min="15112" max="15360" width="9" style="1"/>
    <col min="15361" max="15364" width="13.75" style="1" customWidth="1"/>
    <col min="15365" max="15366" width="15.5" style="1" customWidth="1"/>
    <col min="15367" max="15367" width="13.75" style="1" customWidth="1"/>
    <col min="15368" max="15616" width="9" style="1"/>
    <col min="15617" max="15620" width="13.75" style="1" customWidth="1"/>
    <col min="15621" max="15622" width="15.5" style="1" customWidth="1"/>
    <col min="15623" max="15623" width="13.75" style="1" customWidth="1"/>
    <col min="15624" max="15872" width="9" style="1"/>
    <col min="15873" max="15876" width="13.75" style="1" customWidth="1"/>
    <col min="15877" max="15878" width="15.5" style="1" customWidth="1"/>
    <col min="15879" max="15879" width="13.75" style="1" customWidth="1"/>
    <col min="15880" max="16128" width="9" style="1"/>
    <col min="16129" max="16132" width="13.75" style="1" customWidth="1"/>
    <col min="16133" max="16134" width="15.5" style="1" customWidth="1"/>
    <col min="16135" max="16135" width="13.75" style="1" customWidth="1"/>
    <col min="16136" max="16384" width="9" style="1"/>
  </cols>
  <sheetData>
    <row r="1" spans="1:6" ht="15.75" customHeight="1" x14ac:dyDescent="0.25">
      <c r="A1" s="1" t="str">
        <f>'THONG TIN'!C3</f>
        <v>Công ty TNHH Thuận An</v>
      </c>
      <c r="E1" s="108" t="s">
        <v>1</v>
      </c>
      <c r="F1" s="108"/>
    </row>
    <row r="2" spans="1:6" ht="15.75" customHeight="1" x14ac:dyDescent="0.25">
      <c r="A2" s="1" t="str">
        <f>'THONG TIN'!C4</f>
        <v>Ấp Chồng Nô 3, Xã Hòa Tân, Huyện Cầu Kè, Tỉnh Trà Vinh</v>
      </c>
      <c r="E2" s="101" t="s">
        <v>2</v>
      </c>
      <c r="F2" s="101"/>
    </row>
    <row r="3" spans="1:6" ht="15.75" customHeight="1" x14ac:dyDescent="0.25">
      <c r="E3" s="101" t="s">
        <v>53</v>
      </c>
      <c r="F3" s="101"/>
    </row>
    <row r="4" spans="1:6" x14ac:dyDescent="0.25">
      <c r="E4" s="101" t="s">
        <v>3</v>
      </c>
      <c r="F4" s="101"/>
    </row>
    <row r="5" spans="1:6" ht="18" x14ac:dyDescent="0.25">
      <c r="A5" s="102" t="s">
        <v>4</v>
      </c>
      <c r="B5" s="102"/>
      <c r="C5" s="102"/>
      <c r="D5" s="102"/>
      <c r="E5" s="102"/>
      <c r="F5" s="102"/>
    </row>
    <row r="6" spans="1:6" x14ac:dyDescent="0.25">
      <c r="A6" s="103" t="s">
        <v>87</v>
      </c>
      <c r="B6" s="103"/>
      <c r="C6" s="103"/>
      <c r="D6" s="103"/>
      <c r="E6" s="103"/>
      <c r="F6" s="103"/>
    </row>
    <row r="7" spans="1:6" x14ac:dyDescent="0.25">
      <c r="B7" s="1" t="s">
        <v>72</v>
      </c>
      <c r="C7" s="52" t="s">
        <v>68</v>
      </c>
    </row>
    <row r="8" spans="1:6" x14ac:dyDescent="0.25">
      <c r="B8" s="2" t="s">
        <v>55</v>
      </c>
      <c r="C8" s="3"/>
      <c r="D8" s="3"/>
      <c r="E8" s="53"/>
      <c r="F8" s="3"/>
    </row>
    <row r="9" spans="1:6" x14ac:dyDescent="0.25">
      <c r="B9" s="2" t="s">
        <v>56</v>
      </c>
      <c r="C9" s="3"/>
      <c r="D9" s="3"/>
      <c r="E9" s="56">
        <v>7055</v>
      </c>
      <c r="F9" s="3"/>
    </row>
    <row r="10" spans="1:6" x14ac:dyDescent="0.25">
      <c r="B10" s="2" t="s">
        <v>54</v>
      </c>
      <c r="C10" s="3"/>
      <c r="D10" s="3"/>
      <c r="E10" s="3"/>
      <c r="F10" s="3"/>
    </row>
    <row r="12" spans="1:6" ht="15.75" customHeight="1" x14ac:dyDescent="0.25">
      <c r="A12" s="104" t="s">
        <v>5</v>
      </c>
      <c r="B12" s="104" t="s">
        <v>6</v>
      </c>
      <c r="C12" s="104" t="s">
        <v>7</v>
      </c>
      <c r="D12" s="104" t="s">
        <v>8</v>
      </c>
      <c r="E12" s="106" t="s">
        <v>9</v>
      </c>
      <c r="F12" s="107"/>
    </row>
    <row r="13" spans="1:6" x14ac:dyDescent="0.25">
      <c r="A13" s="105"/>
      <c r="B13" s="105"/>
      <c r="C13" s="105"/>
      <c r="D13" s="105"/>
      <c r="E13" s="4" t="s">
        <v>10</v>
      </c>
      <c r="F13" s="4" t="s">
        <v>11</v>
      </c>
    </row>
    <row r="14" spans="1:6" x14ac:dyDescent="0.25">
      <c r="A14" s="5" t="s">
        <v>12</v>
      </c>
      <c r="B14" s="6"/>
      <c r="C14" s="6"/>
      <c r="D14" s="6"/>
      <c r="E14" s="6"/>
      <c r="F14" s="6"/>
    </row>
    <row r="15" spans="1:6" x14ac:dyDescent="0.25">
      <c r="A15" s="15"/>
      <c r="B15" s="16"/>
      <c r="C15" s="16"/>
      <c r="D15" s="16"/>
      <c r="E15" s="16"/>
      <c r="F15" s="16"/>
    </row>
    <row r="16" spans="1:6" x14ac:dyDescent="0.25">
      <c r="A16" s="7" t="s">
        <v>13</v>
      </c>
      <c r="B16" s="8"/>
      <c r="C16" s="8">
        <f>16128000/12</f>
        <v>1344000</v>
      </c>
      <c r="D16" s="8"/>
      <c r="E16" s="8">
        <f>C16</f>
        <v>1344000</v>
      </c>
      <c r="F16" s="8">
        <f>E16/E9</f>
        <v>190.50318922749824</v>
      </c>
    </row>
    <row r="17" spans="1:6" x14ac:dyDescent="0.25">
      <c r="A17" s="7"/>
      <c r="B17" s="8"/>
      <c r="C17" s="8"/>
      <c r="D17" s="8"/>
      <c r="E17" s="8"/>
      <c r="F17" s="8"/>
    </row>
    <row r="18" spans="1:6" x14ac:dyDescent="0.25">
      <c r="A18" s="7" t="s">
        <v>14</v>
      </c>
      <c r="B18" s="8"/>
      <c r="C18" s="8"/>
      <c r="D18" s="8"/>
      <c r="E18" s="9"/>
      <c r="F18" s="9"/>
    </row>
    <row r="19" spans="1:6" x14ac:dyDescent="0.25">
      <c r="A19" s="17"/>
      <c r="B19" s="18"/>
      <c r="C19" s="18"/>
      <c r="D19" s="18"/>
      <c r="E19" s="19"/>
      <c r="F19" s="19"/>
    </row>
    <row r="20" spans="1:6" x14ac:dyDescent="0.25">
      <c r="A20" s="7" t="s">
        <v>0</v>
      </c>
      <c r="B20" s="8"/>
      <c r="C20" s="8"/>
      <c r="D20" s="8"/>
      <c r="E20" s="8"/>
      <c r="F20" s="8"/>
    </row>
    <row r="21" spans="1:6" x14ac:dyDescent="0.25">
      <c r="A21" s="22" t="s">
        <v>71</v>
      </c>
      <c r="B21" s="23"/>
      <c r="C21" s="23">
        <f>12823592+(B21/12)</f>
        <v>12823592</v>
      </c>
      <c r="D21" s="23">
        <f>B21-(B21/12)*3</f>
        <v>0</v>
      </c>
      <c r="E21" s="23">
        <f>B21+C21-D21</f>
        <v>12823592</v>
      </c>
      <c r="F21" s="23">
        <f>E21/E9</f>
        <v>1817.660099220411</v>
      </c>
    </row>
    <row r="22" spans="1:6" x14ac:dyDescent="0.25">
      <c r="A22" s="20"/>
      <c r="B22" s="21"/>
      <c r="C22" s="21"/>
      <c r="D22" s="21"/>
      <c r="E22" s="21"/>
      <c r="F22" s="21"/>
    </row>
    <row r="23" spans="1:6" x14ac:dyDescent="0.25">
      <c r="A23" s="54" t="s">
        <v>15</v>
      </c>
      <c r="B23" s="55">
        <f>B21+B22</f>
        <v>0</v>
      </c>
      <c r="C23" s="55">
        <f>C21+C22</f>
        <v>12823592</v>
      </c>
      <c r="D23" s="55">
        <f>D21+D22</f>
        <v>0</v>
      </c>
      <c r="E23" s="55">
        <f>E21+E22</f>
        <v>12823592</v>
      </c>
      <c r="F23" s="55">
        <f>F16+F21</f>
        <v>2008.1632884479093</v>
      </c>
    </row>
    <row r="25" spans="1:6" x14ac:dyDescent="0.25">
      <c r="A25" s="13" t="s">
        <v>16</v>
      </c>
      <c r="B25" s="13"/>
      <c r="C25" s="13" t="s">
        <v>17</v>
      </c>
      <c r="D25" s="13"/>
      <c r="E25" s="13" t="s">
        <v>18</v>
      </c>
      <c r="F25" s="13"/>
    </row>
    <row r="26" spans="1:6" x14ac:dyDescent="0.25">
      <c r="A26" s="14" t="s">
        <v>19</v>
      </c>
      <c r="B26" s="14"/>
      <c r="C26" s="14" t="s">
        <v>19</v>
      </c>
      <c r="D26" s="14"/>
      <c r="E26" s="14" t="s">
        <v>20</v>
      </c>
      <c r="F26" s="14"/>
    </row>
    <row r="27" spans="1:6" x14ac:dyDescent="0.25">
      <c r="A27" s="14"/>
      <c r="B27" s="14"/>
      <c r="C27" s="14"/>
      <c r="D27" s="14"/>
      <c r="E27" s="14"/>
      <c r="F27" s="14"/>
    </row>
    <row r="28" spans="1:6" ht="15.75" customHeight="1" x14ac:dyDescent="0.25">
      <c r="A28" s="1" t="str">
        <f>A1</f>
        <v>Công ty TNHH Thuận An</v>
      </c>
      <c r="E28" s="108" t="s">
        <v>1</v>
      </c>
      <c r="F28" s="108"/>
    </row>
    <row r="29" spans="1:6" ht="15.75" customHeight="1" x14ac:dyDescent="0.25">
      <c r="A29" s="1" t="str">
        <f>A2</f>
        <v>Ấp Chồng Nô 3, Xã Hòa Tân, Huyện Cầu Kè, Tỉnh Trà Vinh</v>
      </c>
      <c r="E29" s="101" t="s">
        <v>2</v>
      </c>
      <c r="F29" s="101"/>
    </row>
    <row r="30" spans="1:6" ht="15.75" customHeight="1" x14ac:dyDescent="0.25">
      <c r="E30" s="101" t="s">
        <v>53</v>
      </c>
      <c r="F30" s="101"/>
    </row>
    <row r="31" spans="1:6" x14ac:dyDescent="0.25">
      <c r="E31" s="101" t="s">
        <v>3</v>
      </c>
      <c r="F31" s="101"/>
    </row>
    <row r="32" spans="1:6" ht="18" x14ac:dyDescent="0.25">
      <c r="A32" s="102" t="s">
        <v>4</v>
      </c>
      <c r="B32" s="102"/>
      <c r="C32" s="102"/>
      <c r="D32" s="102"/>
      <c r="E32" s="102"/>
      <c r="F32" s="102"/>
    </row>
    <row r="33" spans="1:6" x14ac:dyDescent="0.25">
      <c r="A33" s="103" t="s">
        <v>88</v>
      </c>
      <c r="B33" s="103"/>
      <c r="C33" s="103"/>
      <c r="D33" s="103"/>
      <c r="E33" s="103"/>
      <c r="F33" s="103"/>
    </row>
    <row r="34" spans="1:6" x14ac:dyDescent="0.25">
      <c r="B34" s="1" t="s">
        <v>72</v>
      </c>
      <c r="C34" s="52" t="s">
        <v>69</v>
      </c>
    </row>
    <row r="35" spans="1:6" x14ac:dyDescent="0.25">
      <c r="B35" s="2" t="s">
        <v>55</v>
      </c>
      <c r="C35" s="3"/>
      <c r="D35" s="3"/>
      <c r="E35" s="53"/>
      <c r="F35" s="3"/>
    </row>
    <row r="36" spans="1:6" x14ac:dyDescent="0.25">
      <c r="B36" s="2" t="s">
        <v>56</v>
      </c>
      <c r="C36" s="3"/>
      <c r="D36" s="3"/>
      <c r="E36" s="56">
        <v>15251</v>
      </c>
      <c r="F36" s="3"/>
    </row>
    <row r="37" spans="1:6" x14ac:dyDescent="0.25">
      <c r="B37" s="2" t="s">
        <v>54</v>
      </c>
      <c r="C37" s="3"/>
      <c r="D37" s="3"/>
      <c r="E37" s="3"/>
      <c r="F37" s="3"/>
    </row>
    <row r="39" spans="1:6" ht="15.75" customHeight="1" x14ac:dyDescent="0.25">
      <c r="A39" s="104" t="s">
        <v>5</v>
      </c>
      <c r="B39" s="104" t="s">
        <v>6</v>
      </c>
      <c r="C39" s="104" t="s">
        <v>7</v>
      </c>
      <c r="D39" s="104" t="s">
        <v>8</v>
      </c>
      <c r="E39" s="106" t="s">
        <v>9</v>
      </c>
      <c r="F39" s="107"/>
    </row>
    <row r="40" spans="1:6" x14ac:dyDescent="0.25">
      <c r="A40" s="105"/>
      <c r="B40" s="105"/>
      <c r="C40" s="105"/>
      <c r="D40" s="105"/>
      <c r="E40" s="4" t="s">
        <v>10</v>
      </c>
      <c r="F40" s="4" t="s">
        <v>11</v>
      </c>
    </row>
    <row r="41" spans="1:6" x14ac:dyDescent="0.25">
      <c r="A41" s="5" t="s">
        <v>12</v>
      </c>
      <c r="B41" s="6"/>
      <c r="C41" s="6"/>
      <c r="D41" s="6"/>
      <c r="E41" s="6"/>
      <c r="F41" s="6"/>
    </row>
    <row r="42" spans="1:6" x14ac:dyDescent="0.25">
      <c r="A42" s="15"/>
      <c r="B42" s="16"/>
      <c r="C42" s="16"/>
      <c r="D42" s="16"/>
      <c r="E42" s="16"/>
      <c r="F42" s="16"/>
    </row>
    <row r="43" spans="1:6" x14ac:dyDescent="0.25">
      <c r="A43" s="7" t="s">
        <v>13</v>
      </c>
      <c r="B43" s="8"/>
      <c r="C43" s="8">
        <f>29952000/12</f>
        <v>2496000</v>
      </c>
      <c r="D43" s="8"/>
      <c r="E43" s="8">
        <f>C43</f>
        <v>2496000</v>
      </c>
      <c r="F43" s="8">
        <f>E43/E36</f>
        <v>163.66139925250803</v>
      </c>
    </row>
    <row r="44" spans="1:6" x14ac:dyDescent="0.25">
      <c r="A44" s="7"/>
      <c r="B44" s="8"/>
      <c r="C44" s="8"/>
      <c r="D44" s="8"/>
      <c r="E44" s="8"/>
      <c r="F44" s="8"/>
    </row>
    <row r="45" spans="1:6" x14ac:dyDescent="0.25">
      <c r="A45" s="7" t="s">
        <v>14</v>
      </c>
      <c r="B45" s="8"/>
      <c r="C45" s="8"/>
      <c r="D45" s="8"/>
      <c r="E45" s="9"/>
      <c r="F45" s="9"/>
    </row>
    <row r="46" spans="1:6" x14ac:dyDescent="0.25">
      <c r="A46" s="17"/>
      <c r="B46" s="18"/>
      <c r="C46" s="18"/>
      <c r="D46" s="18"/>
      <c r="E46" s="19"/>
      <c r="F46" s="19"/>
    </row>
    <row r="47" spans="1:6" x14ac:dyDescent="0.25">
      <c r="A47" s="7" t="s">
        <v>0</v>
      </c>
      <c r="B47" s="8"/>
      <c r="C47" s="74"/>
      <c r="D47" s="74"/>
      <c r="E47" s="8"/>
      <c r="F47" s="8"/>
    </row>
    <row r="48" spans="1:6" x14ac:dyDescent="0.25">
      <c r="A48" s="72" t="s">
        <v>71</v>
      </c>
      <c r="B48" s="74"/>
      <c r="C48" s="74">
        <v>21449563</v>
      </c>
      <c r="D48" s="74">
        <f>B48-(B48/12)*3</f>
        <v>0</v>
      </c>
      <c r="E48" s="74">
        <f>B48+C48-D48</f>
        <v>21449563</v>
      </c>
      <c r="F48" s="8">
        <f>E48/E36</f>
        <v>1406.4364959674776</v>
      </c>
    </row>
    <row r="49" spans="1:6" x14ac:dyDescent="0.25">
      <c r="A49" s="72" t="s">
        <v>73</v>
      </c>
      <c r="B49" s="74"/>
      <c r="C49" s="74">
        <f>825978+(B49/12)</f>
        <v>825978</v>
      </c>
      <c r="D49" s="74"/>
      <c r="E49" s="74">
        <f>B49+C49-D49</f>
        <v>825978</v>
      </c>
      <c r="F49" s="8">
        <f>E49/E36</f>
        <v>54.158940397350996</v>
      </c>
    </row>
    <row r="50" spans="1:6" x14ac:dyDescent="0.25">
      <c r="A50" s="73"/>
      <c r="B50" s="75"/>
      <c r="C50" s="75"/>
      <c r="D50" s="75"/>
      <c r="E50" s="75"/>
      <c r="F50" s="70"/>
    </row>
    <row r="51" spans="1:6" x14ac:dyDescent="0.25">
      <c r="A51" s="4" t="s">
        <v>15</v>
      </c>
      <c r="B51" s="55">
        <f>B48+B49</f>
        <v>0</v>
      </c>
      <c r="C51" s="55">
        <f>C48+C49+C50</f>
        <v>22275541</v>
      </c>
      <c r="D51" s="55">
        <f>D48+D49</f>
        <v>0</v>
      </c>
      <c r="E51" s="55">
        <f>E48+E49+E50</f>
        <v>22275541</v>
      </c>
      <c r="F51" s="55">
        <f>F43+F48+F49</f>
        <v>1624.2568356173367</v>
      </c>
    </row>
    <row r="52" spans="1:6" x14ac:dyDescent="0.25">
      <c r="A52" s="10"/>
      <c r="B52" s="11"/>
      <c r="C52" s="12"/>
      <c r="D52" s="12"/>
      <c r="E52" s="12"/>
      <c r="F52" s="12"/>
    </row>
    <row r="53" spans="1:6" x14ac:dyDescent="0.25">
      <c r="A53" s="13" t="s">
        <v>16</v>
      </c>
      <c r="B53" s="13"/>
      <c r="C53" s="13" t="s">
        <v>17</v>
      </c>
      <c r="D53" s="13"/>
      <c r="E53" s="13" t="s">
        <v>18</v>
      </c>
      <c r="F53" s="13"/>
    </row>
    <row r="54" spans="1:6" x14ac:dyDescent="0.25">
      <c r="A54" s="14" t="s">
        <v>19</v>
      </c>
      <c r="B54" s="14"/>
      <c r="C54" s="14" t="s">
        <v>19</v>
      </c>
      <c r="D54" s="14"/>
      <c r="E54" s="14" t="s">
        <v>20</v>
      </c>
      <c r="F54" s="14"/>
    </row>
  </sheetData>
  <mergeCells count="22">
    <mergeCell ref="E28:F28"/>
    <mergeCell ref="E1:F1"/>
    <mergeCell ref="E2:F2"/>
    <mergeCell ref="E3:F3"/>
    <mergeCell ref="E4:F4"/>
    <mergeCell ref="A5:F5"/>
    <mergeCell ref="A6:F6"/>
    <mergeCell ref="A12:A13"/>
    <mergeCell ref="B12:B13"/>
    <mergeCell ref="C12:C13"/>
    <mergeCell ref="D12:D13"/>
    <mergeCell ref="E12:F12"/>
    <mergeCell ref="A39:A40"/>
    <mergeCell ref="B39:B40"/>
    <mergeCell ref="C39:C40"/>
    <mergeCell ref="D39:D40"/>
    <mergeCell ref="E39:F39"/>
    <mergeCell ref="E29:F29"/>
    <mergeCell ref="E30:F30"/>
    <mergeCell ref="E31:F31"/>
    <mergeCell ref="A32:F32"/>
    <mergeCell ref="A33:F3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4"/>
  <sheetViews>
    <sheetView topLeftCell="A37" workbookViewId="0">
      <selection activeCell="D48" sqref="D48"/>
    </sheetView>
  </sheetViews>
  <sheetFormatPr defaultRowHeight="15.75" x14ac:dyDescent="0.25"/>
  <cols>
    <col min="1" max="1" width="45" style="1" customWidth="1"/>
    <col min="2" max="2" width="13" style="1" customWidth="1"/>
    <col min="3" max="4" width="13.75" style="1" customWidth="1"/>
    <col min="5" max="6" width="15.5" style="1" customWidth="1"/>
    <col min="7" max="7" width="13.75" style="1" customWidth="1"/>
    <col min="8" max="256" width="9" style="1"/>
    <col min="257" max="260" width="13.75" style="1" customWidth="1"/>
    <col min="261" max="262" width="15.5" style="1" customWidth="1"/>
    <col min="263" max="263" width="13.75" style="1" customWidth="1"/>
    <col min="264" max="512" width="9" style="1"/>
    <col min="513" max="516" width="13.75" style="1" customWidth="1"/>
    <col min="517" max="518" width="15.5" style="1" customWidth="1"/>
    <col min="519" max="519" width="13.75" style="1" customWidth="1"/>
    <col min="520" max="768" width="9" style="1"/>
    <col min="769" max="772" width="13.75" style="1" customWidth="1"/>
    <col min="773" max="774" width="15.5" style="1" customWidth="1"/>
    <col min="775" max="775" width="13.75" style="1" customWidth="1"/>
    <col min="776" max="1024" width="9" style="1"/>
    <col min="1025" max="1028" width="13.75" style="1" customWidth="1"/>
    <col min="1029" max="1030" width="15.5" style="1" customWidth="1"/>
    <col min="1031" max="1031" width="13.75" style="1" customWidth="1"/>
    <col min="1032" max="1280" width="9" style="1"/>
    <col min="1281" max="1284" width="13.75" style="1" customWidth="1"/>
    <col min="1285" max="1286" width="15.5" style="1" customWidth="1"/>
    <col min="1287" max="1287" width="13.75" style="1" customWidth="1"/>
    <col min="1288" max="1536" width="9" style="1"/>
    <col min="1537" max="1540" width="13.75" style="1" customWidth="1"/>
    <col min="1541" max="1542" width="15.5" style="1" customWidth="1"/>
    <col min="1543" max="1543" width="13.75" style="1" customWidth="1"/>
    <col min="1544" max="1792" width="9" style="1"/>
    <col min="1793" max="1796" width="13.75" style="1" customWidth="1"/>
    <col min="1797" max="1798" width="15.5" style="1" customWidth="1"/>
    <col min="1799" max="1799" width="13.75" style="1" customWidth="1"/>
    <col min="1800" max="2048" width="9" style="1"/>
    <col min="2049" max="2052" width="13.75" style="1" customWidth="1"/>
    <col min="2053" max="2054" width="15.5" style="1" customWidth="1"/>
    <col min="2055" max="2055" width="13.75" style="1" customWidth="1"/>
    <col min="2056" max="2304" width="9" style="1"/>
    <col min="2305" max="2308" width="13.75" style="1" customWidth="1"/>
    <col min="2309" max="2310" width="15.5" style="1" customWidth="1"/>
    <col min="2311" max="2311" width="13.75" style="1" customWidth="1"/>
    <col min="2312" max="2560" width="9" style="1"/>
    <col min="2561" max="2564" width="13.75" style="1" customWidth="1"/>
    <col min="2565" max="2566" width="15.5" style="1" customWidth="1"/>
    <col min="2567" max="2567" width="13.75" style="1" customWidth="1"/>
    <col min="2568" max="2816" width="9" style="1"/>
    <col min="2817" max="2820" width="13.75" style="1" customWidth="1"/>
    <col min="2821" max="2822" width="15.5" style="1" customWidth="1"/>
    <col min="2823" max="2823" width="13.75" style="1" customWidth="1"/>
    <col min="2824" max="3072" width="9" style="1"/>
    <col min="3073" max="3076" width="13.75" style="1" customWidth="1"/>
    <col min="3077" max="3078" width="15.5" style="1" customWidth="1"/>
    <col min="3079" max="3079" width="13.75" style="1" customWidth="1"/>
    <col min="3080" max="3328" width="9" style="1"/>
    <col min="3329" max="3332" width="13.75" style="1" customWidth="1"/>
    <col min="3333" max="3334" width="15.5" style="1" customWidth="1"/>
    <col min="3335" max="3335" width="13.75" style="1" customWidth="1"/>
    <col min="3336" max="3584" width="9" style="1"/>
    <col min="3585" max="3588" width="13.75" style="1" customWidth="1"/>
    <col min="3589" max="3590" width="15.5" style="1" customWidth="1"/>
    <col min="3591" max="3591" width="13.75" style="1" customWidth="1"/>
    <col min="3592" max="3840" width="9" style="1"/>
    <col min="3841" max="3844" width="13.75" style="1" customWidth="1"/>
    <col min="3845" max="3846" width="15.5" style="1" customWidth="1"/>
    <col min="3847" max="3847" width="13.75" style="1" customWidth="1"/>
    <col min="3848" max="4096" width="9" style="1"/>
    <col min="4097" max="4100" width="13.75" style="1" customWidth="1"/>
    <col min="4101" max="4102" width="15.5" style="1" customWidth="1"/>
    <col min="4103" max="4103" width="13.75" style="1" customWidth="1"/>
    <col min="4104" max="4352" width="9" style="1"/>
    <col min="4353" max="4356" width="13.75" style="1" customWidth="1"/>
    <col min="4357" max="4358" width="15.5" style="1" customWidth="1"/>
    <col min="4359" max="4359" width="13.75" style="1" customWidth="1"/>
    <col min="4360" max="4608" width="9" style="1"/>
    <col min="4609" max="4612" width="13.75" style="1" customWidth="1"/>
    <col min="4613" max="4614" width="15.5" style="1" customWidth="1"/>
    <col min="4615" max="4615" width="13.75" style="1" customWidth="1"/>
    <col min="4616" max="4864" width="9" style="1"/>
    <col min="4865" max="4868" width="13.75" style="1" customWidth="1"/>
    <col min="4869" max="4870" width="15.5" style="1" customWidth="1"/>
    <col min="4871" max="4871" width="13.75" style="1" customWidth="1"/>
    <col min="4872" max="5120" width="9" style="1"/>
    <col min="5121" max="5124" width="13.75" style="1" customWidth="1"/>
    <col min="5125" max="5126" width="15.5" style="1" customWidth="1"/>
    <col min="5127" max="5127" width="13.75" style="1" customWidth="1"/>
    <col min="5128" max="5376" width="9" style="1"/>
    <col min="5377" max="5380" width="13.75" style="1" customWidth="1"/>
    <col min="5381" max="5382" width="15.5" style="1" customWidth="1"/>
    <col min="5383" max="5383" width="13.75" style="1" customWidth="1"/>
    <col min="5384" max="5632" width="9" style="1"/>
    <col min="5633" max="5636" width="13.75" style="1" customWidth="1"/>
    <col min="5637" max="5638" width="15.5" style="1" customWidth="1"/>
    <col min="5639" max="5639" width="13.75" style="1" customWidth="1"/>
    <col min="5640" max="5888" width="9" style="1"/>
    <col min="5889" max="5892" width="13.75" style="1" customWidth="1"/>
    <col min="5893" max="5894" width="15.5" style="1" customWidth="1"/>
    <col min="5895" max="5895" width="13.75" style="1" customWidth="1"/>
    <col min="5896" max="6144" width="9" style="1"/>
    <col min="6145" max="6148" width="13.75" style="1" customWidth="1"/>
    <col min="6149" max="6150" width="15.5" style="1" customWidth="1"/>
    <col min="6151" max="6151" width="13.75" style="1" customWidth="1"/>
    <col min="6152" max="6400" width="9" style="1"/>
    <col min="6401" max="6404" width="13.75" style="1" customWidth="1"/>
    <col min="6405" max="6406" width="15.5" style="1" customWidth="1"/>
    <col min="6407" max="6407" width="13.75" style="1" customWidth="1"/>
    <col min="6408" max="6656" width="9" style="1"/>
    <col min="6657" max="6660" width="13.75" style="1" customWidth="1"/>
    <col min="6661" max="6662" width="15.5" style="1" customWidth="1"/>
    <col min="6663" max="6663" width="13.75" style="1" customWidth="1"/>
    <col min="6664" max="6912" width="9" style="1"/>
    <col min="6913" max="6916" width="13.75" style="1" customWidth="1"/>
    <col min="6917" max="6918" width="15.5" style="1" customWidth="1"/>
    <col min="6919" max="6919" width="13.75" style="1" customWidth="1"/>
    <col min="6920" max="7168" width="9" style="1"/>
    <col min="7169" max="7172" width="13.75" style="1" customWidth="1"/>
    <col min="7173" max="7174" width="15.5" style="1" customWidth="1"/>
    <col min="7175" max="7175" width="13.75" style="1" customWidth="1"/>
    <col min="7176" max="7424" width="9" style="1"/>
    <col min="7425" max="7428" width="13.75" style="1" customWidth="1"/>
    <col min="7429" max="7430" width="15.5" style="1" customWidth="1"/>
    <col min="7431" max="7431" width="13.75" style="1" customWidth="1"/>
    <col min="7432" max="7680" width="9" style="1"/>
    <col min="7681" max="7684" width="13.75" style="1" customWidth="1"/>
    <col min="7685" max="7686" width="15.5" style="1" customWidth="1"/>
    <col min="7687" max="7687" width="13.75" style="1" customWidth="1"/>
    <col min="7688" max="7936" width="9" style="1"/>
    <col min="7937" max="7940" width="13.75" style="1" customWidth="1"/>
    <col min="7941" max="7942" width="15.5" style="1" customWidth="1"/>
    <col min="7943" max="7943" width="13.75" style="1" customWidth="1"/>
    <col min="7944" max="8192" width="9" style="1"/>
    <col min="8193" max="8196" width="13.75" style="1" customWidth="1"/>
    <col min="8197" max="8198" width="15.5" style="1" customWidth="1"/>
    <col min="8199" max="8199" width="13.75" style="1" customWidth="1"/>
    <col min="8200" max="8448" width="9" style="1"/>
    <col min="8449" max="8452" width="13.75" style="1" customWidth="1"/>
    <col min="8453" max="8454" width="15.5" style="1" customWidth="1"/>
    <col min="8455" max="8455" width="13.75" style="1" customWidth="1"/>
    <col min="8456" max="8704" width="9" style="1"/>
    <col min="8705" max="8708" width="13.75" style="1" customWidth="1"/>
    <col min="8709" max="8710" width="15.5" style="1" customWidth="1"/>
    <col min="8711" max="8711" width="13.75" style="1" customWidth="1"/>
    <col min="8712" max="8960" width="9" style="1"/>
    <col min="8961" max="8964" width="13.75" style="1" customWidth="1"/>
    <col min="8965" max="8966" width="15.5" style="1" customWidth="1"/>
    <col min="8967" max="8967" width="13.75" style="1" customWidth="1"/>
    <col min="8968" max="9216" width="9" style="1"/>
    <col min="9217" max="9220" width="13.75" style="1" customWidth="1"/>
    <col min="9221" max="9222" width="15.5" style="1" customWidth="1"/>
    <col min="9223" max="9223" width="13.75" style="1" customWidth="1"/>
    <col min="9224" max="9472" width="9" style="1"/>
    <col min="9473" max="9476" width="13.75" style="1" customWidth="1"/>
    <col min="9477" max="9478" width="15.5" style="1" customWidth="1"/>
    <col min="9479" max="9479" width="13.75" style="1" customWidth="1"/>
    <col min="9480" max="9728" width="9" style="1"/>
    <col min="9729" max="9732" width="13.75" style="1" customWidth="1"/>
    <col min="9733" max="9734" width="15.5" style="1" customWidth="1"/>
    <col min="9735" max="9735" width="13.75" style="1" customWidth="1"/>
    <col min="9736" max="9984" width="9" style="1"/>
    <col min="9985" max="9988" width="13.75" style="1" customWidth="1"/>
    <col min="9989" max="9990" width="15.5" style="1" customWidth="1"/>
    <col min="9991" max="9991" width="13.75" style="1" customWidth="1"/>
    <col min="9992" max="10240" width="9" style="1"/>
    <col min="10241" max="10244" width="13.75" style="1" customWidth="1"/>
    <col min="10245" max="10246" width="15.5" style="1" customWidth="1"/>
    <col min="10247" max="10247" width="13.75" style="1" customWidth="1"/>
    <col min="10248" max="10496" width="9" style="1"/>
    <col min="10497" max="10500" width="13.75" style="1" customWidth="1"/>
    <col min="10501" max="10502" width="15.5" style="1" customWidth="1"/>
    <col min="10503" max="10503" width="13.75" style="1" customWidth="1"/>
    <col min="10504" max="10752" width="9" style="1"/>
    <col min="10753" max="10756" width="13.75" style="1" customWidth="1"/>
    <col min="10757" max="10758" width="15.5" style="1" customWidth="1"/>
    <col min="10759" max="10759" width="13.75" style="1" customWidth="1"/>
    <col min="10760" max="11008" width="9" style="1"/>
    <col min="11009" max="11012" width="13.75" style="1" customWidth="1"/>
    <col min="11013" max="11014" width="15.5" style="1" customWidth="1"/>
    <col min="11015" max="11015" width="13.75" style="1" customWidth="1"/>
    <col min="11016" max="11264" width="9" style="1"/>
    <col min="11265" max="11268" width="13.75" style="1" customWidth="1"/>
    <col min="11269" max="11270" width="15.5" style="1" customWidth="1"/>
    <col min="11271" max="11271" width="13.75" style="1" customWidth="1"/>
    <col min="11272" max="11520" width="9" style="1"/>
    <col min="11521" max="11524" width="13.75" style="1" customWidth="1"/>
    <col min="11525" max="11526" width="15.5" style="1" customWidth="1"/>
    <col min="11527" max="11527" width="13.75" style="1" customWidth="1"/>
    <col min="11528" max="11776" width="9" style="1"/>
    <col min="11777" max="11780" width="13.75" style="1" customWidth="1"/>
    <col min="11781" max="11782" width="15.5" style="1" customWidth="1"/>
    <col min="11783" max="11783" width="13.75" style="1" customWidth="1"/>
    <col min="11784" max="12032" width="9" style="1"/>
    <col min="12033" max="12036" width="13.75" style="1" customWidth="1"/>
    <col min="12037" max="12038" width="15.5" style="1" customWidth="1"/>
    <col min="12039" max="12039" width="13.75" style="1" customWidth="1"/>
    <col min="12040" max="12288" width="9" style="1"/>
    <col min="12289" max="12292" width="13.75" style="1" customWidth="1"/>
    <col min="12293" max="12294" width="15.5" style="1" customWidth="1"/>
    <col min="12295" max="12295" width="13.75" style="1" customWidth="1"/>
    <col min="12296" max="12544" width="9" style="1"/>
    <col min="12545" max="12548" width="13.75" style="1" customWidth="1"/>
    <col min="12549" max="12550" width="15.5" style="1" customWidth="1"/>
    <col min="12551" max="12551" width="13.75" style="1" customWidth="1"/>
    <col min="12552" max="12800" width="9" style="1"/>
    <col min="12801" max="12804" width="13.75" style="1" customWidth="1"/>
    <col min="12805" max="12806" width="15.5" style="1" customWidth="1"/>
    <col min="12807" max="12807" width="13.75" style="1" customWidth="1"/>
    <col min="12808" max="13056" width="9" style="1"/>
    <col min="13057" max="13060" width="13.75" style="1" customWidth="1"/>
    <col min="13061" max="13062" width="15.5" style="1" customWidth="1"/>
    <col min="13063" max="13063" width="13.75" style="1" customWidth="1"/>
    <col min="13064" max="13312" width="9" style="1"/>
    <col min="13313" max="13316" width="13.75" style="1" customWidth="1"/>
    <col min="13317" max="13318" width="15.5" style="1" customWidth="1"/>
    <col min="13319" max="13319" width="13.75" style="1" customWidth="1"/>
    <col min="13320" max="13568" width="9" style="1"/>
    <col min="13569" max="13572" width="13.75" style="1" customWidth="1"/>
    <col min="13573" max="13574" width="15.5" style="1" customWidth="1"/>
    <col min="13575" max="13575" width="13.75" style="1" customWidth="1"/>
    <col min="13576" max="13824" width="9" style="1"/>
    <col min="13825" max="13828" width="13.75" style="1" customWidth="1"/>
    <col min="13829" max="13830" width="15.5" style="1" customWidth="1"/>
    <col min="13831" max="13831" width="13.75" style="1" customWidth="1"/>
    <col min="13832" max="14080" width="9" style="1"/>
    <col min="14081" max="14084" width="13.75" style="1" customWidth="1"/>
    <col min="14085" max="14086" width="15.5" style="1" customWidth="1"/>
    <col min="14087" max="14087" width="13.75" style="1" customWidth="1"/>
    <col min="14088" max="14336" width="9" style="1"/>
    <col min="14337" max="14340" width="13.75" style="1" customWidth="1"/>
    <col min="14341" max="14342" width="15.5" style="1" customWidth="1"/>
    <col min="14343" max="14343" width="13.75" style="1" customWidth="1"/>
    <col min="14344" max="14592" width="9" style="1"/>
    <col min="14593" max="14596" width="13.75" style="1" customWidth="1"/>
    <col min="14597" max="14598" width="15.5" style="1" customWidth="1"/>
    <col min="14599" max="14599" width="13.75" style="1" customWidth="1"/>
    <col min="14600" max="14848" width="9" style="1"/>
    <col min="14849" max="14852" width="13.75" style="1" customWidth="1"/>
    <col min="14853" max="14854" width="15.5" style="1" customWidth="1"/>
    <col min="14855" max="14855" width="13.75" style="1" customWidth="1"/>
    <col min="14856" max="15104" width="9" style="1"/>
    <col min="15105" max="15108" width="13.75" style="1" customWidth="1"/>
    <col min="15109" max="15110" width="15.5" style="1" customWidth="1"/>
    <col min="15111" max="15111" width="13.75" style="1" customWidth="1"/>
    <col min="15112" max="15360" width="9" style="1"/>
    <col min="15361" max="15364" width="13.75" style="1" customWidth="1"/>
    <col min="15365" max="15366" width="15.5" style="1" customWidth="1"/>
    <col min="15367" max="15367" width="13.75" style="1" customWidth="1"/>
    <col min="15368" max="15616" width="9" style="1"/>
    <col min="15617" max="15620" width="13.75" style="1" customWidth="1"/>
    <col min="15621" max="15622" width="15.5" style="1" customWidth="1"/>
    <col min="15623" max="15623" width="13.75" style="1" customWidth="1"/>
    <col min="15624" max="15872" width="9" style="1"/>
    <col min="15873" max="15876" width="13.75" style="1" customWidth="1"/>
    <col min="15877" max="15878" width="15.5" style="1" customWidth="1"/>
    <col min="15879" max="15879" width="13.75" style="1" customWidth="1"/>
    <col min="15880" max="16128" width="9" style="1"/>
    <col min="16129" max="16132" width="13.75" style="1" customWidth="1"/>
    <col min="16133" max="16134" width="15.5" style="1" customWidth="1"/>
    <col min="16135" max="16135" width="13.75" style="1" customWidth="1"/>
    <col min="16136" max="16384" width="9" style="1"/>
  </cols>
  <sheetData>
    <row r="1" spans="1:6" ht="15.75" customHeight="1" x14ac:dyDescent="0.25">
      <c r="A1" s="1" t="str">
        <f>'THONG TIN'!C3</f>
        <v>Công ty TNHH Thuận An</v>
      </c>
      <c r="E1" s="108" t="s">
        <v>1</v>
      </c>
      <c r="F1" s="108"/>
    </row>
    <row r="2" spans="1:6" ht="15.75" customHeight="1" x14ac:dyDescent="0.25">
      <c r="A2" s="1" t="str">
        <f>'THONG TIN'!C4</f>
        <v>Ấp Chồng Nô 3, Xã Hòa Tân, Huyện Cầu Kè, Tỉnh Trà Vinh</v>
      </c>
      <c r="E2" s="101" t="s">
        <v>2</v>
      </c>
      <c r="F2" s="101"/>
    </row>
    <row r="3" spans="1:6" ht="15.75" customHeight="1" x14ac:dyDescent="0.25">
      <c r="E3" s="101" t="s">
        <v>53</v>
      </c>
      <c r="F3" s="101"/>
    </row>
    <row r="4" spans="1:6" ht="15.75" customHeight="1" x14ac:dyDescent="0.25">
      <c r="E4" s="101" t="s">
        <v>3</v>
      </c>
      <c r="F4" s="101"/>
    </row>
    <row r="5" spans="1:6" ht="18" x14ac:dyDescent="0.25">
      <c r="A5" s="102" t="s">
        <v>4</v>
      </c>
      <c r="B5" s="102"/>
      <c r="C5" s="102"/>
      <c r="D5" s="102"/>
      <c r="E5" s="102"/>
      <c r="F5" s="102"/>
    </row>
    <row r="6" spans="1:6" x14ac:dyDescent="0.25">
      <c r="A6" s="103" t="s">
        <v>89</v>
      </c>
      <c r="B6" s="103"/>
      <c r="C6" s="103"/>
      <c r="D6" s="103"/>
      <c r="E6" s="103"/>
      <c r="F6" s="103"/>
    </row>
    <row r="7" spans="1:6" x14ac:dyDescent="0.25">
      <c r="B7" s="1" t="s">
        <v>72</v>
      </c>
      <c r="C7" s="52" t="s">
        <v>68</v>
      </c>
    </row>
    <row r="8" spans="1:6" x14ac:dyDescent="0.25">
      <c r="B8" s="2" t="s">
        <v>55</v>
      </c>
      <c r="C8" s="3"/>
      <c r="D8" s="3"/>
      <c r="E8" s="53"/>
      <c r="F8" s="3"/>
    </row>
    <row r="9" spans="1:6" x14ac:dyDescent="0.25">
      <c r="B9" s="2" t="s">
        <v>56</v>
      </c>
      <c r="C9" s="3"/>
      <c r="D9" s="3"/>
      <c r="E9" s="56">
        <v>6865</v>
      </c>
      <c r="F9" s="3"/>
    </row>
    <row r="10" spans="1:6" x14ac:dyDescent="0.25">
      <c r="B10" s="2" t="s">
        <v>54</v>
      </c>
      <c r="C10" s="3"/>
      <c r="D10" s="3"/>
      <c r="E10" s="3"/>
      <c r="F10" s="3"/>
    </row>
    <row r="12" spans="1:6" ht="15.75" customHeight="1" x14ac:dyDescent="0.25">
      <c r="A12" s="104" t="s">
        <v>5</v>
      </c>
      <c r="B12" s="104" t="s">
        <v>6</v>
      </c>
      <c r="C12" s="104" t="s">
        <v>7</v>
      </c>
      <c r="D12" s="104" t="s">
        <v>8</v>
      </c>
      <c r="E12" s="106" t="s">
        <v>9</v>
      </c>
      <c r="F12" s="107"/>
    </row>
    <row r="13" spans="1:6" x14ac:dyDescent="0.25">
      <c r="A13" s="105"/>
      <c r="B13" s="105"/>
      <c r="C13" s="105"/>
      <c r="D13" s="105"/>
      <c r="E13" s="4" t="s">
        <v>10</v>
      </c>
      <c r="F13" s="4" t="s">
        <v>11</v>
      </c>
    </row>
    <row r="14" spans="1:6" x14ac:dyDescent="0.25">
      <c r="A14" s="5" t="s">
        <v>12</v>
      </c>
      <c r="B14" s="6"/>
      <c r="C14" s="6"/>
      <c r="D14" s="6"/>
      <c r="E14" s="6"/>
      <c r="F14" s="6"/>
    </row>
    <row r="15" spans="1:6" x14ac:dyDescent="0.25">
      <c r="A15" s="15"/>
      <c r="B15" s="16"/>
      <c r="C15" s="16"/>
      <c r="D15" s="16"/>
      <c r="E15" s="16"/>
      <c r="F15" s="16"/>
    </row>
    <row r="16" spans="1:6" x14ac:dyDescent="0.25">
      <c r="A16" s="7" t="s">
        <v>13</v>
      </c>
      <c r="B16" s="8"/>
      <c r="C16" s="8">
        <f>16128000/12</f>
        <v>1344000</v>
      </c>
      <c r="D16" s="8"/>
      <c r="E16" s="8">
        <f>C16</f>
        <v>1344000</v>
      </c>
      <c r="F16" s="8">
        <f>E16/E9</f>
        <v>195.7756737072105</v>
      </c>
    </row>
    <row r="17" spans="1:6" x14ac:dyDescent="0.25">
      <c r="A17" s="7"/>
      <c r="B17" s="8"/>
      <c r="C17" s="8"/>
      <c r="D17" s="8"/>
      <c r="E17" s="8"/>
      <c r="F17" s="8"/>
    </row>
    <row r="18" spans="1:6" x14ac:dyDescent="0.25">
      <c r="A18" s="7" t="s">
        <v>14</v>
      </c>
      <c r="B18" s="8"/>
      <c r="C18" s="8"/>
      <c r="D18" s="8"/>
      <c r="E18" s="9"/>
      <c r="F18" s="9"/>
    </row>
    <row r="19" spans="1:6" x14ac:dyDescent="0.25">
      <c r="A19" s="17"/>
      <c r="B19" s="18"/>
      <c r="C19" s="18"/>
      <c r="D19" s="18"/>
      <c r="E19" s="19"/>
      <c r="F19" s="19"/>
    </row>
    <row r="20" spans="1:6" x14ac:dyDescent="0.25">
      <c r="A20" s="7" t="s">
        <v>0</v>
      </c>
      <c r="B20" s="8"/>
      <c r="C20" s="8"/>
      <c r="D20" s="8"/>
      <c r="E20" s="8"/>
      <c r="F20" s="8"/>
    </row>
    <row r="21" spans="1:6" x14ac:dyDescent="0.25">
      <c r="A21" s="22" t="s">
        <v>71</v>
      </c>
      <c r="B21" s="23"/>
      <c r="C21" s="23">
        <f>12823592+(B21/12)</f>
        <v>12823592</v>
      </c>
      <c r="D21" s="23">
        <f>B21-(B21/12)*3</f>
        <v>0</v>
      </c>
      <c r="E21" s="23">
        <f>B21+C21-D21</f>
        <v>12823592</v>
      </c>
      <c r="F21" s="23">
        <f>E21/E9</f>
        <v>1867.9667880553532</v>
      </c>
    </row>
    <row r="22" spans="1:6" x14ac:dyDescent="0.25">
      <c r="A22" s="20"/>
      <c r="B22" s="21"/>
      <c r="C22" s="21"/>
      <c r="D22" s="21"/>
      <c r="E22" s="21"/>
      <c r="F22" s="21"/>
    </row>
    <row r="23" spans="1:6" x14ac:dyDescent="0.25">
      <c r="A23" s="54" t="s">
        <v>15</v>
      </c>
      <c r="B23" s="55">
        <f>B21+B22</f>
        <v>0</v>
      </c>
      <c r="C23" s="55">
        <f>C21+C22</f>
        <v>12823592</v>
      </c>
      <c r="D23" s="55">
        <f>D21+D22</f>
        <v>0</v>
      </c>
      <c r="E23" s="55">
        <f>E21+E22</f>
        <v>12823592</v>
      </c>
      <c r="F23" s="55">
        <f>F16+F21</f>
        <v>2063.7424617625638</v>
      </c>
    </row>
    <row r="25" spans="1:6" x14ac:dyDescent="0.25">
      <c r="A25" s="13" t="s">
        <v>16</v>
      </c>
      <c r="B25" s="13"/>
      <c r="C25" s="13" t="s">
        <v>17</v>
      </c>
      <c r="D25" s="13"/>
      <c r="E25" s="13" t="s">
        <v>18</v>
      </c>
      <c r="F25" s="13"/>
    </row>
    <row r="26" spans="1:6" x14ac:dyDescent="0.25">
      <c r="A26" s="14" t="s">
        <v>19</v>
      </c>
      <c r="B26" s="14"/>
      <c r="C26" s="14" t="s">
        <v>19</v>
      </c>
      <c r="D26" s="14"/>
      <c r="E26" s="14" t="s">
        <v>20</v>
      </c>
      <c r="F26" s="14"/>
    </row>
    <row r="27" spans="1:6" x14ac:dyDescent="0.25">
      <c r="A27" s="14"/>
      <c r="B27" s="14"/>
      <c r="C27" s="14"/>
      <c r="D27" s="14"/>
      <c r="E27" s="14"/>
      <c r="F27" s="14"/>
    </row>
    <row r="28" spans="1:6" ht="15.75" customHeight="1" x14ac:dyDescent="0.25">
      <c r="A28" s="1" t="str">
        <f>A1</f>
        <v>Công ty TNHH Thuận An</v>
      </c>
      <c r="E28" s="108" t="s">
        <v>1</v>
      </c>
      <c r="F28" s="108"/>
    </row>
    <row r="29" spans="1:6" ht="15.75" customHeight="1" x14ac:dyDescent="0.25">
      <c r="A29" s="1" t="str">
        <f>A2</f>
        <v>Ấp Chồng Nô 3, Xã Hòa Tân, Huyện Cầu Kè, Tỉnh Trà Vinh</v>
      </c>
      <c r="E29" s="101" t="s">
        <v>2</v>
      </c>
      <c r="F29" s="101"/>
    </row>
    <row r="30" spans="1:6" ht="15.75" customHeight="1" x14ac:dyDescent="0.25">
      <c r="E30" s="101" t="s">
        <v>53</v>
      </c>
      <c r="F30" s="101"/>
    </row>
    <row r="31" spans="1:6" ht="15.75" customHeight="1" x14ac:dyDescent="0.25">
      <c r="E31" s="101" t="s">
        <v>3</v>
      </c>
      <c r="F31" s="101"/>
    </row>
    <row r="32" spans="1:6" ht="18" x14ac:dyDescent="0.25">
      <c r="A32" s="102" t="s">
        <v>4</v>
      </c>
      <c r="B32" s="102"/>
      <c r="C32" s="102"/>
      <c r="D32" s="102"/>
      <c r="E32" s="102"/>
      <c r="F32" s="102"/>
    </row>
    <row r="33" spans="1:6" x14ac:dyDescent="0.25">
      <c r="A33" s="103" t="s">
        <v>90</v>
      </c>
      <c r="B33" s="103"/>
      <c r="C33" s="103"/>
      <c r="D33" s="103"/>
      <c r="E33" s="103"/>
      <c r="F33" s="103"/>
    </row>
    <row r="34" spans="1:6" x14ac:dyDescent="0.25">
      <c r="B34" s="1" t="s">
        <v>72</v>
      </c>
      <c r="C34" s="52" t="s">
        <v>69</v>
      </c>
    </row>
    <row r="35" spans="1:6" x14ac:dyDescent="0.25">
      <c r="B35" s="2" t="s">
        <v>55</v>
      </c>
      <c r="C35" s="3"/>
      <c r="D35" s="3"/>
      <c r="E35" s="53"/>
      <c r="F35" s="3"/>
    </row>
    <row r="36" spans="1:6" x14ac:dyDescent="0.25">
      <c r="B36" s="2" t="s">
        <v>56</v>
      </c>
      <c r="C36" s="3"/>
      <c r="D36" s="3"/>
      <c r="E36" s="56">
        <v>16172</v>
      </c>
      <c r="F36" s="3"/>
    </row>
    <row r="37" spans="1:6" x14ac:dyDescent="0.25">
      <c r="B37" s="2" t="s">
        <v>54</v>
      </c>
      <c r="C37" s="3"/>
      <c r="D37" s="3"/>
      <c r="E37" s="3"/>
      <c r="F37" s="3"/>
    </row>
    <row r="39" spans="1:6" ht="15.75" customHeight="1" x14ac:dyDescent="0.25">
      <c r="A39" s="104" t="s">
        <v>5</v>
      </c>
      <c r="B39" s="104" t="s">
        <v>6</v>
      </c>
      <c r="C39" s="104" t="s">
        <v>7</v>
      </c>
      <c r="D39" s="104" t="s">
        <v>8</v>
      </c>
      <c r="E39" s="106" t="s">
        <v>9</v>
      </c>
      <c r="F39" s="107"/>
    </row>
    <row r="40" spans="1:6" x14ac:dyDescent="0.25">
      <c r="A40" s="105"/>
      <c r="B40" s="105"/>
      <c r="C40" s="105"/>
      <c r="D40" s="105"/>
      <c r="E40" s="4" t="s">
        <v>10</v>
      </c>
      <c r="F40" s="4" t="s">
        <v>11</v>
      </c>
    </row>
    <row r="41" spans="1:6" x14ac:dyDescent="0.25">
      <c r="A41" s="5" t="s">
        <v>12</v>
      </c>
      <c r="B41" s="6"/>
      <c r="C41" s="6"/>
      <c r="D41" s="6"/>
      <c r="E41" s="6"/>
      <c r="F41" s="6"/>
    </row>
    <row r="42" spans="1:6" x14ac:dyDescent="0.25">
      <c r="A42" s="15"/>
      <c r="B42" s="16"/>
      <c r="C42" s="16"/>
      <c r="D42" s="16"/>
      <c r="E42" s="16"/>
      <c r="F42" s="16"/>
    </row>
    <row r="43" spans="1:6" x14ac:dyDescent="0.25">
      <c r="A43" s="7" t="s">
        <v>13</v>
      </c>
      <c r="B43" s="8"/>
      <c r="C43" s="8">
        <f>29952000/12</f>
        <v>2496000</v>
      </c>
      <c r="D43" s="8"/>
      <c r="E43" s="8">
        <f>C43</f>
        <v>2496000</v>
      </c>
      <c r="F43" s="8">
        <f>E43/E36</f>
        <v>154.34083601286173</v>
      </c>
    </row>
    <row r="44" spans="1:6" x14ac:dyDescent="0.25">
      <c r="A44" s="7"/>
      <c r="B44" s="8"/>
      <c r="C44" s="8"/>
      <c r="D44" s="8"/>
      <c r="E44" s="8"/>
      <c r="F44" s="8"/>
    </row>
    <row r="45" spans="1:6" x14ac:dyDescent="0.25">
      <c r="A45" s="7" t="s">
        <v>14</v>
      </c>
      <c r="B45" s="8"/>
      <c r="C45" s="8"/>
      <c r="D45" s="8"/>
      <c r="E45" s="9"/>
      <c r="F45" s="9"/>
    </row>
    <row r="46" spans="1:6" x14ac:dyDescent="0.25">
      <c r="A46" s="17"/>
      <c r="B46" s="18"/>
      <c r="C46" s="18"/>
      <c r="D46" s="18"/>
      <c r="E46" s="19"/>
      <c r="F46" s="19"/>
    </row>
    <row r="47" spans="1:6" x14ac:dyDescent="0.25">
      <c r="A47" s="7" t="s">
        <v>0</v>
      </c>
      <c r="B47" s="8"/>
      <c r="C47" s="74"/>
      <c r="D47" s="74"/>
      <c r="E47" s="8"/>
      <c r="F47" s="8"/>
    </row>
    <row r="48" spans="1:6" x14ac:dyDescent="0.25">
      <c r="A48" s="72" t="s">
        <v>71</v>
      </c>
      <c r="B48" s="74"/>
      <c r="C48" s="74">
        <v>21449563</v>
      </c>
      <c r="D48" s="74">
        <f>B48-(B48/12)*3</f>
        <v>0</v>
      </c>
      <c r="E48" s="74">
        <f>B48+C48-D48</f>
        <v>21449563</v>
      </c>
      <c r="F48" s="8">
        <f>E48/E36</f>
        <v>1326.339537472174</v>
      </c>
    </row>
    <row r="49" spans="1:6" x14ac:dyDescent="0.25">
      <c r="A49" s="72" t="s">
        <v>73</v>
      </c>
      <c r="B49" s="74"/>
      <c r="C49" s="74">
        <f>825978+(B49/12)</f>
        <v>825978</v>
      </c>
      <c r="D49" s="74"/>
      <c r="E49" s="74">
        <f>B49+C49-D49</f>
        <v>825978</v>
      </c>
      <c r="F49" s="8">
        <f>E49/E36</f>
        <v>51.074573336631211</v>
      </c>
    </row>
    <row r="50" spans="1:6" x14ac:dyDescent="0.25">
      <c r="A50" s="73"/>
      <c r="B50" s="75"/>
      <c r="C50" s="75"/>
      <c r="D50" s="75"/>
      <c r="E50" s="75"/>
      <c r="F50" s="70"/>
    </row>
    <row r="51" spans="1:6" x14ac:dyDescent="0.25">
      <c r="A51" s="4" t="s">
        <v>15</v>
      </c>
      <c r="B51" s="55">
        <f>B48+B49</f>
        <v>0</v>
      </c>
      <c r="C51" s="55">
        <f>C48+C49+C50</f>
        <v>22275541</v>
      </c>
      <c r="D51" s="55">
        <f>D48+D49</f>
        <v>0</v>
      </c>
      <c r="E51" s="55">
        <f>E48+E49+E50</f>
        <v>22275541</v>
      </c>
      <c r="F51" s="55">
        <f>F43+F48+F49</f>
        <v>1531.7549468216669</v>
      </c>
    </row>
    <row r="52" spans="1:6" x14ac:dyDescent="0.25">
      <c r="A52" s="10"/>
      <c r="B52" s="11"/>
      <c r="C52" s="12"/>
      <c r="D52" s="12"/>
      <c r="E52" s="12"/>
      <c r="F52" s="12"/>
    </row>
    <row r="53" spans="1:6" x14ac:dyDescent="0.25">
      <c r="A53" s="13" t="s">
        <v>16</v>
      </c>
      <c r="B53" s="13"/>
      <c r="C53" s="13" t="s">
        <v>17</v>
      </c>
      <c r="D53" s="13"/>
      <c r="E53" s="13" t="s">
        <v>18</v>
      </c>
      <c r="F53" s="13"/>
    </row>
    <row r="54" spans="1:6" x14ac:dyDescent="0.25">
      <c r="A54" s="14" t="s">
        <v>19</v>
      </c>
      <c r="B54" s="14"/>
      <c r="C54" s="14" t="s">
        <v>19</v>
      </c>
      <c r="D54" s="14"/>
      <c r="E54" s="14" t="s">
        <v>20</v>
      </c>
      <c r="F54" s="14"/>
    </row>
  </sheetData>
  <mergeCells count="22">
    <mergeCell ref="E28:F28"/>
    <mergeCell ref="E1:F1"/>
    <mergeCell ref="E2:F2"/>
    <mergeCell ref="E3:F3"/>
    <mergeCell ref="E4:F4"/>
    <mergeCell ref="A5:F5"/>
    <mergeCell ref="A6:F6"/>
    <mergeCell ref="A12:A13"/>
    <mergeCell ref="B12:B13"/>
    <mergeCell ref="C12:C13"/>
    <mergeCell ref="D12:D13"/>
    <mergeCell ref="E12:F12"/>
    <mergeCell ref="A39:A40"/>
    <mergeCell ref="B39:B40"/>
    <mergeCell ref="C39:C40"/>
    <mergeCell ref="D39:D40"/>
    <mergeCell ref="E39:F39"/>
    <mergeCell ref="E29:F29"/>
    <mergeCell ref="E30:F30"/>
    <mergeCell ref="E31:F31"/>
    <mergeCell ref="A32:F32"/>
    <mergeCell ref="A33:F3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4"/>
  <sheetViews>
    <sheetView topLeftCell="A34" workbookViewId="0">
      <selection activeCell="D48" sqref="D48"/>
    </sheetView>
  </sheetViews>
  <sheetFormatPr defaultRowHeight="15.75" x14ac:dyDescent="0.25"/>
  <cols>
    <col min="1" max="1" width="45" style="1" customWidth="1"/>
    <col min="2" max="2" width="13" style="1" customWidth="1"/>
    <col min="3" max="4" width="13.75" style="1" customWidth="1"/>
    <col min="5" max="6" width="15.5" style="1" customWidth="1"/>
    <col min="7" max="7" width="13.75" style="1" customWidth="1"/>
    <col min="8" max="256" width="9" style="1"/>
    <col min="257" max="260" width="13.75" style="1" customWidth="1"/>
    <col min="261" max="262" width="15.5" style="1" customWidth="1"/>
    <col min="263" max="263" width="13.75" style="1" customWidth="1"/>
    <col min="264" max="512" width="9" style="1"/>
    <col min="513" max="516" width="13.75" style="1" customWidth="1"/>
    <col min="517" max="518" width="15.5" style="1" customWidth="1"/>
    <col min="519" max="519" width="13.75" style="1" customWidth="1"/>
    <col min="520" max="768" width="9" style="1"/>
    <col min="769" max="772" width="13.75" style="1" customWidth="1"/>
    <col min="773" max="774" width="15.5" style="1" customWidth="1"/>
    <col min="775" max="775" width="13.75" style="1" customWidth="1"/>
    <col min="776" max="1024" width="9" style="1"/>
    <col min="1025" max="1028" width="13.75" style="1" customWidth="1"/>
    <col min="1029" max="1030" width="15.5" style="1" customWidth="1"/>
    <col min="1031" max="1031" width="13.75" style="1" customWidth="1"/>
    <col min="1032" max="1280" width="9" style="1"/>
    <col min="1281" max="1284" width="13.75" style="1" customWidth="1"/>
    <col min="1285" max="1286" width="15.5" style="1" customWidth="1"/>
    <col min="1287" max="1287" width="13.75" style="1" customWidth="1"/>
    <col min="1288" max="1536" width="9" style="1"/>
    <col min="1537" max="1540" width="13.75" style="1" customWidth="1"/>
    <col min="1541" max="1542" width="15.5" style="1" customWidth="1"/>
    <col min="1543" max="1543" width="13.75" style="1" customWidth="1"/>
    <col min="1544" max="1792" width="9" style="1"/>
    <col min="1793" max="1796" width="13.75" style="1" customWidth="1"/>
    <col min="1797" max="1798" width="15.5" style="1" customWidth="1"/>
    <col min="1799" max="1799" width="13.75" style="1" customWidth="1"/>
    <col min="1800" max="2048" width="9" style="1"/>
    <col min="2049" max="2052" width="13.75" style="1" customWidth="1"/>
    <col min="2053" max="2054" width="15.5" style="1" customWidth="1"/>
    <col min="2055" max="2055" width="13.75" style="1" customWidth="1"/>
    <col min="2056" max="2304" width="9" style="1"/>
    <col min="2305" max="2308" width="13.75" style="1" customWidth="1"/>
    <col min="2309" max="2310" width="15.5" style="1" customWidth="1"/>
    <col min="2311" max="2311" width="13.75" style="1" customWidth="1"/>
    <col min="2312" max="2560" width="9" style="1"/>
    <col min="2561" max="2564" width="13.75" style="1" customWidth="1"/>
    <col min="2565" max="2566" width="15.5" style="1" customWidth="1"/>
    <col min="2567" max="2567" width="13.75" style="1" customWidth="1"/>
    <col min="2568" max="2816" width="9" style="1"/>
    <col min="2817" max="2820" width="13.75" style="1" customWidth="1"/>
    <col min="2821" max="2822" width="15.5" style="1" customWidth="1"/>
    <col min="2823" max="2823" width="13.75" style="1" customWidth="1"/>
    <col min="2824" max="3072" width="9" style="1"/>
    <col min="3073" max="3076" width="13.75" style="1" customWidth="1"/>
    <col min="3077" max="3078" width="15.5" style="1" customWidth="1"/>
    <col min="3079" max="3079" width="13.75" style="1" customWidth="1"/>
    <col min="3080" max="3328" width="9" style="1"/>
    <col min="3329" max="3332" width="13.75" style="1" customWidth="1"/>
    <col min="3333" max="3334" width="15.5" style="1" customWidth="1"/>
    <col min="3335" max="3335" width="13.75" style="1" customWidth="1"/>
    <col min="3336" max="3584" width="9" style="1"/>
    <col min="3585" max="3588" width="13.75" style="1" customWidth="1"/>
    <col min="3589" max="3590" width="15.5" style="1" customWidth="1"/>
    <col min="3591" max="3591" width="13.75" style="1" customWidth="1"/>
    <col min="3592" max="3840" width="9" style="1"/>
    <col min="3841" max="3844" width="13.75" style="1" customWidth="1"/>
    <col min="3845" max="3846" width="15.5" style="1" customWidth="1"/>
    <col min="3847" max="3847" width="13.75" style="1" customWidth="1"/>
    <col min="3848" max="4096" width="9" style="1"/>
    <col min="4097" max="4100" width="13.75" style="1" customWidth="1"/>
    <col min="4101" max="4102" width="15.5" style="1" customWidth="1"/>
    <col min="4103" max="4103" width="13.75" style="1" customWidth="1"/>
    <col min="4104" max="4352" width="9" style="1"/>
    <col min="4353" max="4356" width="13.75" style="1" customWidth="1"/>
    <col min="4357" max="4358" width="15.5" style="1" customWidth="1"/>
    <col min="4359" max="4359" width="13.75" style="1" customWidth="1"/>
    <col min="4360" max="4608" width="9" style="1"/>
    <col min="4609" max="4612" width="13.75" style="1" customWidth="1"/>
    <col min="4613" max="4614" width="15.5" style="1" customWidth="1"/>
    <col min="4615" max="4615" width="13.75" style="1" customWidth="1"/>
    <col min="4616" max="4864" width="9" style="1"/>
    <col min="4865" max="4868" width="13.75" style="1" customWidth="1"/>
    <col min="4869" max="4870" width="15.5" style="1" customWidth="1"/>
    <col min="4871" max="4871" width="13.75" style="1" customWidth="1"/>
    <col min="4872" max="5120" width="9" style="1"/>
    <col min="5121" max="5124" width="13.75" style="1" customWidth="1"/>
    <col min="5125" max="5126" width="15.5" style="1" customWidth="1"/>
    <col min="5127" max="5127" width="13.75" style="1" customWidth="1"/>
    <col min="5128" max="5376" width="9" style="1"/>
    <col min="5377" max="5380" width="13.75" style="1" customWidth="1"/>
    <col min="5381" max="5382" width="15.5" style="1" customWidth="1"/>
    <col min="5383" max="5383" width="13.75" style="1" customWidth="1"/>
    <col min="5384" max="5632" width="9" style="1"/>
    <col min="5633" max="5636" width="13.75" style="1" customWidth="1"/>
    <col min="5637" max="5638" width="15.5" style="1" customWidth="1"/>
    <col min="5639" max="5639" width="13.75" style="1" customWidth="1"/>
    <col min="5640" max="5888" width="9" style="1"/>
    <col min="5889" max="5892" width="13.75" style="1" customWidth="1"/>
    <col min="5893" max="5894" width="15.5" style="1" customWidth="1"/>
    <col min="5895" max="5895" width="13.75" style="1" customWidth="1"/>
    <col min="5896" max="6144" width="9" style="1"/>
    <col min="6145" max="6148" width="13.75" style="1" customWidth="1"/>
    <col min="6149" max="6150" width="15.5" style="1" customWidth="1"/>
    <col min="6151" max="6151" width="13.75" style="1" customWidth="1"/>
    <col min="6152" max="6400" width="9" style="1"/>
    <col min="6401" max="6404" width="13.75" style="1" customWidth="1"/>
    <col min="6405" max="6406" width="15.5" style="1" customWidth="1"/>
    <col min="6407" max="6407" width="13.75" style="1" customWidth="1"/>
    <col min="6408" max="6656" width="9" style="1"/>
    <col min="6657" max="6660" width="13.75" style="1" customWidth="1"/>
    <col min="6661" max="6662" width="15.5" style="1" customWidth="1"/>
    <col min="6663" max="6663" width="13.75" style="1" customWidth="1"/>
    <col min="6664" max="6912" width="9" style="1"/>
    <col min="6913" max="6916" width="13.75" style="1" customWidth="1"/>
    <col min="6917" max="6918" width="15.5" style="1" customWidth="1"/>
    <col min="6919" max="6919" width="13.75" style="1" customWidth="1"/>
    <col min="6920" max="7168" width="9" style="1"/>
    <col min="7169" max="7172" width="13.75" style="1" customWidth="1"/>
    <col min="7173" max="7174" width="15.5" style="1" customWidth="1"/>
    <col min="7175" max="7175" width="13.75" style="1" customWidth="1"/>
    <col min="7176" max="7424" width="9" style="1"/>
    <col min="7425" max="7428" width="13.75" style="1" customWidth="1"/>
    <col min="7429" max="7430" width="15.5" style="1" customWidth="1"/>
    <col min="7431" max="7431" width="13.75" style="1" customWidth="1"/>
    <col min="7432" max="7680" width="9" style="1"/>
    <col min="7681" max="7684" width="13.75" style="1" customWidth="1"/>
    <col min="7685" max="7686" width="15.5" style="1" customWidth="1"/>
    <col min="7687" max="7687" width="13.75" style="1" customWidth="1"/>
    <col min="7688" max="7936" width="9" style="1"/>
    <col min="7937" max="7940" width="13.75" style="1" customWidth="1"/>
    <col min="7941" max="7942" width="15.5" style="1" customWidth="1"/>
    <col min="7943" max="7943" width="13.75" style="1" customWidth="1"/>
    <col min="7944" max="8192" width="9" style="1"/>
    <col min="8193" max="8196" width="13.75" style="1" customWidth="1"/>
    <col min="8197" max="8198" width="15.5" style="1" customWidth="1"/>
    <col min="8199" max="8199" width="13.75" style="1" customWidth="1"/>
    <col min="8200" max="8448" width="9" style="1"/>
    <col min="8449" max="8452" width="13.75" style="1" customWidth="1"/>
    <col min="8453" max="8454" width="15.5" style="1" customWidth="1"/>
    <col min="8455" max="8455" width="13.75" style="1" customWidth="1"/>
    <col min="8456" max="8704" width="9" style="1"/>
    <col min="8705" max="8708" width="13.75" style="1" customWidth="1"/>
    <col min="8709" max="8710" width="15.5" style="1" customWidth="1"/>
    <col min="8711" max="8711" width="13.75" style="1" customWidth="1"/>
    <col min="8712" max="8960" width="9" style="1"/>
    <col min="8961" max="8964" width="13.75" style="1" customWidth="1"/>
    <col min="8965" max="8966" width="15.5" style="1" customWidth="1"/>
    <col min="8967" max="8967" width="13.75" style="1" customWidth="1"/>
    <col min="8968" max="9216" width="9" style="1"/>
    <col min="9217" max="9220" width="13.75" style="1" customWidth="1"/>
    <col min="9221" max="9222" width="15.5" style="1" customWidth="1"/>
    <col min="9223" max="9223" width="13.75" style="1" customWidth="1"/>
    <col min="9224" max="9472" width="9" style="1"/>
    <col min="9473" max="9476" width="13.75" style="1" customWidth="1"/>
    <col min="9477" max="9478" width="15.5" style="1" customWidth="1"/>
    <col min="9479" max="9479" width="13.75" style="1" customWidth="1"/>
    <col min="9480" max="9728" width="9" style="1"/>
    <col min="9729" max="9732" width="13.75" style="1" customWidth="1"/>
    <col min="9733" max="9734" width="15.5" style="1" customWidth="1"/>
    <col min="9735" max="9735" width="13.75" style="1" customWidth="1"/>
    <col min="9736" max="9984" width="9" style="1"/>
    <col min="9985" max="9988" width="13.75" style="1" customWidth="1"/>
    <col min="9989" max="9990" width="15.5" style="1" customWidth="1"/>
    <col min="9991" max="9991" width="13.75" style="1" customWidth="1"/>
    <col min="9992" max="10240" width="9" style="1"/>
    <col min="10241" max="10244" width="13.75" style="1" customWidth="1"/>
    <col min="10245" max="10246" width="15.5" style="1" customWidth="1"/>
    <col min="10247" max="10247" width="13.75" style="1" customWidth="1"/>
    <col min="10248" max="10496" width="9" style="1"/>
    <col min="10497" max="10500" width="13.75" style="1" customWidth="1"/>
    <col min="10501" max="10502" width="15.5" style="1" customWidth="1"/>
    <col min="10503" max="10503" width="13.75" style="1" customWidth="1"/>
    <col min="10504" max="10752" width="9" style="1"/>
    <col min="10753" max="10756" width="13.75" style="1" customWidth="1"/>
    <col min="10757" max="10758" width="15.5" style="1" customWidth="1"/>
    <col min="10759" max="10759" width="13.75" style="1" customWidth="1"/>
    <col min="10760" max="11008" width="9" style="1"/>
    <col min="11009" max="11012" width="13.75" style="1" customWidth="1"/>
    <col min="11013" max="11014" width="15.5" style="1" customWidth="1"/>
    <col min="11015" max="11015" width="13.75" style="1" customWidth="1"/>
    <col min="11016" max="11264" width="9" style="1"/>
    <col min="11265" max="11268" width="13.75" style="1" customWidth="1"/>
    <col min="11269" max="11270" width="15.5" style="1" customWidth="1"/>
    <col min="11271" max="11271" width="13.75" style="1" customWidth="1"/>
    <col min="11272" max="11520" width="9" style="1"/>
    <col min="11521" max="11524" width="13.75" style="1" customWidth="1"/>
    <col min="11525" max="11526" width="15.5" style="1" customWidth="1"/>
    <col min="11527" max="11527" width="13.75" style="1" customWidth="1"/>
    <col min="11528" max="11776" width="9" style="1"/>
    <col min="11777" max="11780" width="13.75" style="1" customWidth="1"/>
    <col min="11781" max="11782" width="15.5" style="1" customWidth="1"/>
    <col min="11783" max="11783" width="13.75" style="1" customWidth="1"/>
    <col min="11784" max="12032" width="9" style="1"/>
    <col min="12033" max="12036" width="13.75" style="1" customWidth="1"/>
    <col min="12037" max="12038" width="15.5" style="1" customWidth="1"/>
    <col min="12039" max="12039" width="13.75" style="1" customWidth="1"/>
    <col min="12040" max="12288" width="9" style="1"/>
    <col min="12289" max="12292" width="13.75" style="1" customWidth="1"/>
    <col min="12293" max="12294" width="15.5" style="1" customWidth="1"/>
    <col min="12295" max="12295" width="13.75" style="1" customWidth="1"/>
    <col min="12296" max="12544" width="9" style="1"/>
    <col min="12545" max="12548" width="13.75" style="1" customWidth="1"/>
    <col min="12549" max="12550" width="15.5" style="1" customWidth="1"/>
    <col min="12551" max="12551" width="13.75" style="1" customWidth="1"/>
    <col min="12552" max="12800" width="9" style="1"/>
    <col min="12801" max="12804" width="13.75" style="1" customWidth="1"/>
    <col min="12805" max="12806" width="15.5" style="1" customWidth="1"/>
    <col min="12807" max="12807" width="13.75" style="1" customWidth="1"/>
    <col min="12808" max="13056" width="9" style="1"/>
    <col min="13057" max="13060" width="13.75" style="1" customWidth="1"/>
    <col min="13061" max="13062" width="15.5" style="1" customWidth="1"/>
    <col min="13063" max="13063" width="13.75" style="1" customWidth="1"/>
    <col min="13064" max="13312" width="9" style="1"/>
    <col min="13313" max="13316" width="13.75" style="1" customWidth="1"/>
    <col min="13317" max="13318" width="15.5" style="1" customWidth="1"/>
    <col min="13319" max="13319" width="13.75" style="1" customWidth="1"/>
    <col min="13320" max="13568" width="9" style="1"/>
    <col min="13569" max="13572" width="13.75" style="1" customWidth="1"/>
    <col min="13573" max="13574" width="15.5" style="1" customWidth="1"/>
    <col min="13575" max="13575" width="13.75" style="1" customWidth="1"/>
    <col min="13576" max="13824" width="9" style="1"/>
    <col min="13825" max="13828" width="13.75" style="1" customWidth="1"/>
    <col min="13829" max="13830" width="15.5" style="1" customWidth="1"/>
    <col min="13831" max="13831" width="13.75" style="1" customWidth="1"/>
    <col min="13832" max="14080" width="9" style="1"/>
    <col min="14081" max="14084" width="13.75" style="1" customWidth="1"/>
    <col min="14085" max="14086" width="15.5" style="1" customWidth="1"/>
    <col min="14087" max="14087" width="13.75" style="1" customWidth="1"/>
    <col min="14088" max="14336" width="9" style="1"/>
    <col min="14337" max="14340" width="13.75" style="1" customWidth="1"/>
    <col min="14341" max="14342" width="15.5" style="1" customWidth="1"/>
    <col min="14343" max="14343" width="13.75" style="1" customWidth="1"/>
    <col min="14344" max="14592" width="9" style="1"/>
    <col min="14593" max="14596" width="13.75" style="1" customWidth="1"/>
    <col min="14597" max="14598" width="15.5" style="1" customWidth="1"/>
    <col min="14599" max="14599" width="13.75" style="1" customWidth="1"/>
    <col min="14600" max="14848" width="9" style="1"/>
    <col min="14849" max="14852" width="13.75" style="1" customWidth="1"/>
    <col min="14853" max="14854" width="15.5" style="1" customWidth="1"/>
    <col min="14855" max="14855" width="13.75" style="1" customWidth="1"/>
    <col min="14856" max="15104" width="9" style="1"/>
    <col min="15105" max="15108" width="13.75" style="1" customWidth="1"/>
    <col min="15109" max="15110" width="15.5" style="1" customWidth="1"/>
    <col min="15111" max="15111" width="13.75" style="1" customWidth="1"/>
    <col min="15112" max="15360" width="9" style="1"/>
    <col min="15361" max="15364" width="13.75" style="1" customWidth="1"/>
    <col min="15365" max="15366" width="15.5" style="1" customWidth="1"/>
    <col min="15367" max="15367" width="13.75" style="1" customWidth="1"/>
    <col min="15368" max="15616" width="9" style="1"/>
    <col min="15617" max="15620" width="13.75" style="1" customWidth="1"/>
    <col min="15621" max="15622" width="15.5" style="1" customWidth="1"/>
    <col min="15623" max="15623" width="13.75" style="1" customWidth="1"/>
    <col min="15624" max="15872" width="9" style="1"/>
    <col min="15873" max="15876" width="13.75" style="1" customWidth="1"/>
    <col min="15877" max="15878" width="15.5" style="1" customWidth="1"/>
    <col min="15879" max="15879" width="13.75" style="1" customWidth="1"/>
    <col min="15880" max="16128" width="9" style="1"/>
    <col min="16129" max="16132" width="13.75" style="1" customWidth="1"/>
    <col min="16133" max="16134" width="15.5" style="1" customWidth="1"/>
    <col min="16135" max="16135" width="13.75" style="1" customWidth="1"/>
    <col min="16136" max="16384" width="9" style="1"/>
  </cols>
  <sheetData>
    <row r="1" spans="1:6" ht="15.75" customHeight="1" x14ac:dyDescent="0.25">
      <c r="A1" s="1" t="str">
        <f>'THONG TIN'!C3</f>
        <v>Công ty TNHH Thuận An</v>
      </c>
      <c r="E1" s="108" t="s">
        <v>1</v>
      </c>
      <c r="F1" s="108"/>
    </row>
    <row r="2" spans="1:6" ht="15.75" customHeight="1" x14ac:dyDescent="0.25">
      <c r="A2" s="1" t="str">
        <f>'THONG TIN'!C4</f>
        <v>Ấp Chồng Nô 3, Xã Hòa Tân, Huyện Cầu Kè, Tỉnh Trà Vinh</v>
      </c>
      <c r="E2" s="101" t="s">
        <v>2</v>
      </c>
      <c r="F2" s="101"/>
    </row>
    <row r="3" spans="1:6" ht="15.75" customHeight="1" x14ac:dyDescent="0.25">
      <c r="E3" s="101" t="s">
        <v>53</v>
      </c>
      <c r="F3" s="101"/>
    </row>
    <row r="4" spans="1:6" x14ac:dyDescent="0.25">
      <c r="E4" s="101" t="s">
        <v>3</v>
      </c>
      <c r="F4" s="101"/>
    </row>
    <row r="5" spans="1:6" ht="18" x14ac:dyDescent="0.25">
      <c r="A5" s="102" t="s">
        <v>4</v>
      </c>
      <c r="B5" s="102"/>
      <c r="C5" s="102"/>
      <c r="D5" s="102"/>
      <c r="E5" s="102"/>
      <c r="F5" s="102"/>
    </row>
    <row r="6" spans="1:6" x14ac:dyDescent="0.25">
      <c r="A6" s="103" t="s">
        <v>91</v>
      </c>
      <c r="B6" s="103"/>
      <c r="C6" s="103"/>
      <c r="D6" s="103"/>
      <c r="E6" s="103"/>
      <c r="F6" s="103"/>
    </row>
    <row r="7" spans="1:6" x14ac:dyDescent="0.25">
      <c r="B7" s="1" t="s">
        <v>72</v>
      </c>
      <c r="C7" s="52" t="s">
        <v>68</v>
      </c>
    </row>
    <row r="8" spans="1:6" x14ac:dyDescent="0.25">
      <c r="B8" s="2" t="s">
        <v>55</v>
      </c>
      <c r="C8" s="3"/>
      <c r="D8" s="3"/>
      <c r="E8" s="53"/>
      <c r="F8" s="3"/>
    </row>
    <row r="9" spans="1:6" x14ac:dyDescent="0.25">
      <c r="B9" s="2" t="s">
        <v>56</v>
      </c>
      <c r="C9" s="3"/>
      <c r="D9" s="3"/>
      <c r="E9" s="56">
        <v>6752</v>
      </c>
      <c r="F9" s="3"/>
    </row>
    <row r="10" spans="1:6" x14ac:dyDescent="0.25">
      <c r="B10" s="2" t="s">
        <v>54</v>
      </c>
      <c r="C10" s="3"/>
      <c r="D10" s="3"/>
      <c r="E10" s="3"/>
      <c r="F10" s="3"/>
    </row>
    <row r="12" spans="1:6" ht="15.75" customHeight="1" x14ac:dyDescent="0.25">
      <c r="A12" s="104" t="s">
        <v>5</v>
      </c>
      <c r="B12" s="104" t="s">
        <v>6</v>
      </c>
      <c r="C12" s="104" t="s">
        <v>7</v>
      </c>
      <c r="D12" s="104" t="s">
        <v>8</v>
      </c>
      <c r="E12" s="106" t="s">
        <v>9</v>
      </c>
      <c r="F12" s="107"/>
    </row>
    <row r="13" spans="1:6" x14ac:dyDescent="0.25">
      <c r="A13" s="105"/>
      <c r="B13" s="105"/>
      <c r="C13" s="105"/>
      <c r="D13" s="105"/>
      <c r="E13" s="4" t="s">
        <v>10</v>
      </c>
      <c r="F13" s="4" t="s">
        <v>11</v>
      </c>
    </row>
    <row r="14" spans="1:6" x14ac:dyDescent="0.25">
      <c r="A14" s="5" t="s">
        <v>12</v>
      </c>
      <c r="B14" s="6"/>
      <c r="C14" s="6"/>
      <c r="D14" s="6"/>
      <c r="E14" s="6"/>
      <c r="F14" s="6"/>
    </row>
    <row r="15" spans="1:6" x14ac:dyDescent="0.25">
      <c r="A15" s="15"/>
      <c r="B15" s="16"/>
      <c r="C15" s="16"/>
      <c r="D15" s="16"/>
      <c r="E15" s="16"/>
      <c r="F15" s="16"/>
    </row>
    <row r="16" spans="1:6" x14ac:dyDescent="0.25">
      <c r="A16" s="7" t="s">
        <v>13</v>
      </c>
      <c r="B16" s="8"/>
      <c r="C16" s="8">
        <f>16128000/12</f>
        <v>1344000</v>
      </c>
      <c r="D16" s="8"/>
      <c r="E16" s="8">
        <f>C16</f>
        <v>1344000</v>
      </c>
      <c r="F16" s="8">
        <f>E16/E9</f>
        <v>199.05213270142181</v>
      </c>
    </row>
    <row r="17" spans="1:6" x14ac:dyDescent="0.25">
      <c r="A17" s="7"/>
      <c r="B17" s="8"/>
      <c r="C17" s="8"/>
      <c r="D17" s="8"/>
      <c r="E17" s="8"/>
      <c r="F17" s="8"/>
    </row>
    <row r="18" spans="1:6" x14ac:dyDescent="0.25">
      <c r="A18" s="7" t="s">
        <v>14</v>
      </c>
      <c r="B18" s="8"/>
      <c r="C18" s="8"/>
      <c r="D18" s="8"/>
      <c r="E18" s="9"/>
      <c r="F18" s="9"/>
    </row>
    <row r="19" spans="1:6" x14ac:dyDescent="0.25">
      <c r="A19" s="17"/>
      <c r="B19" s="18"/>
      <c r="C19" s="18"/>
      <c r="D19" s="18"/>
      <c r="E19" s="19"/>
      <c r="F19" s="19"/>
    </row>
    <row r="20" spans="1:6" x14ac:dyDescent="0.25">
      <c r="A20" s="7" t="s">
        <v>0</v>
      </c>
      <c r="B20" s="8"/>
      <c r="C20" s="8"/>
      <c r="D20" s="8"/>
      <c r="E20" s="8"/>
      <c r="F20" s="8"/>
    </row>
    <row r="21" spans="1:6" x14ac:dyDescent="0.25">
      <c r="A21" s="22" t="s">
        <v>71</v>
      </c>
      <c r="B21" s="23"/>
      <c r="C21" s="23">
        <f>12823592+(B21/12)</f>
        <v>12823592</v>
      </c>
      <c r="D21" s="23">
        <f>B21-(B21/12)*3</f>
        <v>0</v>
      </c>
      <c r="E21" s="23">
        <f>B21+C21-D21</f>
        <v>12823592</v>
      </c>
      <c r="F21" s="23">
        <f>E21/E9</f>
        <v>1899.2286729857819</v>
      </c>
    </row>
    <row r="22" spans="1:6" x14ac:dyDescent="0.25">
      <c r="A22" s="20"/>
      <c r="B22" s="21"/>
      <c r="C22" s="21"/>
      <c r="D22" s="21"/>
      <c r="E22" s="21"/>
      <c r="F22" s="21"/>
    </row>
    <row r="23" spans="1:6" x14ac:dyDescent="0.25">
      <c r="A23" s="54" t="s">
        <v>15</v>
      </c>
      <c r="B23" s="55">
        <f>B21+B22</f>
        <v>0</v>
      </c>
      <c r="C23" s="55">
        <f>C21+C22</f>
        <v>12823592</v>
      </c>
      <c r="D23" s="55">
        <f>D21+D22</f>
        <v>0</v>
      </c>
      <c r="E23" s="55">
        <f>E21+E22</f>
        <v>12823592</v>
      </c>
      <c r="F23" s="55">
        <f>F16+F21</f>
        <v>2098.2808056872036</v>
      </c>
    </row>
    <row r="25" spans="1:6" x14ac:dyDescent="0.25">
      <c r="A25" s="13" t="s">
        <v>16</v>
      </c>
      <c r="B25" s="13"/>
      <c r="C25" s="13" t="s">
        <v>17</v>
      </c>
      <c r="D25" s="13"/>
      <c r="E25" s="13" t="s">
        <v>18</v>
      </c>
      <c r="F25" s="13"/>
    </row>
    <row r="26" spans="1:6" x14ac:dyDescent="0.25">
      <c r="A26" s="14" t="s">
        <v>19</v>
      </c>
      <c r="B26" s="14"/>
      <c r="C26" s="14" t="s">
        <v>19</v>
      </c>
      <c r="D26" s="14"/>
      <c r="E26" s="14" t="s">
        <v>20</v>
      </c>
      <c r="F26" s="14"/>
    </row>
    <row r="27" spans="1:6" x14ac:dyDescent="0.25">
      <c r="A27" s="14"/>
      <c r="B27" s="14"/>
      <c r="C27" s="14"/>
      <c r="D27" s="14"/>
      <c r="E27" s="14"/>
      <c r="F27" s="14"/>
    </row>
    <row r="28" spans="1:6" ht="15.75" customHeight="1" x14ac:dyDescent="0.25">
      <c r="A28" s="1" t="str">
        <f>A1</f>
        <v>Công ty TNHH Thuận An</v>
      </c>
      <c r="E28" s="108" t="s">
        <v>1</v>
      </c>
      <c r="F28" s="108"/>
    </row>
    <row r="29" spans="1:6" ht="15.75" customHeight="1" x14ac:dyDescent="0.25">
      <c r="A29" s="1" t="str">
        <f>A2</f>
        <v>Ấp Chồng Nô 3, Xã Hòa Tân, Huyện Cầu Kè, Tỉnh Trà Vinh</v>
      </c>
      <c r="E29" s="101" t="s">
        <v>2</v>
      </c>
      <c r="F29" s="101"/>
    </row>
    <row r="30" spans="1:6" ht="15.75" customHeight="1" x14ac:dyDescent="0.25">
      <c r="E30" s="101" t="s">
        <v>53</v>
      </c>
      <c r="F30" s="101"/>
    </row>
    <row r="31" spans="1:6" x14ac:dyDescent="0.25">
      <c r="E31" s="101" t="s">
        <v>3</v>
      </c>
      <c r="F31" s="101"/>
    </row>
    <row r="32" spans="1:6" ht="18" x14ac:dyDescent="0.25">
      <c r="A32" s="102" t="s">
        <v>4</v>
      </c>
      <c r="B32" s="102"/>
      <c r="C32" s="102"/>
      <c r="D32" s="102"/>
      <c r="E32" s="102"/>
      <c r="F32" s="102"/>
    </row>
    <row r="33" spans="1:6" x14ac:dyDescent="0.25">
      <c r="A33" s="103" t="s">
        <v>92</v>
      </c>
      <c r="B33" s="103"/>
      <c r="C33" s="103"/>
      <c r="D33" s="103"/>
      <c r="E33" s="103"/>
      <c r="F33" s="103"/>
    </row>
    <row r="34" spans="1:6" x14ac:dyDescent="0.25">
      <c r="B34" s="1" t="s">
        <v>72</v>
      </c>
      <c r="C34" s="52" t="s">
        <v>69</v>
      </c>
    </row>
    <row r="35" spans="1:6" x14ac:dyDescent="0.25">
      <c r="B35" s="2" t="s">
        <v>55</v>
      </c>
      <c r="C35" s="3"/>
      <c r="D35" s="3"/>
      <c r="E35" s="53"/>
      <c r="F35" s="3"/>
    </row>
    <row r="36" spans="1:6" x14ac:dyDescent="0.25">
      <c r="B36" s="2" t="s">
        <v>56</v>
      </c>
      <c r="C36" s="3"/>
      <c r="D36" s="3"/>
      <c r="E36" s="56">
        <v>15508</v>
      </c>
      <c r="F36" s="3"/>
    </row>
    <row r="37" spans="1:6" x14ac:dyDescent="0.25">
      <c r="B37" s="2" t="s">
        <v>54</v>
      </c>
      <c r="C37" s="3"/>
      <c r="D37" s="3"/>
      <c r="E37" s="3"/>
      <c r="F37" s="3"/>
    </row>
    <row r="39" spans="1:6" ht="15.75" customHeight="1" x14ac:dyDescent="0.25">
      <c r="A39" s="104" t="s">
        <v>5</v>
      </c>
      <c r="B39" s="104" t="s">
        <v>6</v>
      </c>
      <c r="C39" s="104" t="s">
        <v>7</v>
      </c>
      <c r="D39" s="104" t="s">
        <v>8</v>
      </c>
      <c r="E39" s="106" t="s">
        <v>9</v>
      </c>
      <c r="F39" s="107"/>
    </row>
    <row r="40" spans="1:6" x14ac:dyDescent="0.25">
      <c r="A40" s="105"/>
      <c r="B40" s="105"/>
      <c r="C40" s="105"/>
      <c r="D40" s="105"/>
      <c r="E40" s="4" t="s">
        <v>10</v>
      </c>
      <c r="F40" s="4" t="s">
        <v>11</v>
      </c>
    </row>
    <row r="41" spans="1:6" x14ac:dyDescent="0.25">
      <c r="A41" s="5" t="s">
        <v>12</v>
      </c>
      <c r="B41" s="6"/>
      <c r="C41" s="6"/>
      <c r="D41" s="6"/>
      <c r="E41" s="6"/>
      <c r="F41" s="6"/>
    </row>
    <row r="42" spans="1:6" x14ac:dyDescent="0.25">
      <c r="A42" s="15"/>
      <c r="B42" s="16"/>
      <c r="C42" s="16"/>
      <c r="D42" s="16"/>
      <c r="E42" s="16"/>
      <c r="F42" s="16"/>
    </row>
    <row r="43" spans="1:6" x14ac:dyDescent="0.25">
      <c r="A43" s="7" t="s">
        <v>13</v>
      </c>
      <c r="B43" s="8"/>
      <c r="C43" s="8">
        <f>29952000/12</f>
        <v>2496000</v>
      </c>
      <c r="D43" s="8"/>
      <c r="E43" s="8">
        <f>C43</f>
        <v>2496000</v>
      </c>
      <c r="F43" s="8">
        <f>E43/E36</f>
        <v>160.9491875161207</v>
      </c>
    </row>
    <row r="44" spans="1:6" x14ac:dyDescent="0.25">
      <c r="A44" s="7"/>
      <c r="B44" s="8"/>
      <c r="C44" s="8"/>
      <c r="D44" s="8"/>
      <c r="E44" s="8"/>
      <c r="F44" s="8"/>
    </row>
    <row r="45" spans="1:6" x14ac:dyDescent="0.25">
      <c r="A45" s="7" t="s">
        <v>14</v>
      </c>
      <c r="B45" s="8"/>
      <c r="C45" s="8"/>
      <c r="D45" s="8"/>
      <c r="E45" s="9"/>
      <c r="F45" s="9"/>
    </row>
    <row r="46" spans="1:6" x14ac:dyDescent="0.25">
      <c r="A46" s="17"/>
      <c r="B46" s="18"/>
      <c r="C46" s="18"/>
      <c r="D46" s="18"/>
      <c r="E46" s="19"/>
      <c r="F46" s="19"/>
    </row>
    <row r="47" spans="1:6" x14ac:dyDescent="0.25">
      <c r="A47" s="7" t="s">
        <v>0</v>
      </c>
      <c r="B47" s="8"/>
      <c r="C47" s="74"/>
      <c r="D47" s="74"/>
      <c r="E47" s="8"/>
      <c r="F47" s="8"/>
    </row>
    <row r="48" spans="1:6" x14ac:dyDescent="0.25">
      <c r="A48" s="72" t="s">
        <v>71</v>
      </c>
      <c r="B48" s="74"/>
      <c r="C48" s="74">
        <v>21449563</v>
      </c>
      <c r="D48" s="74">
        <f>B48-(B48/12)*3</f>
        <v>0</v>
      </c>
      <c r="E48" s="74">
        <f>B48+C48-D48</f>
        <v>21449563</v>
      </c>
      <c r="F48" s="8">
        <f>E48/E36</f>
        <v>1383.1289012122775</v>
      </c>
    </row>
    <row r="49" spans="1:6" x14ac:dyDescent="0.25">
      <c r="A49" s="72" t="s">
        <v>73</v>
      </c>
      <c r="B49" s="74"/>
      <c r="C49" s="74">
        <f>825978+(B49/12)</f>
        <v>825978</v>
      </c>
      <c r="D49" s="74"/>
      <c r="E49" s="74">
        <f>B49+C49-D49</f>
        <v>825978</v>
      </c>
      <c r="F49" s="8">
        <f>E49/E36</f>
        <v>53.261413464018574</v>
      </c>
    </row>
    <row r="50" spans="1:6" x14ac:dyDescent="0.25">
      <c r="A50" s="73"/>
      <c r="B50" s="75"/>
      <c r="C50" s="75"/>
      <c r="D50" s="75"/>
      <c r="E50" s="75"/>
      <c r="F50" s="70"/>
    </row>
    <row r="51" spans="1:6" x14ac:dyDescent="0.25">
      <c r="A51" s="4" t="s">
        <v>15</v>
      </c>
      <c r="B51" s="55">
        <f>B48+B49</f>
        <v>0</v>
      </c>
      <c r="C51" s="55">
        <f>C48+C49+C50</f>
        <v>22275541</v>
      </c>
      <c r="D51" s="55">
        <f>D48+D49</f>
        <v>0</v>
      </c>
      <c r="E51" s="55">
        <f>E48+E49+E50</f>
        <v>22275541</v>
      </c>
      <c r="F51" s="55">
        <f>F43+F48+F49</f>
        <v>1597.3395021924166</v>
      </c>
    </row>
    <row r="52" spans="1:6" x14ac:dyDescent="0.25">
      <c r="A52" s="10"/>
      <c r="B52" s="11"/>
      <c r="C52" s="12"/>
      <c r="D52" s="12"/>
      <c r="E52" s="12"/>
      <c r="F52" s="12"/>
    </row>
    <row r="53" spans="1:6" x14ac:dyDescent="0.25">
      <c r="A53" s="13" t="s">
        <v>16</v>
      </c>
      <c r="B53" s="13"/>
      <c r="C53" s="13" t="s">
        <v>17</v>
      </c>
      <c r="D53" s="13"/>
      <c r="E53" s="13" t="s">
        <v>18</v>
      </c>
      <c r="F53" s="13"/>
    </row>
    <row r="54" spans="1:6" x14ac:dyDescent="0.25">
      <c r="A54" s="14" t="s">
        <v>19</v>
      </c>
      <c r="B54" s="14"/>
      <c r="C54" s="14" t="s">
        <v>19</v>
      </c>
      <c r="D54" s="14"/>
      <c r="E54" s="14" t="s">
        <v>20</v>
      </c>
      <c r="F54" s="14"/>
    </row>
  </sheetData>
  <mergeCells count="22">
    <mergeCell ref="E28:F28"/>
    <mergeCell ref="E1:F1"/>
    <mergeCell ref="E2:F2"/>
    <mergeCell ref="E3:F3"/>
    <mergeCell ref="E4:F4"/>
    <mergeCell ref="A5:F5"/>
    <mergeCell ref="A6:F6"/>
    <mergeCell ref="A12:A13"/>
    <mergeCell ref="B12:B13"/>
    <mergeCell ref="C12:C13"/>
    <mergeCell ref="D12:D13"/>
    <mergeCell ref="E12:F12"/>
    <mergeCell ref="A39:A40"/>
    <mergeCell ref="B39:B40"/>
    <mergeCell ref="C39:C40"/>
    <mergeCell ref="D39:D40"/>
    <mergeCell ref="E39:F39"/>
    <mergeCell ref="E29:F29"/>
    <mergeCell ref="E30:F30"/>
    <mergeCell ref="E31:F31"/>
    <mergeCell ref="A32:F32"/>
    <mergeCell ref="A33:F3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4"/>
  <sheetViews>
    <sheetView topLeftCell="A34" workbookViewId="0">
      <selection activeCell="I51" sqref="I51"/>
    </sheetView>
  </sheetViews>
  <sheetFormatPr defaultRowHeight="15.75" x14ac:dyDescent="0.25"/>
  <cols>
    <col min="1" max="1" width="45" style="1" customWidth="1"/>
    <col min="2" max="2" width="13" style="1" customWidth="1"/>
    <col min="3" max="4" width="13.75" style="1" customWidth="1"/>
    <col min="5" max="6" width="15.5" style="1" customWidth="1"/>
    <col min="7" max="7" width="13.75" style="1" customWidth="1"/>
    <col min="8" max="256" width="9" style="1"/>
    <col min="257" max="260" width="13.75" style="1" customWidth="1"/>
    <col min="261" max="262" width="15.5" style="1" customWidth="1"/>
    <col min="263" max="263" width="13.75" style="1" customWidth="1"/>
    <col min="264" max="512" width="9" style="1"/>
    <col min="513" max="516" width="13.75" style="1" customWidth="1"/>
    <col min="517" max="518" width="15.5" style="1" customWidth="1"/>
    <col min="519" max="519" width="13.75" style="1" customWidth="1"/>
    <col min="520" max="768" width="9" style="1"/>
    <col min="769" max="772" width="13.75" style="1" customWidth="1"/>
    <col min="773" max="774" width="15.5" style="1" customWidth="1"/>
    <col min="775" max="775" width="13.75" style="1" customWidth="1"/>
    <col min="776" max="1024" width="9" style="1"/>
    <col min="1025" max="1028" width="13.75" style="1" customWidth="1"/>
    <col min="1029" max="1030" width="15.5" style="1" customWidth="1"/>
    <col min="1031" max="1031" width="13.75" style="1" customWidth="1"/>
    <col min="1032" max="1280" width="9" style="1"/>
    <col min="1281" max="1284" width="13.75" style="1" customWidth="1"/>
    <col min="1285" max="1286" width="15.5" style="1" customWidth="1"/>
    <col min="1287" max="1287" width="13.75" style="1" customWidth="1"/>
    <col min="1288" max="1536" width="9" style="1"/>
    <col min="1537" max="1540" width="13.75" style="1" customWidth="1"/>
    <col min="1541" max="1542" width="15.5" style="1" customWidth="1"/>
    <col min="1543" max="1543" width="13.75" style="1" customWidth="1"/>
    <col min="1544" max="1792" width="9" style="1"/>
    <col min="1793" max="1796" width="13.75" style="1" customWidth="1"/>
    <col min="1797" max="1798" width="15.5" style="1" customWidth="1"/>
    <col min="1799" max="1799" width="13.75" style="1" customWidth="1"/>
    <col min="1800" max="2048" width="9" style="1"/>
    <col min="2049" max="2052" width="13.75" style="1" customWidth="1"/>
    <col min="2053" max="2054" width="15.5" style="1" customWidth="1"/>
    <col min="2055" max="2055" width="13.75" style="1" customWidth="1"/>
    <col min="2056" max="2304" width="9" style="1"/>
    <col min="2305" max="2308" width="13.75" style="1" customWidth="1"/>
    <col min="2309" max="2310" width="15.5" style="1" customWidth="1"/>
    <col min="2311" max="2311" width="13.75" style="1" customWidth="1"/>
    <col min="2312" max="2560" width="9" style="1"/>
    <col min="2561" max="2564" width="13.75" style="1" customWidth="1"/>
    <col min="2565" max="2566" width="15.5" style="1" customWidth="1"/>
    <col min="2567" max="2567" width="13.75" style="1" customWidth="1"/>
    <col min="2568" max="2816" width="9" style="1"/>
    <col min="2817" max="2820" width="13.75" style="1" customWidth="1"/>
    <col min="2821" max="2822" width="15.5" style="1" customWidth="1"/>
    <col min="2823" max="2823" width="13.75" style="1" customWidth="1"/>
    <col min="2824" max="3072" width="9" style="1"/>
    <col min="3073" max="3076" width="13.75" style="1" customWidth="1"/>
    <col min="3077" max="3078" width="15.5" style="1" customWidth="1"/>
    <col min="3079" max="3079" width="13.75" style="1" customWidth="1"/>
    <col min="3080" max="3328" width="9" style="1"/>
    <col min="3329" max="3332" width="13.75" style="1" customWidth="1"/>
    <col min="3333" max="3334" width="15.5" style="1" customWidth="1"/>
    <col min="3335" max="3335" width="13.75" style="1" customWidth="1"/>
    <col min="3336" max="3584" width="9" style="1"/>
    <col min="3585" max="3588" width="13.75" style="1" customWidth="1"/>
    <col min="3589" max="3590" width="15.5" style="1" customWidth="1"/>
    <col min="3591" max="3591" width="13.75" style="1" customWidth="1"/>
    <col min="3592" max="3840" width="9" style="1"/>
    <col min="3841" max="3844" width="13.75" style="1" customWidth="1"/>
    <col min="3845" max="3846" width="15.5" style="1" customWidth="1"/>
    <col min="3847" max="3847" width="13.75" style="1" customWidth="1"/>
    <col min="3848" max="4096" width="9" style="1"/>
    <col min="4097" max="4100" width="13.75" style="1" customWidth="1"/>
    <col min="4101" max="4102" width="15.5" style="1" customWidth="1"/>
    <col min="4103" max="4103" width="13.75" style="1" customWidth="1"/>
    <col min="4104" max="4352" width="9" style="1"/>
    <col min="4353" max="4356" width="13.75" style="1" customWidth="1"/>
    <col min="4357" max="4358" width="15.5" style="1" customWidth="1"/>
    <col min="4359" max="4359" width="13.75" style="1" customWidth="1"/>
    <col min="4360" max="4608" width="9" style="1"/>
    <col min="4609" max="4612" width="13.75" style="1" customWidth="1"/>
    <col min="4613" max="4614" width="15.5" style="1" customWidth="1"/>
    <col min="4615" max="4615" width="13.75" style="1" customWidth="1"/>
    <col min="4616" max="4864" width="9" style="1"/>
    <col min="4865" max="4868" width="13.75" style="1" customWidth="1"/>
    <col min="4869" max="4870" width="15.5" style="1" customWidth="1"/>
    <col min="4871" max="4871" width="13.75" style="1" customWidth="1"/>
    <col min="4872" max="5120" width="9" style="1"/>
    <col min="5121" max="5124" width="13.75" style="1" customWidth="1"/>
    <col min="5125" max="5126" width="15.5" style="1" customWidth="1"/>
    <col min="5127" max="5127" width="13.75" style="1" customWidth="1"/>
    <col min="5128" max="5376" width="9" style="1"/>
    <col min="5377" max="5380" width="13.75" style="1" customWidth="1"/>
    <col min="5381" max="5382" width="15.5" style="1" customWidth="1"/>
    <col min="5383" max="5383" width="13.75" style="1" customWidth="1"/>
    <col min="5384" max="5632" width="9" style="1"/>
    <col min="5633" max="5636" width="13.75" style="1" customWidth="1"/>
    <col min="5637" max="5638" width="15.5" style="1" customWidth="1"/>
    <col min="5639" max="5639" width="13.75" style="1" customWidth="1"/>
    <col min="5640" max="5888" width="9" style="1"/>
    <col min="5889" max="5892" width="13.75" style="1" customWidth="1"/>
    <col min="5893" max="5894" width="15.5" style="1" customWidth="1"/>
    <col min="5895" max="5895" width="13.75" style="1" customWidth="1"/>
    <col min="5896" max="6144" width="9" style="1"/>
    <col min="6145" max="6148" width="13.75" style="1" customWidth="1"/>
    <col min="6149" max="6150" width="15.5" style="1" customWidth="1"/>
    <col min="6151" max="6151" width="13.75" style="1" customWidth="1"/>
    <col min="6152" max="6400" width="9" style="1"/>
    <col min="6401" max="6404" width="13.75" style="1" customWidth="1"/>
    <col min="6405" max="6406" width="15.5" style="1" customWidth="1"/>
    <col min="6407" max="6407" width="13.75" style="1" customWidth="1"/>
    <col min="6408" max="6656" width="9" style="1"/>
    <col min="6657" max="6660" width="13.75" style="1" customWidth="1"/>
    <col min="6661" max="6662" width="15.5" style="1" customWidth="1"/>
    <col min="6663" max="6663" width="13.75" style="1" customWidth="1"/>
    <col min="6664" max="6912" width="9" style="1"/>
    <col min="6913" max="6916" width="13.75" style="1" customWidth="1"/>
    <col min="6917" max="6918" width="15.5" style="1" customWidth="1"/>
    <col min="6919" max="6919" width="13.75" style="1" customWidth="1"/>
    <col min="6920" max="7168" width="9" style="1"/>
    <col min="7169" max="7172" width="13.75" style="1" customWidth="1"/>
    <col min="7173" max="7174" width="15.5" style="1" customWidth="1"/>
    <col min="7175" max="7175" width="13.75" style="1" customWidth="1"/>
    <col min="7176" max="7424" width="9" style="1"/>
    <col min="7425" max="7428" width="13.75" style="1" customWidth="1"/>
    <col min="7429" max="7430" width="15.5" style="1" customWidth="1"/>
    <col min="7431" max="7431" width="13.75" style="1" customWidth="1"/>
    <col min="7432" max="7680" width="9" style="1"/>
    <col min="7681" max="7684" width="13.75" style="1" customWidth="1"/>
    <col min="7685" max="7686" width="15.5" style="1" customWidth="1"/>
    <col min="7687" max="7687" width="13.75" style="1" customWidth="1"/>
    <col min="7688" max="7936" width="9" style="1"/>
    <col min="7937" max="7940" width="13.75" style="1" customWidth="1"/>
    <col min="7941" max="7942" width="15.5" style="1" customWidth="1"/>
    <col min="7943" max="7943" width="13.75" style="1" customWidth="1"/>
    <col min="7944" max="8192" width="9" style="1"/>
    <col min="8193" max="8196" width="13.75" style="1" customWidth="1"/>
    <col min="8197" max="8198" width="15.5" style="1" customWidth="1"/>
    <col min="8199" max="8199" width="13.75" style="1" customWidth="1"/>
    <col min="8200" max="8448" width="9" style="1"/>
    <col min="8449" max="8452" width="13.75" style="1" customWidth="1"/>
    <col min="8453" max="8454" width="15.5" style="1" customWidth="1"/>
    <col min="8455" max="8455" width="13.75" style="1" customWidth="1"/>
    <col min="8456" max="8704" width="9" style="1"/>
    <col min="8705" max="8708" width="13.75" style="1" customWidth="1"/>
    <col min="8709" max="8710" width="15.5" style="1" customWidth="1"/>
    <col min="8711" max="8711" width="13.75" style="1" customWidth="1"/>
    <col min="8712" max="8960" width="9" style="1"/>
    <col min="8961" max="8964" width="13.75" style="1" customWidth="1"/>
    <col min="8965" max="8966" width="15.5" style="1" customWidth="1"/>
    <col min="8967" max="8967" width="13.75" style="1" customWidth="1"/>
    <col min="8968" max="9216" width="9" style="1"/>
    <col min="9217" max="9220" width="13.75" style="1" customWidth="1"/>
    <col min="9221" max="9222" width="15.5" style="1" customWidth="1"/>
    <col min="9223" max="9223" width="13.75" style="1" customWidth="1"/>
    <col min="9224" max="9472" width="9" style="1"/>
    <col min="9473" max="9476" width="13.75" style="1" customWidth="1"/>
    <col min="9477" max="9478" width="15.5" style="1" customWidth="1"/>
    <col min="9479" max="9479" width="13.75" style="1" customWidth="1"/>
    <col min="9480" max="9728" width="9" style="1"/>
    <col min="9729" max="9732" width="13.75" style="1" customWidth="1"/>
    <col min="9733" max="9734" width="15.5" style="1" customWidth="1"/>
    <col min="9735" max="9735" width="13.75" style="1" customWidth="1"/>
    <col min="9736" max="9984" width="9" style="1"/>
    <col min="9985" max="9988" width="13.75" style="1" customWidth="1"/>
    <col min="9989" max="9990" width="15.5" style="1" customWidth="1"/>
    <col min="9991" max="9991" width="13.75" style="1" customWidth="1"/>
    <col min="9992" max="10240" width="9" style="1"/>
    <col min="10241" max="10244" width="13.75" style="1" customWidth="1"/>
    <col min="10245" max="10246" width="15.5" style="1" customWidth="1"/>
    <col min="10247" max="10247" width="13.75" style="1" customWidth="1"/>
    <col min="10248" max="10496" width="9" style="1"/>
    <col min="10497" max="10500" width="13.75" style="1" customWidth="1"/>
    <col min="10501" max="10502" width="15.5" style="1" customWidth="1"/>
    <col min="10503" max="10503" width="13.75" style="1" customWidth="1"/>
    <col min="10504" max="10752" width="9" style="1"/>
    <col min="10753" max="10756" width="13.75" style="1" customWidth="1"/>
    <col min="10757" max="10758" width="15.5" style="1" customWidth="1"/>
    <col min="10759" max="10759" width="13.75" style="1" customWidth="1"/>
    <col min="10760" max="11008" width="9" style="1"/>
    <col min="11009" max="11012" width="13.75" style="1" customWidth="1"/>
    <col min="11013" max="11014" width="15.5" style="1" customWidth="1"/>
    <col min="11015" max="11015" width="13.75" style="1" customWidth="1"/>
    <col min="11016" max="11264" width="9" style="1"/>
    <col min="11265" max="11268" width="13.75" style="1" customWidth="1"/>
    <col min="11269" max="11270" width="15.5" style="1" customWidth="1"/>
    <col min="11271" max="11271" width="13.75" style="1" customWidth="1"/>
    <col min="11272" max="11520" width="9" style="1"/>
    <col min="11521" max="11524" width="13.75" style="1" customWidth="1"/>
    <col min="11525" max="11526" width="15.5" style="1" customWidth="1"/>
    <col min="11527" max="11527" width="13.75" style="1" customWidth="1"/>
    <col min="11528" max="11776" width="9" style="1"/>
    <col min="11777" max="11780" width="13.75" style="1" customWidth="1"/>
    <col min="11781" max="11782" width="15.5" style="1" customWidth="1"/>
    <col min="11783" max="11783" width="13.75" style="1" customWidth="1"/>
    <col min="11784" max="12032" width="9" style="1"/>
    <col min="12033" max="12036" width="13.75" style="1" customWidth="1"/>
    <col min="12037" max="12038" width="15.5" style="1" customWidth="1"/>
    <col min="12039" max="12039" width="13.75" style="1" customWidth="1"/>
    <col min="12040" max="12288" width="9" style="1"/>
    <col min="12289" max="12292" width="13.75" style="1" customWidth="1"/>
    <col min="12293" max="12294" width="15.5" style="1" customWidth="1"/>
    <col min="12295" max="12295" width="13.75" style="1" customWidth="1"/>
    <col min="12296" max="12544" width="9" style="1"/>
    <col min="12545" max="12548" width="13.75" style="1" customWidth="1"/>
    <col min="12549" max="12550" width="15.5" style="1" customWidth="1"/>
    <col min="12551" max="12551" width="13.75" style="1" customWidth="1"/>
    <col min="12552" max="12800" width="9" style="1"/>
    <col min="12801" max="12804" width="13.75" style="1" customWidth="1"/>
    <col min="12805" max="12806" width="15.5" style="1" customWidth="1"/>
    <col min="12807" max="12807" width="13.75" style="1" customWidth="1"/>
    <col min="12808" max="13056" width="9" style="1"/>
    <col min="13057" max="13060" width="13.75" style="1" customWidth="1"/>
    <col min="13061" max="13062" width="15.5" style="1" customWidth="1"/>
    <col min="13063" max="13063" width="13.75" style="1" customWidth="1"/>
    <col min="13064" max="13312" width="9" style="1"/>
    <col min="13313" max="13316" width="13.75" style="1" customWidth="1"/>
    <col min="13317" max="13318" width="15.5" style="1" customWidth="1"/>
    <col min="13319" max="13319" width="13.75" style="1" customWidth="1"/>
    <col min="13320" max="13568" width="9" style="1"/>
    <col min="13569" max="13572" width="13.75" style="1" customWidth="1"/>
    <col min="13573" max="13574" width="15.5" style="1" customWidth="1"/>
    <col min="13575" max="13575" width="13.75" style="1" customWidth="1"/>
    <col min="13576" max="13824" width="9" style="1"/>
    <col min="13825" max="13828" width="13.75" style="1" customWidth="1"/>
    <col min="13829" max="13830" width="15.5" style="1" customWidth="1"/>
    <col min="13831" max="13831" width="13.75" style="1" customWidth="1"/>
    <col min="13832" max="14080" width="9" style="1"/>
    <col min="14081" max="14084" width="13.75" style="1" customWidth="1"/>
    <col min="14085" max="14086" width="15.5" style="1" customWidth="1"/>
    <col min="14087" max="14087" width="13.75" style="1" customWidth="1"/>
    <col min="14088" max="14336" width="9" style="1"/>
    <col min="14337" max="14340" width="13.75" style="1" customWidth="1"/>
    <col min="14341" max="14342" width="15.5" style="1" customWidth="1"/>
    <col min="14343" max="14343" width="13.75" style="1" customWidth="1"/>
    <col min="14344" max="14592" width="9" style="1"/>
    <col min="14593" max="14596" width="13.75" style="1" customWidth="1"/>
    <col min="14597" max="14598" width="15.5" style="1" customWidth="1"/>
    <col min="14599" max="14599" width="13.75" style="1" customWidth="1"/>
    <col min="14600" max="14848" width="9" style="1"/>
    <col min="14849" max="14852" width="13.75" style="1" customWidth="1"/>
    <col min="14853" max="14854" width="15.5" style="1" customWidth="1"/>
    <col min="14855" max="14855" width="13.75" style="1" customWidth="1"/>
    <col min="14856" max="15104" width="9" style="1"/>
    <col min="15105" max="15108" width="13.75" style="1" customWidth="1"/>
    <col min="15109" max="15110" width="15.5" style="1" customWidth="1"/>
    <col min="15111" max="15111" width="13.75" style="1" customWidth="1"/>
    <col min="15112" max="15360" width="9" style="1"/>
    <col min="15361" max="15364" width="13.75" style="1" customWidth="1"/>
    <col min="15365" max="15366" width="15.5" style="1" customWidth="1"/>
    <col min="15367" max="15367" width="13.75" style="1" customWidth="1"/>
    <col min="15368" max="15616" width="9" style="1"/>
    <col min="15617" max="15620" width="13.75" style="1" customWidth="1"/>
    <col min="15621" max="15622" width="15.5" style="1" customWidth="1"/>
    <col min="15623" max="15623" width="13.75" style="1" customWidth="1"/>
    <col min="15624" max="15872" width="9" style="1"/>
    <col min="15873" max="15876" width="13.75" style="1" customWidth="1"/>
    <col min="15877" max="15878" width="15.5" style="1" customWidth="1"/>
    <col min="15879" max="15879" width="13.75" style="1" customWidth="1"/>
    <col min="15880" max="16128" width="9" style="1"/>
    <col min="16129" max="16132" width="13.75" style="1" customWidth="1"/>
    <col min="16133" max="16134" width="15.5" style="1" customWidth="1"/>
    <col min="16135" max="16135" width="13.75" style="1" customWidth="1"/>
    <col min="16136" max="16384" width="9" style="1"/>
  </cols>
  <sheetData>
    <row r="1" spans="1:6" ht="15.75" customHeight="1" x14ac:dyDescent="0.25">
      <c r="A1" s="1" t="str">
        <f>'THONG TIN'!C3</f>
        <v>Công ty TNHH Thuận An</v>
      </c>
      <c r="E1" s="108" t="s">
        <v>1</v>
      </c>
      <c r="F1" s="108"/>
    </row>
    <row r="2" spans="1:6" ht="15.75" customHeight="1" x14ac:dyDescent="0.25">
      <c r="A2" s="1" t="str">
        <f>'THONG TIN'!C4</f>
        <v>Ấp Chồng Nô 3, Xã Hòa Tân, Huyện Cầu Kè, Tỉnh Trà Vinh</v>
      </c>
      <c r="E2" s="101" t="s">
        <v>2</v>
      </c>
      <c r="F2" s="101"/>
    </row>
    <row r="3" spans="1:6" ht="15.75" customHeight="1" x14ac:dyDescent="0.25">
      <c r="E3" s="101" t="s">
        <v>53</v>
      </c>
      <c r="F3" s="101"/>
    </row>
    <row r="4" spans="1:6" x14ac:dyDescent="0.25">
      <c r="E4" s="101" t="s">
        <v>3</v>
      </c>
      <c r="F4" s="101"/>
    </row>
    <row r="5" spans="1:6" ht="18" x14ac:dyDescent="0.25">
      <c r="A5" s="102" t="s">
        <v>4</v>
      </c>
      <c r="B5" s="102"/>
      <c r="C5" s="102"/>
      <c r="D5" s="102"/>
      <c r="E5" s="102"/>
      <c r="F5" s="102"/>
    </row>
    <row r="6" spans="1:6" x14ac:dyDescent="0.25">
      <c r="A6" s="103" t="s">
        <v>93</v>
      </c>
      <c r="B6" s="103"/>
      <c r="C6" s="103"/>
      <c r="D6" s="103"/>
      <c r="E6" s="103"/>
      <c r="F6" s="103"/>
    </row>
    <row r="7" spans="1:6" x14ac:dyDescent="0.25">
      <c r="B7" s="1" t="s">
        <v>72</v>
      </c>
      <c r="C7" s="52" t="s">
        <v>68</v>
      </c>
    </row>
    <row r="8" spans="1:6" x14ac:dyDescent="0.25">
      <c r="B8" s="2" t="s">
        <v>55</v>
      </c>
      <c r="C8" s="3"/>
      <c r="D8" s="3"/>
      <c r="E8" s="53"/>
      <c r="F8" s="3"/>
    </row>
    <row r="9" spans="1:6" x14ac:dyDescent="0.25">
      <c r="B9" s="2" t="s">
        <v>56</v>
      </c>
      <c r="C9" s="3"/>
      <c r="D9" s="3"/>
      <c r="E9" s="56">
        <v>5832</v>
      </c>
      <c r="F9" s="3"/>
    </row>
    <row r="10" spans="1:6" x14ac:dyDescent="0.25">
      <c r="B10" s="2" t="s">
        <v>54</v>
      </c>
      <c r="C10" s="3"/>
      <c r="D10" s="3"/>
      <c r="E10" s="3"/>
      <c r="F10" s="3"/>
    </row>
    <row r="12" spans="1:6" ht="15.75" customHeight="1" x14ac:dyDescent="0.25">
      <c r="A12" s="104" t="s">
        <v>5</v>
      </c>
      <c r="B12" s="104" t="s">
        <v>6</v>
      </c>
      <c r="C12" s="104" t="s">
        <v>7</v>
      </c>
      <c r="D12" s="104" t="s">
        <v>8</v>
      </c>
      <c r="E12" s="106" t="s">
        <v>9</v>
      </c>
      <c r="F12" s="107"/>
    </row>
    <row r="13" spans="1:6" x14ac:dyDescent="0.25">
      <c r="A13" s="105"/>
      <c r="B13" s="105"/>
      <c r="C13" s="105"/>
      <c r="D13" s="105"/>
      <c r="E13" s="4" t="s">
        <v>10</v>
      </c>
      <c r="F13" s="4" t="s">
        <v>11</v>
      </c>
    </row>
    <row r="14" spans="1:6" x14ac:dyDescent="0.25">
      <c r="A14" s="5" t="s">
        <v>12</v>
      </c>
      <c r="B14" s="6"/>
      <c r="C14" s="6"/>
      <c r="D14" s="6"/>
      <c r="E14" s="6"/>
      <c r="F14" s="6"/>
    </row>
    <row r="15" spans="1:6" x14ac:dyDescent="0.25">
      <c r="A15" s="15"/>
      <c r="B15" s="16"/>
      <c r="C15" s="16"/>
      <c r="D15" s="16"/>
      <c r="E15" s="16"/>
      <c r="F15" s="16"/>
    </row>
    <row r="16" spans="1:6" x14ac:dyDescent="0.25">
      <c r="A16" s="7" t="s">
        <v>13</v>
      </c>
      <c r="B16" s="8"/>
      <c r="C16" s="8">
        <f>16128000/12</f>
        <v>1344000</v>
      </c>
      <c r="D16" s="8"/>
      <c r="E16" s="8">
        <f>C16</f>
        <v>1344000</v>
      </c>
      <c r="F16" s="8">
        <f>E16/E9</f>
        <v>230.45267489711935</v>
      </c>
    </row>
    <row r="17" spans="1:6" x14ac:dyDescent="0.25">
      <c r="A17" s="7"/>
      <c r="B17" s="8"/>
      <c r="C17" s="8"/>
      <c r="D17" s="8"/>
      <c r="E17" s="8"/>
      <c r="F17" s="8"/>
    </row>
    <row r="18" spans="1:6" x14ac:dyDescent="0.25">
      <c r="A18" s="7" t="s">
        <v>14</v>
      </c>
      <c r="B18" s="8"/>
      <c r="C18" s="8"/>
      <c r="D18" s="8"/>
      <c r="E18" s="9"/>
      <c r="F18" s="9"/>
    </row>
    <row r="19" spans="1:6" x14ac:dyDescent="0.25">
      <c r="A19" s="17"/>
      <c r="B19" s="18"/>
      <c r="C19" s="18"/>
      <c r="D19" s="18"/>
      <c r="E19" s="19"/>
      <c r="F19" s="19"/>
    </row>
    <row r="20" spans="1:6" x14ac:dyDescent="0.25">
      <c r="A20" s="7" t="s">
        <v>0</v>
      </c>
      <c r="B20" s="8"/>
      <c r="C20" s="8"/>
      <c r="D20" s="8"/>
      <c r="E20" s="8"/>
      <c r="F20" s="8"/>
    </row>
    <row r="21" spans="1:6" x14ac:dyDescent="0.25">
      <c r="A21" s="22" t="s">
        <v>71</v>
      </c>
      <c r="B21" s="23"/>
      <c r="C21" s="23">
        <f>12823592+(B21/12)</f>
        <v>12823592</v>
      </c>
      <c r="D21" s="23">
        <f>B21-(B21/12)*3</f>
        <v>0</v>
      </c>
      <c r="E21" s="23">
        <f>B21+C21-D21</f>
        <v>12823592</v>
      </c>
      <c r="F21" s="23">
        <f>E21/E9</f>
        <v>2198.8326474622772</v>
      </c>
    </row>
    <row r="22" spans="1:6" x14ac:dyDescent="0.25">
      <c r="A22" s="20"/>
      <c r="B22" s="21"/>
      <c r="C22" s="21"/>
      <c r="D22" s="21"/>
      <c r="E22" s="21"/>
      <c r="F22" s="21"/>
    </row>
    <row r="23" spans="1:6" x14ac:dyDescent="0.25">
      <c r="A23" s="54" t="s">
        <v>15</v>
      </c>
      <c r="B23" s="55">
        <f>B21+B22</f>
        <v>0</v>
      </c>
      <c r="C23" s="55">
        <f>C21+C22</f>
        <v>12823592</v>
      </c>
      <c r="D23" s="55">
        <f>D21+D22</f>
        <v>0</v>
      </c>
      <c r="E23" s="55">
        <f>E21+E22</f>
        <v>12823592</v>
      </c>
      <c r="F23" s="55">
        <f>F16+F21</f>
        <v>2429.2853223593966</v>
      </c>
    </row>
    <row r="25" spans="1:6" x14ac:dyDescent="0.25">
      <c r="A25" s="13" t="s">
        <v>16</v>
      </c>
      <c r="B25" s="13"/>
      <c r="C25" s="13" t="s">
        <v>17</v>
      </c>
      <c r="D25" s="13"/>
      <c r="E25" s="13" t="s">
        <v>18</v>
      </c>
      <c r="F25" s="13"/>
    </row>
    <row r="26" spans="1:6" x14ac:dyDescent="0.25">
      <c r="A26" s="14" t="s">
        <v>19</v>
      </c>
      <c r="B26" s="14"/>
      <c r="C26" s="14" t="s">
        <v>19</v>
      </c>
      <c r="D26" s="14"/>
      <c r="E26" s="14" t="s">
        <v>20</v>
      </c>
      <c r="F26" s="14"/>
    </row>
    <row r="27" spans="1:6" x14ac:dyDescent="0.25">
      <c r="A27" s="14"/>
      <c r="B27" s="14"/>
      <c r="C27" s="14"/>
      <c r="D27" s="14"/>
      <c r="E27" s="14"/>
      <c r="F27" s="14"/>
    </row>
    <row r="28" spans="1:6" ht="15.75" customHeight="1" x14ac:dyDescent="0.25">
      <c r="A28" s="1" t="str">
        <f>A1</f>
        <v>Công ty TNHH Thuận An</v>
      </c>
      <c r="E28" s="108" t="s">
        <v>1</v>
      </c>
      <c r="F28" s="108"/>
    </row>
    <row r="29" spans="1:6" ht="15.75" customHeight="1" x14ac:dyDescent="0.25">
      <c r="A29" s="1" t="str">
        <f>A2</f>
        <v>Ấp Chồng Nô 3, Xã Hòa Tân, Huyện Cầu Kè, Tỉnh Trà Vinh</v>
      </c>
      <c r="E29" s="101" t="s">
        <v>2</v>
      </c>
      <c r="F29" s="101"/>
    </row>
    <row r="30" spans="1:6" ht="15.75" customHeight="1" x14ac:dyDescent="0.25">
      <c r="E30" s="101" t="s">
        <v>53</v>
      </c>
      <c r="F30" s="101"/>
    </row>
    <row r="31" spans="1:6" x14ac:dyDescent="0.25">
      <c r="E31" s="101" t="s">
        <v>3</v>
      </c>
      <c r="F31" s="101"/>
    </row>
    <row r="32" spans="1:6" ht="18" x14ac:dyDescent="0.25">
      <c r="A32" s="102" t="s">
        <v>4</v>
      </c>
      <c r="B32" s="102"/>
      <c r="C32" s="102"/>
      <c r="D32" s="102"/>
      <c r="E32" s="102"/>
      <c r="F32" s="102"/>
    </row>
    <row r="33" spans="1:6" x14ac:dyDescent="0.25">
      <c r="A33" s="103" t="s">
        <v>94</v>
      </c>
      <c r="B33" s="103"/>
      <c r="C33" s="103"/>
      <c r="D33" s="103"/>
      <c r="E33" s="103"/>
      <c r="F33" s="103"/>
    </row>
    <row r="34" spans="1:6" x14ac:dyDescent="0.25">
      <c r="B34" s="1" t="s">
        <v>72</v>
      </c>
      <c r="C34" s="52" t="s">
        <v>69</v>
      </c>
    </row>
    <row r="35" spans="1:6" x14ac:dyDescent="0.25">
      <c r="B35" s="2" t="s">
        <v>55</v>
      </c>
      <c r="C35" s="3"/>
      <c r="D35" s="3"/>
      <c r="E35" s="53"/>
      <c r="F35" s="3"/>
    </row>
    <row r="36" spans="1:6" x14ac:dyDescent="0.25">
      <c r="B36" s="2" t="s">
        <v>56</v>
      </c>
      <c r="C36" s="3"/>
      <c r="D36" s="3"/>
      <c r="E36" s="56">
        <v>17868</v>
      </c>
      <c r="F36" s="3"/>
    </row>
    <row r="37" spans="1:6" x14ac:dyDescent="0.25">
      <c r="B37" s="2" t="s">
        <v>54</v>
      </c>
      <c r="C37" s="3"/>
      <c r="D37" s="3"/>
      <c r="E37" s="3"/>
      <c r="F37" s="3"/>
    </row>
    <row r="39" spans="1:6" ht="15.75" customHeight="1" x14ac:dyDescent="0.25">
      <c r="A39" s="104" t="s">
        <v>5</v>
      </c>
      <c r="B39" s="104" t="s">
        <v>6</v>
      </c>
      <c r="C39" s="104" t="s">
        <v>7</v>
      </c>
      <c r="D39" s="104" t="s">
        <v>8</v>
      </c>
      <c r="E39" s="106" t="s">
        <v>9</v>
      </c>
      <c r="F39" s="107"/>
    </row>
    <row r="40" spans="1:6" x14ac:dyDescent="0.25">
      <c r="A40" s="105"/>
      <c r="B40" s="105"/>
      <c r="C40" s="105"/>
      <c r="D40" s="105"/>
      <c r="E40" s="4" t="s">
        <v>10</v>
      </c>
      <c r="F40" s="4" t="s">
        <v>11</v>
      </c>
    </row>
    <row r="41" spans="1:6" x14ac:dyDescent="0.25">
      <c r="A41" s="5" t="s">
        <v>12</v>
      </c>
      <c r="B41" s="6"/>
      <c r="C41" s="6"/>
      <c r="D41" s="6"/>
      <c r="E41" s="6"/>
      <c r="F41" s="6"/>
    </row>
    <row r="42" spans="1:6" x14ac:dyDescent="0.25">
      <c r="A42" s="15"/>
      <c r="B42" s="16"/>
      <c r="C42" s="16"/>
      <c r="D42" s="16"/>
      <c r="E42" s="16"/>
      <c r="F42" s="16"/>
    </row>
    <row r="43" spans="1:6" x14ac:dyDescent="0.25">
      <c r="A43" s="7" t="s">
        <v>13</v>
      </c>
      <c r="B43" s="8"/>
      <c r="C43" s="8">
        <f>29952000/12</f>
        <v>2496000</v>
      </c>
      <c r="D43" s="8"/>
      <c r="E43" s="8">
        <f>C43</f>
        <v>2496000</v>
      </c>
      <c r="F43" s="8">
        <f>E43/E36</f>
        <v>139.6910678307589</v>
      </c>
    </row>
    <row r="44" spans="1:6" x14ac:dyDescent="0.25">
      <c r="A44" s="7"/>
      <c r="B44" s="8"/>
      <c r="C44" s="8"/>
      <c r="D44" s="8"/>
      <c r="E44" s="8"/>
      <c r="F44" s="8"/>
    </row>
    <row r="45" spans="1:6" x14ac:dyDescent="0.25">
      <c r="A45" s="7" t="s">
        <v>14</v>
      </c>
      <c r="B45" s="8"/>
      <c r="C45" s="8"/>
      <c r="D45" s="8"/>
      <c r="E45" s="9"/>
      <c r="F45" s="9"/>
    </row>
    <row r="46" spans="1:6" x14ac:dyDescent="0.25">
      <c r="A46" s="17"/>
      <c r="B46" s="18"/>
      <c r="C46" s="18"/>
      <c r="D46" s="18"/>
      <c r="E46" s="19"/>
      <c r="F46" s="19"/>
    </row>
    <row r="47" spans="1:6" x14ac:dyDescent="0.25">
      <c r="A47" s="7" t="s">
        <v>0</v>
      </c>
      <c r="B47" s="8"/>
      <c r="C47" s="74"/>
      <c r="D47" s="74"/>
      <c r="E47" s="8"/>
      <c r="F47" s="8"/>
    </row>
    <row r="48" spans="1:6" x14ac:dyDescent="0.25">
      <c r="A48" s="72" t="s">
        <v>71</v>
      </c>
      <c r="B48" s="74"/>
      <c r="C48" s="74">
        <v>21449563</v>
      </c>
      <c r="D48" s="74">
        <f>B48-(B48/12)*3</f>
        <v>0</v>
      </c>
      <c r="E48" s="74">
        <f>B48+C48-D48</f>
        <v>21449563</v>
      </c>
      <c r="F48" s="8">
        <f>E48/E36</f>
        <v>1200.4456570405193</v>
      </c>
    </row>
    <row r="49" spans="1:6" x14ac:dyDescent="0.25">
      <c r="A49" s="72" t="s">
        <v>73</v>
      </c>
      <c r="B49" s="74"/>
      <c r="C49" s="74">
        <f>825978+(B49/12)</f>
        <v>825978</v>
      </c>
      <c r="D49" s="74"/>
      <c r="E49" s="74">
        <f>B49+C49-D49</f>
        <v>825978</v>
      </c>
      <c r="F49" s="8">
        <f>E49/E36</f>
        <v>46.226662189388854</v>
      </c>
    </row>
    <row r="50" spans="1:6" x14ac:dyDescent="0.25">
      <c r="A50" s="73"/>
      <c r="B50" s="75"/>
      <c r="C50" s="75"/>
      <c r="D50" s="75"/>
      <c r="E50" s="75"/>
      <c r="F50" s="70"/>
    </row>
    <row r="51" spans="1:6" x14ac:dyDescent="0.25">
      <c r="A51" s="4" t="s">
        <v>15</v>
      </c>
      <c r="B51" s="55">
        <f>B48+B49</f>
        <v>0</v>
      </c>
      <c r="C51" s="55">
        <f>C48+C49+C50</f>
        <v>22275541</v>
      </c>
      <c r="D51" s="55">
        <f>D48+D49</f>
        <v>0</v>
      </c>
      <c r="E51" s="55">
        <f>E48+E49+E50</f>
        <v>22275541</v>
      </c>
      <c r="F51" s="55">
        <f>F43+F48+F49</f>
        <v>1386.363387060667</v>
      </c>
    </row>
    <row r="52" spans="1:6" x14ac:dyDescent="0.25">
      <c r="A52" s="10"/>
      <c r="B52" s="11"/>
      <c r="C52" s="12"/>
      <c r="D52" s="12"/>
      <c r="E52" s="12"/>
      <c r="F52" s="12"/>
    </row>
    <row r="53" spans="1:6" x14ac:dyDescent="0.25">
      <c r="A53" s="13" t="s">
        <v>16</v>
      </c>
      <c r="B53" s="13"/>
      <c r="C53" s="13" t="s">
        <v>17</v>
      </c>
      <c r="D53" s="13"/>
      <c r="E53" s="13" t="s">
        <v>18</v>
      </c>
      <c r="F53" s="13"/>
    </row>
    <row r="54" spans="1:6" x14ac:dyDescent="0.25">
      <c r="A54" s="14" t="s">
        <v>19</v>
      </c>
      <c r="B54" s="14"/>
      <c r="C54" s="14" t="s">
        <v>19</v>
      </c>
      <c r="D54" s="14"/>
      <c r="E54" s="14" t="s">
        <v>20</v>
      </c>
      <c r="F54" s="14"/>
    </row>
  </sheetData>
  <mergeCells count="22">
    <mergeCell ref="E28:F28"/>
    <mergeCell ref="E1:F1"/>
    <mergeCell ref="E2:F2"/>
    <mergeCell ref="E3:F3"/>
    <mergeCell ref="E4:F4"/>
    <mergeCell ref="A5:F5"/>
    <mergeCell ref="A6:F6"/>
    <mergeCell ref="A12:A13"/>
    <mergeCell ref="B12:B13"/>
    <mergeCell ref="C12:C13"/>
    <mergeCell ref="D12:D13"/>
    <mergeCell ref="E12:F12"/>
    <mergeCell ref="A39:A40"/>
    <mergeCell ref="B39:B40"/>
    <mergeCell ref="C39:C40"/>
    <mergeCell ref="D39:D40"/>
    <mergeCell ref="E39:F39"/>
    <mergeCell ref="E29:F29"/>
    <mergeCell ref="E30:F30"/>
    <mergeCell ref="E31:F31"/>
    <mergeCell ref="A32:F32"/>
    <mergeCell ref="A33:F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THONG TIN</vt:lpstr>
      <vt:lpstr>SL 2022</vt:lpstr>
      <vt:lpstr>T1</vt:lpstr>
      <vt:lpstr>T2</vt:lpstr>
      <vt:lpstr>T3</vt:lpstr>
      <vt:lpstr>T4</vt:lpstr>
      <vt:lpstr>T5</vt:lpstr>
      <vt:lpstr>T6</vt:lpstr>
      <vt:lpstr>T7</vt:lpstr>
      <vt:lpstr>T8</vt:lpstr>
      <vt:lpstr>T9</vt:lpstr>
      <vt:lpstr>T10</vt:lpstr>
      <vt:lpstr>T11</vt:lpstr>
      <vt:lpstr>T12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</dc:creator>
  <cp:lastModifiedBy>YamiViet</cp:lastModifiedBy>
  <cp:lastPrinted>2022-03-13T07:47:02Z</cp:lastPrinted>
  <dcterms:created xsi:type="dcterms:W3CDTF">2016-04-11T03:39:34Z</dcterms:created>
  <dcterms:modified xsi:type="dcterms:W3CDTF">2023-03-22T09:55:58Z</dcterms:modified>
</cp:coreProperties>
</file>