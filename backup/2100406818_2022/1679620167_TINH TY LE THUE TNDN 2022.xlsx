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225" windowWidth="14805" windowHeight="7890" activeTab="1"/>
  </bookViews>
  <sheets>
    <sheet name="BANG KE DOANH THU CT 2022" sheetId="6" r:id="rId1"/>
    <sheet name="TINH THUE TNDN" sheetId="9" r:id="rId2"/>
  </sheets>
  <calcPr calcId="152511"/>
</workbook>
</file>

<file path=xl/calcChain.xml><?xml version="1.0" encoding="utf-8"?>
<calcChain xmlns="http://schemas.openxmlformats.org/spreadsheetml/2006/main">
  <c r="E11" i="6" l="1"/>
  <c r="F11" i="6"/>
  <c r="F10" i="6"/>
  <c r="E10" i="6"/>
  <c r="C9" i="9"/>
  <c r="F14" i="6"/>
  <c r="E4" i="6"/>
  <c r="D9" i="9" s="1"/>
  <c r="D4" i="6"/>
  <c r="F7" i="6"/>
  <c r="F8" i="6"/>
  <c r="J9" i="9"/>
  <c r="J11" i="9"/>
  <c r="J13" i="9"/>
  <c r="J14" i="9"/>
  <c r="E12" i="6" l="1"/>
  <c r="D13" i="9" s="1"/>
  <c r="F17" i="6" l="1"/>
  <c r="F18" i="6"/>
  <c r="F19" i="6"/>
  <c r="F20" i="6"/>
  <c r="F21" i="6"/>
  <c r="F22" i="6"/>
  <c r="F23" i="6"/>
  <c r="E9" i="6"/>
  <c r="D11" i="9" s="1"/>
  <c r="D10" i="9" s="1"/>
  <c r="D9" i="6"/>
  <c r="F5" i="6"/>
  <c r="C11" i="9" l="1"/>
  <c r="C10" i="9" s="1"/>
  <c r="F15" i="6"/>
  <c r="F16" i="6"/>
  <c r="F13" i="6"/>
  <c r="F9" i="6"/>
  <c r="F6" i="6"/>
  <c r="F4" i="6" s="1"/>
  <c r="D12" i="9"/>
  <c r="D12" i="6"/>
  <c r="C13" i="9" s="1"/>
  <c r="C12" i="9" s="1"/>
  <c r="F12" i="6" l="1"/>
  <c r="D8" i="9"/>
  <c r="D15" i="9" s="1"/>
  <c r="F24" i="6" l="1"/>
  <c r="E24" i="6"/>
  <c r="C20" i="9"/>
  <c r="C6" i="9"/>
  <c r="K4" i="9"/>
  <c r="C8" i="9" l="1"/>
  <c r="D24" i="6"/>
  <c r="C15" i="9" l="1"/>
  <c r="B8" i="9" s="1"/>
  <c r="E8" i="9" l="1"/>
  <c r="F8" i="9" s="1"/>
  <c r="B10" i="9"/>
  <c r="B12" i="9"/>
  <c r="F16" i="9"/>
  <c r="B6" i="9"/>
  <c r="E12" i="9" l="1"/>
  <c r="F12" i="9" s="1"/>
  <c r="E10" i="9"/>
  <c r="F10" i="9" s="1"/>
  <c r="H10" i="9" s="1"/>
  <c r="H8" i="9"/>
  <c r="B15" i="9"/>
  <c r="I10" i="9" l="1"/>
  <c r="J10" i="9" s="1"/>
  <c r="I8" i="9"/>
  <c r="J8" i="9" s="1"/>
  <c r="F15" i="9"/>
  <c r="F18" i="9" s="1"/>
  <c r="I15" i="9" l="1"/>
  <c r="H12" i="9"/>
  <c r="J12" i="9" s="1"/>
  <c r="F6" i="9"/>
  <c r="K3" i="9" s="1"/>
  <c r="H15" i="9" l="1"/>
  <c r="J15" i="9" s="1"/>
  <c r="H6" i="9"/>
  <c r="H20" i="9" s="1"/>
  <c r="J6" i="9" l="1"/>
  <c r="I18" i="9" s="1"/>
</calcChain>
</file>

<file path=xl/sharedStrings.xml><?xml version="1.0" encoding="utf-8"?>
<sst xmlns="http://schemas.openxmlformats.org/spreadsheetml/2006/main" count="53" uniqueCount="52">
  <si>
    <t>Doanh thu</t>
  </si>
  <si>
    <t xml:space="preserve">Doanh thu </t>
  </si>
  <si>
    <t>Tỉ lệ / DT</t>
  </si>
  <si>
    <t>Lợi nhuận</t>
  </si>
  <si>
    <t>TS</t>
  </si>
  <si>
    <t>Thuế TNDN</t>
  </si>
  <si>
    <t>Địa bàn không ưu đãi</t>
  </si>
  <si>
    <t>Tổng cộng</t>
  </si>
  <si>
    <t>LẬP BẢNG</t>
  </si>
  <si>
    <t>GIÁM ĐỐC</t>
  </si>
  <si>
    <t>CTY CP Công Trình Đô Thị Trà Vinh</t>
  </si>
  <si>
    <t>TỔNG CỘNG</t>
  </si>
  <si>
    <t>STT</t>
  </si>
  <si>
    <t>TÊN CÔNG TRÌNH</t>
  </si>
  <si>
    <t>DT THUẦN</t>
  </si>
  <si>
    <t xml:space="preserve">                                                                                                           GIÁM ĐỐC</t>
  </si>
  <si>
    <t>THỦY LỢI NỘI ĐỒNG</t>
  </si>
  <si>
    <t>DOANH THU CHỊU THUẾ</t>
  </si>
  <si>
    <t>CÔNG TRÌNH NẠO VÉT (5%)</t>
  </si>
  <si>
    <t>DOANH THU ĐIỆN MẶT TRỜI</t>
  </si>
  <si>
    <t>ĐIỆN MẶT TRỜI (10%)</t>
  </si>
  <si>
    <t>CÔNG TRÌNH (10%)</t>
  </si>
  <si>
    <t> Điện năng lượng mặt trời trên mái nhà công suất 62,3 kWp tại ấp Chồng Nô 3 xã Hòa Tân</t>
  </si>
  <si>
    <t>GIÁ THÀNH</t>
  </si>
  <si>
    <t>CÔNG TY TNHH THUẬN AN</t>
  </si>
  <si>
    <t>MST: 2100406818</t>
  </si>
  <si>
    <t>Số thuế 
phải nộp</t>
  </si>
  <si>
    <t>Bùi Hoàng Mai</t>
  </si>
  <si>
    <t>LỢI NHUẬN TRƯỚC 
PHÂN BỔ CPQL</t>
  </si>
  <si>
    <t>Giá Vốn</t>
  </si>
  <si>
    <t> Điện năng lượng mặt trời trên mái nhà công suất 142,4 kWp tại ấp Giồng Lớn xã Hòa Ân</t>
  </si>
  <si>
    <t>BẢNG KÊ DOANH THU CÁC CÔNG TRÌNH NĂM 2022</t>
  </si>
  <si>
    <t>Trà Vinh, ngày 31 tháng 12 năm 2022</t>
  </si>
  <si>
    <t>BẢNG XÁC ĐỊNH THU NHẬP CHỊU THUẾ TNDN NĂM 2022</t>
  </si>
  <si>
    <t>2022_ Nạo vét 06 kênh thủy lợi nội đồng trên địa bàn các xã An Phú Tân, Hòa Tân, Ninh Thới, 
Thạnh Phú (Nạo vét kênh T3 Thạnh Phú) (HĐ số 02/2022/HĐ XD-TA ngày 21/01/2022)</t>
  </si>
  <si>
    <t>2022_ Nạo vét 04 kênh thủy lợi nội đồng trên địa bàn các xã Thông Hòa, Hòa Ân gói thầu số 4:
 nạo vét kênh Nền Mộ 2, kênh Tư Ổi xã Thông Hòa (HĐ số 01/2022/HĐ XD-TA ngày 21/01/2022)</t>
  </si>
  <si>
    <t>2022_Đào mương thoát nước thải khu vực bãi rác huyện Cầu Kè . 
HĐ số 10/2022/HĐ XD-TA ngày 22/06/2022</t>
  </si>
  <si>
    <t>2022_Nạo vét các kênh thủy lợi nội đồng bổ sung trên địa bàn xã Hòa Ân, Châu Điền. Gói thầu số 5: 
Thi công nạo vét Kênh Sương Kiên, Kênh Lan Chi, kênh Ô Râu, xã Hòa Tân (HĐ số 07/2022/HĐ XD-TA ngày 11/06/2022)</t>
  </si>
  <si>
    <t> 2022_Thi công tháo dở, di dời trụ điện xây dựng công trình đường nhựa liên xã 
Thông Hòa - Thạnh Phú (HĐ số 03/2022/HĐXD-TA ngày 08/03/2022)</t>
  </si>
  <si>
    <t> 2022_ Sửa chửa đường đal tổ 3, khóm 3, TT Cầu Kè (Song song đường Nguyễn Hòa Luông) 
HM: di dời điện (HĐ số 05/2022/HĐXD-TA ngày 03/03/2022)</t>
  </si>
  <si>
    <t>2022_Sửa chửa đường đal tổ 2, khóm 3, TT Cầu Kè (Sau Nghĩa Trang)
 HM: di dời điện (HĐ số 04/2022/HĐXD-TA ngày 03/03/2022)</t>
  </si>
  <si>
    <t>2022_Đường nhựa liên xã Phong Phú - Phong Thạnh (tuyến Thơm Rơm) hạng mục:
 di dời điện (HĐ số 06/2022/HĐXD-TA ngày 01/06/2022)</t>
  </si>
  <si>
    <t>2022_Thi công xây dựng công trình sửa chữa đường đanl tổ 2, khóm 3, TT Cầu Kè
 (sau Nghĩa Trang). HĐ số 04/2022/HĐ XD -TA ngày 4/03/2022</t>
  </si>
  <si>
    <t>2022_Thi công xây dựng gói thầu số 21 thi công di dời điện thuộc dự án 
Đường ven sông Hậu, huyện Cầu Kè (HĐ số 09/2022/HĐXD-TA ngày 28/06/2022)</t>
  </si>
  <si>
    <t>2022_Sữa chữa đèn chiếu sáng công cộng trên địa bàn 
xã Ninh Thới năm 2022 (HĐ số 12/2022/HĐ XD-TA ngày 29/08/2022)</t>
  </si>
  <si>
    <t>2022_Sửa chửa mái tol nhà bao che lò đốt rác tại bãi rác ấp Bà My,
 xã Hòa Ân. HĐ số 14/2022/HĐ XD-TA ngày 22/09/2022</t>
  </si>
  <si>
    <t>2022_Thi công xây dựng mới đường dây trug thế và trạm biến áp 1x630KVA.
 HĐ số 2309/2022/HĐ TC/TT-TA ngày 23/09/2022</t>
  </si>
  <si>
    <t>2022_Sữa chữa đèn chiếu sáng công cộng trên địa bàn xã Ninh Thới huyện Cầu Kè
 (HĐ số 30/2022/HĐ XD-TA ngày 23/12/2022)</t>
  </si>
  <si>
    <t> 2022_Cấp điện nhà làm việc Huyện Ủy Huyện Cầu Kè. 
HĐ số 11/2022/HĐ XD-TA ngày 19/07/2022</t>
  </si>
  <si>
    <t>bao gồm cả chi phí phát bỏ</t>
  </si>
  <si>
    <t>Chi Phí Quản Lý</t>
  </si>
  <si>
    <t>Miễn 100%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</si>
</sst>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_-* #,##0\ _₫_-;\-* #,##0\ _₫_-;_-* &quot;-&quot;??\ _₫_-;_-@_-"/>
    <numFmt numFmtId="165" formatCode="_(* #,##0_);_(* \(#,##0\);_(* &quot;-&quot;??_);_(@_)"/>
    <numFmt numFmtId="166" formatCode="_-* #,##0_-;\-* #,##0_-;_-* &quot;-&quot;??_-;_-@_-"/>
    <numFmt numFmtId="167" formatCode="0.0%"/>
  </numFmts>
  <fonts count="13"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2"/>
      <color theme="1"/>
      <name val="Times New Roman"/>
      <family val="1"/>
    </font>
    <font>
      <b/>
      <sz val="12"/>
      <color theme="1"/>
      <name val="Times New Roman"/>
      <family val="1"/>
    </font>
    <font>
      <sz val="12"/>
      <color rgb="FF000000"/>
      <name val="Times New Roman"/>
      <family val="1"/>
    </font>
    <font>
      <sz val="11"/>
      <color theme="1"/>
      <name val="Times New Roman"/>
      <family val="1"/>
    </font>
  </fonts>
  <fills count="5">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5">
    <xf numFmtId="0" fontId="0" fillId="0" borderId="0" xfId="0"/>
    <xf numFmtId="0" fontId="2" fillId="0" borderId="0" xfId="0" applyFont="1"/>
    <xf numFmtId="9" fontId="2" fillId="0" borderId="0" xfId="2" applyFont="1"/>
    <xf numFmtId="165" fontId="2" fillId="0" borderId="0" xfId="1" applyNumberFormat="1" applyFont="1"/>
    <xf numFmtId="0" fontId="3" fillId="0" borderId="0" xfId="0" applyFont="1"/>
    <xf numFmtId="9" fontId="3" fillId="0" borderId="0" xfId="2" applyFont="1"/>
    <xf numFmtId="165" fontId="3" fillId="0" borderId="0" xfId="1" applyNumberFormat="1" applyFont="1"/>
    <xf numFmtId="165" fontId="4"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5" fontId="2" fillId="0" borderId="1" xfId="1" applyNumberFormat="1" applyFont="1" applyBorder="1" applyAlignment="1">
      <alignment horizontal="center"/>
    </xf>
    <xf numFmtId="9" fontId="2" fillId="0" borderId="0" xfId="2" applyFont="1" applyAlignment="1">
      <alignment horizontal="center"/>
    </xf>
    <xf numFmtId="0" fontId="2" fillId="2" borderId="1" xfId="0" applyFont="1" applyFill="1" applyBorder="1"/>
    <xf numFmtId="9" fontId="2" fillId="0" borderId="1" xfId="2" applyFont="1" applyBorder="1"/>
    <xf numFmtId="165" fontId="2" fillId="0" borderId="1" xfId="1" applyNumberFormat="1" applyFont="1" applyBorder="1"/>
    <xf numFmtId="165"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5" fontId="3" fillId="0" borderId="1" xfId="1" applyNumberFormat="1" applyFont="1" applyBorder="1"/>
    <xf numFmtId="9" fontId="3" fillId="0" borderId="1" xfId="2" applyNumberFormat="1" applyFont="1" applyBorder="1"/>
    <xf numFmtId="0" fontId="2" fillId="3" borderId="1" xfId="0" applyFont="1" applyFill="1" applyBorder="1"/>
    <xf numFmtId="165" fontId="3" fillId="0" borderId="0" xfId="0" applyNumberFormat="1" applyFont="1"/>
    <xf numFmtId="0" fontId="4" fillId="0" borderId="0" xfId="0" applyFont="1" applyFill="1"/>
    <xf numFmtId="0" fontId="6" fillId="0" borderId="0" xfId="0" applyFont="1" applyFill="1"/>
    <xf numFmtId="0" fontId="5" fillId="0" borderId="1" xfId="0" applyFont="1" applyFill="1" applyBorder="1"/>
    <xf numFmtId="0" fontId="5" fillId="0" borderId="0" xfId="0" applyFont="1" applyFill="1"/>
    <xf numFmtId="164" fontId="6" fillId="0" borderId="0" xfId="1" applyNumberFormat="1" applyFont="1" applyFill="1" applyAlignment="1"/>
    <xf numFmtId="165" fontId="3" fillId="0" borderId="0" xfId="1" applyNumberFormat="1" applyFont="1" applyAlignment="1"/>
    <xf numFmtId="164" fontId="4" fillId="0" borderId="0" xfId="1" applyNumberFormat="1" applyFont="1" applyFill="1"/>
    <xf numFmtId="164" fontId="5" fillId="0" borderId="0" xfId="1" applyNumberFormat="1" applyFont="1" applyFill="1"/>
    <xf numFmtId="164" fontId="6" fillId="0" borderId="0" xfId="1" applyNumberFormat="1" applyFont="1" applyFill="1"/>
    <xf numFmtId="0" fontId="7" fillId="0" borderId="1" xfId="0" applyFont="1" applyFill="1" applyBorder="1"/>
    <xf numFmtId="164" fontId="7" fillId="0" borderId="1" xfId="1" applyNumberFormat="1" applyFont="1" applyFill="1" applyBorder="1" applyAlignment="1"/>
    <xf numFmtId="0" fontId="7" fillId="0" borderId="0" xfId="0" applyFont="1" applyFill="1"/>
    <xf numFmtId="0" fontId="7" fillId="0" borderId="0" xfId="0" applyFont="1" applyFill="1" applyAlignment="1">
      <alignment horizontal="left"/>
    </xf>
    <xf numFmtId="164" fontId="5" fillId="0" borderId="0" xfId="1" applyNumberFormat="1" applyFont="1" applyFill="1" applyAlignment="1"/>
    <xf numFmtId="0" fontId="2" fillId="0" borderId="0" xfId="0" applyFont="1" applyAlignment="1">
      <alignment horizontal="center"/>
    </xf>
    <xf numFmtId="165" fontId="2" fillId="0" borderId="0" xfId="1" applyNumberFormat="1" applyFont="1" applyAlignment="1"/>
    <xf numFmtId="0" fontId="4" fillId="0" borderId="0" xfId="0" applyFont="1" applyFill="1" applyAlignment="1">
      <alignment horizontal="center"/>
    </xf>
    <xf numFmtId="0" fontId="7" fillId="0" borderId="1" xfId="0" applyFont="1" applyFill="1" applyBorder="1" applyAlignment="1">
      <alignment horizontal="left"/>
    </xf>
    <xf numFmtId="0" fontId="7" fillId="0" borderId="1" xfId="0" applyFont="1" applyFill="1" applyBorder="1" applyAlignment="1">
      <alignment horizontal="left" vertical="center"/>
    </xf>
    <xf numFmtId="0" fontId="5" fillId="0" borderId="1" xfId="0" applyFont="1" applyFill="1" applyBorder="1" applyAlignment="1">
      <alignment vertical="center"/>
    </xf>
    <xf numFmtId="0" fontId="7" fillId="4" borderId="1" xfId="0" applyFont="1" applyFill="1" applyBorder="1" applyAlignment="1">
      <alignment horizontal="left"/>
    </xf>
    <xf numFmtId="0" fontId="7" fillId="4" borderId="1" xfId="0" applyFont="1" applyFill="1" applyBorder="1" applyAlignment="1">
      <alignment horizontal="left" vertical="center"/>
    </xf>
    <xf numFmtId="166" fontId="10" fillId="4" borderId="1" xfId="1" applyNumberFormat="1" applyFont="1" applyFill="1" applyBorder="1"/>
    <xf numFmtId="0" fontId="7" fillId="4" borderId="1" xfId="0" applyFont="1" applyFill="1" applyBorder="1"/>
    <xf numFmtId="164" fontId="7" fillId="4" borderId="4" xfId="1" applyNumberFormat="1" applyFont="1" applyFill="1" applyBorder="1" applyAlignment="1"/>
    <xf numFmtId="167" fontId="2" fillId="0" borderId="1" xfId="2" applyNumberFormat="1" applyFont="1" applyBorder="1"/>
    <xf numFmtId="9" fontId="2" fillId="0" borderId="1" xfId="2" applyNumberFormat="1" applyFont="1" applyBorder="1" applyAlignment="1">
      <alignment horizontal="center"/>
    </xf>
    <xf numFmtId="0" fontId="2" fillId="0" borderId="1" xfId="0" applyFont="1" applyBorder="1" applyAlignment="1">
      <alignment horizontal="center" wrapText="1"/>
    </xf>
    <xf numFmtId="0" fontId="2" fillId="4" borderId="1" xfId="0" applyFont="1" applyFill="1" applyBorder="1"/>
    <xf numFmtId="164" fontId="7" fillId="0" borderId="1" xfId="1" applyNumberFormat="1" applyFont="1" applyFill="1" applyBorder="1" applyAlignment="1">
      <alignment wrapText="1"/>
    </xf>
    <xf numFmtId="0" fontId="8" fillId="0" borderId="1" xfId="0" applyFont="1" applyBorder="1"/>
    <xf numFmtId="0" fontId="8" fillId="0" borderId="1" xfId="0" applyFont="1" applyBorder="1" applyAlignment="1">
      <alignment vertical="center"/>
    </xf>
    <xf numFmtId="0" fontId="8" fillId="0" borderId="1" xfId="0" applyFont="1" applyBorder="1" applyAlignment="1">
      <alignment wrapText="1"/>
    </xf>
    <xf numFmtId="3" fontId="9" fillId="0" borderId="1" xfId="0" applyNumberFormat="1" applyFont="1" applyBorder="1" applyAlignment="1">
      <alignment horizontal="right" vertical="center" wrapText="1"/>
    </xf>
    <xf numFmtId="3" fontId="9" fillId="0" borderId="1" xfId="0" applyNumberFormat="1" applyFont="1" applyBorder="1" applyAlignment="1">
      <alignment horizontal="center" vertical="center" wrapText="1"/>
    </xf>
    <xf numFmtId="0" fontId="8" fillId="0" borderId="2" xfId="0" applyFont="1" applyBorder="1" applyAlignment="1">
      <alignment wrapText="1"/>
    </xf>
    <xf numFmtId="164" fontId="7" fillId="4" borderId="2" xfId="1" applyNumberFormat="1" applyFont="1" applyFill="1" applyBorder="1" applyAlignment="1"/>
    <xf numFmtId="166" fontId="9" fillId="0" borderId="2" xfId="1" applyNumberFormat="1" applyFont="1" applyBorder="1"/>
    <xf numFmtId="166" fontId="10" fillId="4" borderId="2" xfId="1" applyNumberFormat="1" applyFont="1" applyFill="1" applyBorder="1"/>
    <xf numFmtId="164" fontId="7" fillId="0" borderId="3" xfId="1" applyNumberFormat="1" applyFont="1" applyFill="1" applyBorder="1" applyAlignment="1">
      <alignment horizontal="left"/>
    </xf>
    <xf numFmtId="166" fontId="10" fillId="4" borderId="3" xfId="1" applyNumberFormat="1" applyFont="1" applyFill="1" applyBorder="1"/>
    <xf numFmtId="164" fontId="3" fillId="0" borderId="0" xfId="1" applyNumberFormat="1" applyFont="1"/>
    <xf numFmtId="165" fontId="3" fillId="0" borderId="0" xfId="1" applyNumberFormat="1" applyFont="1" applyFill="1"/>
    <xf numFmtId="165" fontId="3" fillId="0" borderId="0" xfId="0" applyNumberFormat="1" applyFont="1" applyFill="1"/>
    <xf numFmtId="165" fontId="3" fillId="0" borderId="0" xfId="1" applyNumberFormat="1" applyFont="1" applyFill="1" applyAlignment="1">
      <alignment horizontal="right"/>
    </xf>
    <xf numFmtId="165" fontId="2" fillId="0" borderId="0" xfId="1" applyNumberFormat="1" applyFont="1" applyAlignment="1">
      <alignment horizontal="right"/>
    </xf>
    <xf numFmtId="10" fontId="2" fillId="0" borderId="0" xfId="2" applyNumberFormat="1" applyFont="1"/>
    <xf numFmtId="0" fontId="7" fillId="4" borderId="1" xfId="0" applyFont="1" applyFill="1" applyBorder="1" applyAlignment="1">
      <alignment horizontal="left"/>
    </xf>
    <xf numFmtId="0" fontId="2" fillId="0" borderId="0" xfId="0" applyFont="1" applyAlignment="1">
      <alignment horizontal="center"/>
    </xf>
    <xf numFmtId="166" fontId="7" fillId="0" borderId="0" xfId="0" applyNumberFormat="1" applyFont="1" applyFill="1" applyAlignment="1">
      <alignment horizontal="left"/>
    </xf>
    <xf numFmtId="166" fontId="9" fillId="0" borderId="2" xfId="1" applyNumberFormat="1" applyFont="1" applyBorder="1" applyAlignment="1">
      <alignment horizontal="center" vertical="center"/>
    </xf>
    <xf numFmtId="164" fontId="7" fillId="0" borderId="3" xfId="1" applyNumberFormat="1" applyFont="1" applyFill="1" applyBorder="1" applyAlignment="1">
      <alignment horizontal="center" vertical="center"/>
    </xf>
    <xf numFmtId="0" fontId="8" fillId="0" borderId="2" xfId="0" applyFont="1" applyBorder="1" applyAlignment="1">
      <alignment vertical="center" wrapText="1"/>
    </xf>
    <xf numFmtId="0" fontId="12" fillId="0" borderId="2" xfId="0" applyFont="1" applyBorder="1" applyAlignment="1">
      <alignment horizontal="left" vertical="center" wrapText="1"/>
    </xf>
    <xf numFmtId="164" fontId="7" fillId="4" borderId="5" xfId="1" applyNumberFormat="1" applyFont="1" applyFill="1" applyBorder="1" applyAlignment="1"/>
    <xf numFmtId="164" fontId="7" fillId="4" borderId="6" xfId="1" applyNumberFormat="1" applyFont="1" applyFill="1" applyBorder="1" applyAlignment="1"/>
    <xf numFmtId="164" fontId="7" fillId="4" borderId="7" xfId="1" applyNumberFormat="1" applyFont="1" applyFill="1" applyBorder="1" applyAlignment="1"/>
    <xf numFmtId="164" fontId="5" fillId="0" borderId="1" xfId="1" applyNumberFormat="1" applyFont="1" applyFill="1" applyBorder="1" applyAlignment="1">
      <alignment horizontal="center" vertical="center"/>
    </xf>
    <xf numFmtId="3" fontId="11" fillId="0" borderId="1" xfId="0" applyNumberFormat="1" applyFont="1" applyBorder="1" applyAlignment="1">
      <alignment horizontal="center" vertical="center"/>
    </xf>
    <xf numFmtId="1" fontId="2" fillId="0" borderId="1" xfId="1" applyNumberFormat="1" applyFont="1" applyBorder="1" applyAlignment="1">
      <alignment horizontal="center"/>
    </xf>
    <xf numFmtId="165" fontId="2" fillId="0" borderId="0" xfId="1" applyNumberFormat="1" applyFont="1" applyAlignment="1">
      <alignment horizontal="center"/>
    </xf>
    <xf numFmtId="0" fontId="4" fillId="0" borderId="0" xfId="0" applyFont="1" applyFill="1" applyAlignment="1">
      <alignment horizontal="center"/>
    </xf>
    <xf numFmtId="0" fontId="7" fillId="4" borderId="1" xfId="0" applyFont="1" applyFill="1" applyBorder="1" applyAlignment="1">
      <alignment horizontal="left"/>
    </xf>
    <xf numFmtId="0" fontId="7" fillId="4" borderId="1" xfId="0" applyFont="1" applyFill="1" applyBorder="1" applyAlignment="1">
      <alignment horizontal="left" vertical="center"/>
    </xf>
    <xf numFmtId="0" fontId="7" fillId="4" borderId="2" xfId="0" applyFont="1" applyFill="1" applyBorder="1" applyAlignment="1">
      <alignment horizontal="left"/>
    </xf>
    <xf numFmtId="0" fontId="7" fillId="4" borderId="3" xfId="0" applyFont="1" applyFill="1" applyBorder="1" applyAlignment="1">
      <alignment horizontal="left"/>
    </xf>
    <xf numFmtId="165" fontId="3" fillId="0" borderId="0" xfId="1" applyNumberFormat="1" applyFont="1" applyAlignment="1">
      <alignment horizontal="right"/>
    </xf>
    <xf numFmtId="0" fontId="4" fillId="0" borderId="0" xfId="0" applyFont="1" applyAlignment="1">
      <alignment horizontal="center"/>
    </xf>
    <xf numFmtId="165" fontId="3" fillId="0" borderId="0" xfId="1" applyNumberFormat="1" applyFont="1" applyAlignment="1">
      <alignment horizontal="center"/>
    </xf>
    <xf numFmtId="0" fontId="2"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colors>
    <mruColors>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95"/>
  <sheetViews>
    <sheetView topLeftCell="A7" workbookViewId="0">
      <selection activeCell="E12" sqref="E12"/>
    </sheetView>
  </sheetViews>
  <sheetFormatPr defaultColWidth="8" defaultRowHeight="15" x14ac:dyDescent="0.25"/>
  <cols>
    <col min="1" max="1" width="8" style="26"/>
    <col min="2" max="2" width="32.140625" style="26" hidden="1" customWidth="1"/>
    <col min="3" max="3" width="87.7109375" style="26" customWidth="1"/>
    <col min="4" max="4" width="20.42578125" style="29" customWidth="1"/>
    <col min="5" max="5" width="17.7109375" style="26" customWidth="1"/>
    <col min="6" max="6" width="24.28515625" style="33" customWidth="1"/>
    <col min="7" max="7" width="15.7109375" style="26" customWidth="1"/>
    <col min="8" max="16384" width="8" style="26"/>
  </cols>
  <sheetData>
    <row r="1" spans="1:7" s="25" customFormat="1" ht="20.25" x14ac:dyDescent="0.3">
      <c r="A1" s="86" t="s">
        <v>31</v>
      </c>
      <c r="B1" s="86"/>
      <c r="C1" s="86"/>
      <c r="D1" s="86"/>
      <c r="F1" s="31"/>
    </row>
    <row r="2" spans="1:7" s="25" customFormat="1" ht="20.25" x14ac:dyDescent="0.3">
      <c r="B2" s="41"/>
      <c r="C2" s="41"/>
      <c r="D2" s="41"/>
      <c r="F2" s="31"/>
    </row>
    <row r="3" spans="1:7" s="36" customFormat="1" ht="39" customHeight="1" x14ac:dyDescent="0.25">
      <c r="A3" s="34" t="s">
        <v>12</v>
      </c>
      <c r="B3" s="34"/>
      <c r="C3" s="34" t="s">
        <v>13</v>
      </c>
      <c r="D3" s="35" t="s">
        <v>14</v>
      </c>
      <c r="E3" s="34" t="s">
        <v>23</v>
      </c>
      <c r="F3" s="54" t="s">
        <v>28</v>
      </c>
    </row>
    <row r="4" spans="1:7" s="37" customFormat="1" ht="24.75" customHeight="1" x14ac:dyDescent="0.25">
      <c r="A4" s="45"/>
      <c r="B4" s="87" t="s">
        <v>18</v>
      </c>
      <c r="C4" s="87"/>
      <c r="D4" s="61">
        <f>SUM(D5:D8)</f>
        <v>585822327</v>
      </c>
      <c r="E4" s="61">
        <f t="shared" ref="E4:F4" si="0">SUM(E5:E8)</f>
        <v>256928049</v>
      </c>
      <c r="F4" s="61">
        <f t="shared" si="0"/>
        <v>328894278</v>
      </c>
    </row>
    <row r="5" spans="1:7" s="37" customFormat="1" ht="42.75" customHeight="1" x14ac:dyDescent="0.25">
      <c r="A5" s="42">
        <v>1</v>
      </c>
      <c r="B5" s="72"/>
      <c r="C5" s="57" t="s">
        <v>34</v>
      </c>
      <c r="D5" s="75">
        <v>160896803</v>
      </c>
      <c r="E5" s="59">
        <v>95391558</v>
      </c>
      <c r="F5" s="76">
        <f>D5-E5</f>
        <v>65505245</v>
      </c>
    </row>
    <row r="6" spans="1:7" s="37" customFormat="1" ht="37.5" customHeight="1" x14ac:dyDescent="0.25">
      <c r="A6" s="42">
        <v>2</v>
      </c>
      <c r="B6" s="43"/>
      <c r="C6" s="57" t="s">
        <v>35</v>
      </c>
      <c r="D6" s="75">
        <v>149857143</v>
      </c>
      <c r="E6" s="59">
        <v>55687068</v>
      </c>
      <c r="F6" s="76">
        <f>D6-E6</f>
        <v>94170075</v>
      </c>
    </row>
    <row r="7" spans="1:7" s="37" customFormat="1" ht="40.5" customHeight="1" x14ac:dyDescent="0.25">
      <c r="A7" s="42"/>
      <c r="B7" s="43"/>
      <c r="C7" s="57" t="s">
        <v>36</v>
      </c>
      <c r="D7" s="75">
        <v>16973143</v>
      </c>
      <c r="E7" s="59">
        <v>7253770</v>
      </c>
      <c r="F7" s="76">
        <f t="shared" ref="F7:F8" si="1">D7-E7</f>
        <v>9719373</v>
      </c>
    </row>
    <row r="8" spans="1:7" s="37" customFormat="1" ht="51" customHeight="1" x14ac:dyDescent="0.25">
      <c r="A8" s="42"/>
      <c r="B8" s="43"/>
      <c r="C8" s="57" t="s">
        <v>37</v>
      </c>
      <c r="D8" s="75">
        <v>258095238</v>
      </c>
      <c r="E8" s="59">
        <v>98595653</v>
      </c>
      <c r="F8" s="76">
        <f t="shared" si="1"/>
        <v>159499585</v>
      </c>
    </row>
    <row r="9" spans="1:7" s="37" customFormat="1" ht="27.75" customHeight="1" x14ac:dyDescent="0.25">
      <c r="A9" s="45"/>
      <c r="B9" s="46"/>
      <c r="C9" s="46" t="s">
        <v>20</v>
      </c>
      <c r="D9" s="63">
        <f>D10+D11</f>
        <v>513334738</v>
      </c>
      <c r="E9" s="47">
        <f t="shared" ref="E9:F9" si="2">E10+E11</f>
        <v>421716154</v>
      </c>
      <c r="F9" s="65">
        <f t="shared" si="2"/>
        <v>91618584</v>
      </c>
      <c r="G9" s="74"/>
    </row>
    <row r="10" spans="1:7" s="37" customFormat="1" ht="27.75" customHeight="1" x14ac:dyDescent="0.25">
      <c r="A10" s="42">
        <v>1</v>
      </c>
      <c r="B10" s="43"/>
      <c r="C10" s="55" t="s">
        <v>30</v>
      </c>
      <c r="D10" s="62">
        <v>344932588</v>
      </c>
      <c r="E10" s="58">
        <f>246752835+19248597</f>
        <v>266001432</v>
      </c>
      <c r="F10" s="64">
        <f>D10-E10</f>
        <v>78931156</v>
      </c>
      <c r="G10" s="37" t="s">
        <v>49</v>
      </c>
    </row>
    <row r="11" spans="1:7" s="37" customFormat="1" ht="32.25" customHeight="1" x14ac:dyDescent="0.25">
      <c r="A11" s="42">
        <v>2</v>
      </c>
      <c r="B11" s="43"/>
      <c r="C11" s="56" t="s">
        <v>22</v>
      </c>
      <c r="D11" s="62">
        <v>168402150</v>
      </c>
      <c r="E11" s="58">
        <f>154717412+997310</f>
        <v>155714722</v>
      </c>
      <c r="F11" s="64">
        <f>D11-E11</f>
        <v>12687428</v>
      </c>
    </row>
    <row r="12" spans="1:7" s="37" customFormat="1" ht="29.25" customHeight="1" x14ac:dyDescent="0.25">
      <c r="A12" s="45"/>
      <c r="B12" s="88" t="s">
        <v>21</v>
      </c>
      <c r="C12" s="88"/>
      <c r="D12" s="79">
        <f>+SUM(D13:D23)</f>
        <v>3467406146</v>
      </c>
      <c r="E12" s="80">
        <f>+SUM(E13:E23)</f>
        <v>3199165150</v>
      </c>
      <c r="F12" s="81">
        <f>+SUM(F13:F23)</f>
        <v>268240996</v>
      </c>
    </row>
    <row r="13" spans="1:7" s="28" customFormat="1" ht="37.5" customHeight="1" x14ac:dyDescent="0.25">
      <c r="A13" s="27">
        <v>1</v>
      </c>
      <c r="B13" s="44" t="s">
        <v>10</v>
      </c>
      <c r="C13" s="60" t="s">
        <v>38</v>
      </c>
      <c r="D13" s="83">
        <v>279312925</v>
      </c>
      <c r="E13" s="59">
        <v>261867552</v>
      </c>
      <c r="F13" s="82">
        <f>D13-E13</f>
        <v>17445373</v>
      </c>
    </row>
    <row r="14" spans="1:7" s="28" customFormat="1" ht="36.75" customHeight="1" x14ac:dyDescent="0.25">
      <c r="A14" s="27">
        <v>2</v>
      </c>
      <c r="B14" s="44"/>
      <c r="C14" s="60" t="s">
        <v>39</v>
      </c>
      <c r="D14" s="83">
        <v>26324025</v>
      </c>
      <c r="E14" s="83">
        <v>12192014</v>
      </c>
      <c r="F14" s="82">
        <f>D14-E14</f>
        <v>14132011</v>
      </c>
    </row>
    <row r="15" spans="1:7" s="28" customFormat="1" ht="39" customHeight="1" x14ac:dyDescent="0.25">
      <c r="A15" s="27">
        <v>3</v>
      </c>
      <c r="B15" s="44"/>
      <c r="C15" s="60" t="s">
        <v>40</v>
      </c>
      <c r="D15" s="83">
        <v>21693624</v>
      </c>
      <c r="E15" s="83">
        <v>5709222</v>
      </c>
      <c r="F15" s="82">
        <f>D15-E15</f>
        <v>15984402</v>
      </c>
    </row>
    <row r="16" spans="1:7" s="28" customFormat="1" ht="38.25" customHeight="1" x14ac:dyDescent="0.25">
      <c r="A16" s="27">
        <v>4</v>
      </c>
      <c r="B16" s="44"/>
      <c r="C16" s="60" t="s">
        <v>41</v>
      </c>
      <c r="D16" s="59">
        <v>100150926</v>
      </c>
      <c r="E16" s="83">
        <v>93169910</v>
      </c>
      <c r="F16" s="82">
        <f t="shared" ref="F16:F23" si="3">D16-E16</f>
        <v>6981016</v>
      </c>
    </row>
    <row r="17" spans="1:6" s="28" customFormat="1" ht="47.25" customHeight="1" x14ac:dyDescent="0.25">
      <c r="A17" s="27">
        <v>5</v>
      </c>
      <c r="B17" s="44"/>
      <c r="C17" s="60" t="s">
        <v>42</v>
      </c>
      <c r="D17" s="83">
        <v>863150000</v>
      </c>
      <c r="E17" s="83">
        <v>840872822</v>
      </c>
      <c r="F17" s="82">
        <f t="shared" si="3"/>
        <v>22277178</v>
      </c>
    </row>
    <row r="18" spans="1:6" s="28" customFormat="1" ht="49.5" customHeight="1" x14ac:dyDescent="0.25">
      <c r="A18" s="27">
        <v>6</v>
      </c>
      <c r="B18" s="44"/>
      <c r="C18" s="60" t="s">
        <v>43</v>
      </c>
      <c r="D18" s="83">
        <v>360185185</v>
      </c>
      <c r="E18" s="59">
        <v>296606718</v>
      </c>
      <c r="F18" s="82">
        <f t="shared" si="3"/>
        <v>63578467</v>
      </c>
    </row>
    <row r="19" spans="1:6" s="28" customFormat="1" ht="53.25" customHeight="1" x14ac:dyDescent="0.25">
      <c r="A19" s="27">
        <v>7</v>
      </c>
      <c r="B19" s="44"/>
      <c r="C19" s="77" t="s">
        <v>48</v>
      </c>
      <c r="D19" s="59">
        <v>2957000</v>
      </c>
      <c r="E19" s="83">
        <v>192087</v>
      </c>
      <c r="F19" s="82">
        <f t="shared" si="3"/>
        <v>2764913</v>
      </c>
    </row>
    <row r="20" spans="1:6" s="28" customFormat="1" ht="42" customHeight="1" x14ac:dyDescent="0.25">
      <c r="A20" s="27">
        <v>8</v>
      </c>
      <c r="B20" s="44"/>
      <c r="C20" s="60" t="s">
        <v>44</v>
      </c>
      <c r="D20" s="83">
        <v>35988889</v>
      </c>
      <c r="E20" s="83">
        <v>13137845</v>
      </c>
      <c r="F20" s="82">
        <f t="shared" si="3"/>
        <v>22851044</v>
      </c>
    </row>
    <row r="21" spans="1:6" s="28" customFormat="1" ht="43.5" customHeight="1" x14ac:dyDescent="0.25">
      <c r="A21" s="27">
        <v>9</v>
      </c>
      <c r="B21" s="44"/>
      <c r="C21" s="60" t="s">
        <v>45</v>
      </c>
      <c r="D21" s="83">
        <v>45812543</v>
      </c>
      <c r="E21" s="83">
        <v>19858225</v>
      </c>
      <c r="F21" s="82">
        <f t="shared" si="3"/>
        <v>25954318</v>
      </c>
    </row>
    <row r="22" spans="1:6" s="28" customFormat="1" ht="43.5" customHeight="1" x14ac:dyDescent="0.25">
      <c r="A22" s="27">
        <v>10</v>
      </c>
      <c r="B22" s="44"/>
      <c r="C22" s="78" t="s">
        <v>46</v>
      </c>
      <c r="D22" s="59">
        <v>1696125473</v>
      </c>
      <c r="E22" s="59">
        <v>1642539315</v>
      </c>
      <c r="F22" s="82">
        <f t="shared" si="3"/>
        <v>53586158</v>
      </c>
    </row>
    <row r="23" spans="1:6" s="28" customFormat="1" ht="43.5" customHeight="1" x14ac:dyDescent="0.25">
      <c r="A23" s="27">
        <v>11</v>
      </c>
      <c r="B23" s="44"/>
      <c r="C23" s="60" t="s">
        <v>47</v>
      </c>
      <c r="D23" s="59">
        <v>35705556</v>
      </c>
      <c r="E23" s="83">
        <v>13019440</v>
      </c>
      <c r="F23" s="82">
        <f t="shared" si="3"/>
        <v>22686116</v>
      </c>
    </row>
    <row r="24" spans="1:6" s="36" customFormat="1" ht="36" customHeight="1" x14ac:dyDescent="0.25">
      <c r="A24" s="48"/>
      <c r="B24" s="89" t="s">
        <v>11</v>
      </c>
      <c r="C24" s="90"/>
      <c r="D24" s="49">
        <f>+D4+D9+D12</f>
        <v>4566563211</v>
      </c>
      <c r="E24" s="49">
        <f>E4+E9+E12</f>
        <v>3877809353</v>
      </c>
      <c r="F24" s="49">
        <f>F4+F9+F12</f>
        <v>688753858</v>
      </c>
    </row>
    <row r="25" spans="1:6" s="28" customFormat="1" ht="19.5" customHeight="1" x14ac:dyDescent="0.25">
      <c r="D25" s="38"/>
      <c r="F25" s="32"/>
    </row>
    <row r="26" spans="1:6" s="28" customFormat="1" ht="19.5" customHeight="1" x14ac:dyDescent="0.25">
      <c r="C26" s="91" t="s">
        <v>32</v>
      </c>
      <c r="D26" s="91"/>
      <c r="E26" s="30"/>
      <c r="F26" s="32"/>
    </row>
    <row r="27" spans="1:6" s="28" customFormat="1" ht="19.5" customHeight="1" x14ac:dyDescent="0.25">
      <c r="C27" s="85" t="s">
        <v>15</v>
      </c>
      <c r="D27" s="85"/>
      <c r="E27" s="40"/>
      <c r="F27" s="32"/>
    </row>
    <row r="28" spans="1:6" s="28" customFormat="1" ht="19.5" customHeight="1" x14ac:dyDescent="0.25">
      <c r="C28" s="6"/>
      <c r="D28" s="4"/>
      <c r="E28" s="4"/>
      <c r="F28" s="32"/>
    </row>
    <row r="29" spans="1:6" s="28" customFormat="1" ht="19.5" customHeight="1" x14ac:dyDescent="0.25">
      <c r="C29" s="6"/>
      <c r="D29" s="4"/>
      <c r="E29" s="4"/>
      <c r="F29" s="32"/>
    </row>
    <row r="30" spans="1:6" s="28" customFormat="1" ht="19.5" customHeight="1" x14ac:dyDescent="0.25">
      <c r="C30" s="6"/>
      <c r="D30" s="4"/>
      <c r="E30" s="4"/>
      <c r="F30" s="32"/>
    </row>
    <row r="31" spans="1:6" s="28" customFormat="1" ht="19.5" customHeight="1" x14ac:dyDescent="0.25">
      <c r="C31" s="6"/>
      <c r="D31" s="4"/>
      <c r="E31" s="4"/>
      <c r="F31" s="32"/>
    </row>
    <row r="32" spans="1:6" s="28" customFormat="1" ht="19.5" customHeight="1" x14ac:dyDescent="0.25">
      <c r="C32" s="6"/>
      <c r="D32" s="4"/>
      <c r="E32" s="4"/>
      <c r="F32" s="32"/>
    </row>
    <row r="33" spans="3:6" s="28" customFormat="1" ht="19.5" customHeight="1" x14ac:dyDescent="0.25">
      <c r="C33" s="6"/>
      <c r="D33" s="4"/>
      <c r="E33" s="4"/>
      <c r="F33" s="32"/>
    </row>
    <row r="34" spans="3:6" s="28" customFormat="1" ht="19.5" customHeight="1" x14ac:dyDescent="0.25">
      <c r="C34" s="85"/>
      <c r="D34" s="85"/>
      <c r="E34" s="40"/>
      <c r="F34" s="32"/>
    </row>
    <row r="35" spans="3:6" s="28" customFormat="1" ht="19.5" customHeight="1" x14ac:dyDescent="0.25">
      <c r="D35" s="38"/>
      <c r="F35" s="32"/>
    </row>
    <row r="36" spans="3:6" s="28" customFormat="1" ht="19.5" customHeight="1" x14ac:dyDescent="0.25">
      <c r="D36" s="38"/>
      <c r="F36" s="32"/>
    </row>
    <row r="37" spans="3:6" s="28" customFormat="1" ht="19.5" customHeight="1" x14ac:dyDescent="0.25">
      <c r="D37" s="38"/>
      <c r="F37" s="32"/>
    </row>
    <row r="38" spans="3:6" s="28" customFormat="1" ht="19.5" customHeight="1" x14ac:dyDescent="0.25">
      <c r="D38" s="38"/>
      <c r="F38" s="32"/>
    </row>
    <row r="39" spans="3:6" s="28" customFormat="1" ht="19.5" customHeight="1" x14ac:dyDescent="0.25">
      <c r="D39" s="38"/>
      <c r="F39" s="32"/>
    </row>
    <row r="40" spans="3:6" ht="19.5" customHeight="1" x14ac:dyDescent="0.25"/>
    <row r="41" spans="3:6" ht="19.5" customHeight="1" x14ac:dyDescent="0.25"/>
    <row r="42" spans="3:6" ht="19.5" customHeight="1" x14ac:dyDescent="0.25"/>
    <row r="43" spans="3:6" ht="19.5" customHeight="1" x14ac:dyDescent="0.25"/>
    <row r="44" spans="3:6" ht="19.5" customHeight="1" x14ac:dyDescent="0.25"/>
    <row r="45" spans="3:6" ht="19.5" customHeight="1" x14ac:dyDescent="0.25"/>
    <row r="46" spans="3:6" ht="19.5" customHeight="1" x14ac:dyDescent="0.25"/>
    <row r="47" spans="3:6" ht="19.5" customHeight="1" x14ac:dyDescent="0.25"/>
    <row r="48" spans="3:6"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sheetData>
  <mergeCells count="7">
    <mergeCell ref="C34:D34"/>
    <mergeCell ref="A1:D1"/>
    <mergeCell ref="B4:C4"/>
    <mergeCell ref="B12:C12"/>
    <mergeCell ref="B24:C24"/>
    <mergeCell ref="C26:D26"/>
    <mergeCell ref="C27:D27"/>
  </mergeCells>
  <pageMargins left="0.25" right="0.25" top="0.75" bottom="0.75" header="0.3" footer="0.3"/>
  <pageSetup paperSize="9" scale="9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K29"/>
  <sheetViews>
    <sheetView tabSelected="1" topLeftCell="A4" workbookViewId="0">
      <selection activeCell="E24" sqref="E24"/>
    </sheetView>
  </sheetViews>
  <sheetFormatPr defaultRowHeight="16.5" x14ac:dyDescent="0.25"/>
  <cols>
    <col min="1" max="1" width="35.7109375" style="4" customWidth="1"/>
    <col min="2" max="2" width="14.85546875" style="5" customWidth="1"/>
    <col min="3" max="4" width="18.7109375" style="6" customWidth="1"/>
    <col min="5" max="5" width="28.140625" style="6" customWidth="1"/>
    <col min="6" max="6" width="17.28515625" style="4" customWidth="1"/>
    <col min="7" max="7" width="6.85546875" style="5" customWidth="1"/>
    <col min="8" max="8" width="14.5703125" style="6" customWidth="1"/>
    <col min="9" max="10" width="14.28515625" style="4" customWidth="1"/>
    <col min="11" max="11" width="17.85546875" style="6" hidden="1" customWidth="1"/>
    <col min="12" max="255" width="9.140625" style="4"/>
    <col min="256" max="256" width="28.85546875" style="4" customWidth="1"/>
    <col min="257" max="257" width="11" style="4" customWidth="1"/>
    <col min="258" max="258" width="18.7109375" style="4" customWidth="1"/>
    <col min="259" max="259" width="20.85546875" style="4" customWidth="1"/>
    <col min="260" max="260" width="0" style="4" hidden="1" customWidth="1"/>
    <col min="261" max="261" width="17" style="4" customWidth="1"/>
    <col min="262" max="262" width="15.7109375" style="4" customWidth="1"/>
    <col min="263" max="263" width="6.85546875" style="4" customWidth="1"/>
    <col min="264" max="265" width="15.28515625" style="4" customWidth="1"/>
    <col min="266" max="266" width="18.42578125" style="4" customWidth="1"/>
    <col min="267" max="267" width="0" style="4" hidden="1" customWidth="1"/>
    <col min="268" max="511" width="9.140625" style="4"/>
    <col min="512" max="512" width="28.85546875" style="4" customWidth="1"/>
    <col min="513" max="513" width="11" style="4" customWidth="1"/>
    <col min="514" max="514" width="18.7109375" style="4" customWidth="1"/>
    <col min="515" max="515" width="20.85546875" style="4" customWidth="1"/>
    <col min="516" max="516" width="0" style="4" hidden="1" customWidth="1"/>
    <col min="517" max="517" width="17" style="4" customWidth="1"/>
    <col min="518" max="518" width="15.7109375" style="4" customWidth="1"/>
    <col min="519" max="519" width="6.85546875" style="4" customWidth="1"/>
    <col min="520" max="521" width="15.28515625" style="4" customWidth="1"/>
    <col min="522" max="522" width="18.42578125" style="4" customWidth="1"/>
    <col min="523" max="523" width="0" style="4" hidden="1" customWidth="1"/>
    <col min="524" max="767" width="9.140625" style="4"/>
    <col min="768" max="768" width="28.85546875" style="4" customWidth="1"/>
    <col min="769" max="769" width="11" style="4" customWidth="1"/>
    <col min="770" max="770" width="18.7109375" style="4" customWidth="1"/>
    <col min="771" max="771" width="20.85546875" style="4" customWidth="1"/>
    <col min="772" max="772" width="0" style="4" hidden="1" customWidth="1"/>
    <col min="773" max="773" width="17" style="4" customWidth="1"/>
    <col min="774" max="774" width="15.7109375" style="4" customWidth="1"/>
    <col min="775" max="775" width="6.85546875" style="4" customWidth="1"/>
    <col min="776" max="777" width="15.28515625" style="4" customWidth="1"/>
    <col min="778" max="778" width="18.42578125" style="4" customWidth="1"/>
    <col min="779" max="779" width="0" style="4" hidden="1" customWidth="1"/>
    <col min="780" max="1023" width="9.140625" style="4"/>
    <col min="1024" max="1024" width="28.85546875" style="4" customWidth="1"/>
    <col min="1025" max="1025" width="11" style="4" customWidth="1"/>
    <col min="1026" max="1026" width="18.7109375" style="4" customWidth="1"/>
    <col min="1027" max="1027" width="20.85546875" style="4" customWidth="1"/>
    <col min="1028" max="1028" width="0" style="4" hidden="1" customWidth="1"/>
    <col min="1029" max="1029" width="17" style="4" customWidth="1"/>
    <col min="1030" max="1030" width="15.7109375" style="4" customWidth="1"/>
    <col min="1031" max="1031" width="6.85546875" style="4" customWidth="1"/>
    <col min="1032" max="1033" width="15.28515625" style="4" customWidth="1"/>
    <col min="1034" max="1034" width="18.42578125" style="4" customWidth="1"/>
    <col min="1035" max="1035" width="0" style="4" hidden="1" customWidth="1"/>
    <col min="1036" max="1279" width="9.140625" style="4"/>
    <col min="1280" max="1280" width="28.85546875" style="4" customWidth="1"/>
    <col min="1281" max="1281" width="11" style="4" customWidth="1"/>
    <col min="1282" max="1282" width="18.7109375" style="4" customWidth="1"/>
    <col min="1283" max="1283" width="20.85546875" style="4" customWidth="1"/>
    <col min="1284" max="1284" width="0" style="4" hidden="1" customWidth="1"/>
    <col min="1285" max="1285" width="17" style="4" customWidth="1"/>
    <col min="1286" max="1286" width="15.7109375" style="4" customWidth="1"/>
    <col min="1287" max="1287" width="6.85546875" style="4" customWidth="1"/>
    <col min="1288" max="1289" width="15.28515625" style="4" customWidth="1"/>
    <col min="1290" max="1290" width="18.42578125" style="4" customWidth="1"/>
    <col min="1291" max="1291" width="0" style="4" hidden="1" customWidth="1"/>
    <col min="1292" max="1535" width="9.140625" style="4"/>
    <col min="1536" max="1536" width="28.85546875" style="4" customWidth="1"/>
    <col min="1537" max="1537" width="11" style="4" customWidth="1"/>
    <col min="1538" max="1538" width="18.7109375" style="4" customWidth="1"/>
    <col min="1539" max="1539" width="20.85546875" style="4" customWidth="1"/>
    <col min="1540" max="1540" width="0" style="4" hidden="1" customWidth="1"/>
    <col min="1541" max="1541" width="17" style="4" customWidth="1"/>
    <col min="1542" max="1542" width="15.7109375" style="4" customWidth="1"/>
    <col min="1543" max="1543" width="6.85546875" style="4" customWidth="1"/>
    <col min="1544" max="1545" width="15.28515625" style="4" customWidth="1"/>
    <col min="1546" max="1546" width="18.42578125" style="4" customWidth="1"/>
    <col min="1547" max="1547" width="0" style="4" hidden="1" customWidth="1"/>
    <col min="1548" max="1791" width="9.140625" style="4"/>
    <col min="1792" max="1792" width="28.85546875" style="4" customWidth="1"/>
    <col min="1793" max="1793" width="11" style="4" customWidth="1"/>
    <col min="1794" max="1794" width="18.7109375" style="4" customWidth="1"/>
    <col min="1795" max="1795" width="20.85546875" style="4" customWidth="1"/>
    <col min="1796" max="1796" width="0" style="4" hidden="1" customWidth="1"/>
    <col min="1797" max="1797" width="17" style="4" customWidth="1"/>
    <col min="1798" max="1798" width="15.7109375" style="4" customWidth="1"/>
    <col min="1799" max="1799" width="6.85546875" style="4" customWidth="1"/>
    <col min="1800" max="1801" width="15.28515625" style="4" customWidth="1"/>
    <col min="1802" max="1802" width="18.42578125" style="4" customWidth="1"/>
    <col min="1803" max="1803" width="0" style="4" hidden="1" customWidth="1"/>
    <col min="1804" max="2047" width="9.140625" style="4"/>
    <col min="2048" max="2048" width="28.85546875" style="4" customWidth="1"/>
    <col min="2049" max="2049" width="11" style="4" customWidth="1"/>
    <col min="2050" max="2050" width="18.7109375" style="4" customWidth="1"/>
    <col min="2051" max="2051" width="20.85546875" style="4" customWidth="1"/>
    <col min="2052" max="2052" width="0" style="4" hidden="1" customWidth="1"/>
    <col min="2053" max="2053" width="17" style="4" customWidth="1"/>
    <col min="2054" max="2054" width="15.7109375" style="4" customWidth="1"/>
    <col min="2055" max="2055" width="6.85546875" style="4" customWidth="1"/>
    <col min="2056" max="2057" width="15.28515625" style="4" customWidth="1"/>
    <col min="2058" max="2058" width="18.42578125" style="4" customWidth="1"/>
    <col min="2059" max="2059" width="0" style="4" hidden="1" customWidth="1"/>
    <col min="2060" max="2303" width="9.140625" style="4"/>
    <col min="2304" max="2304" width="28.85546875" style="4" customWidth="1"/>
    <col min="2305" max="2305" width="11" style="4" customWidth="1"/>
    <col min="2306" max="2306" width="18.7109375" style="4" customWidth="1"/>
    <col min="2307" max="2307" width="20.85546875" style="4" customWidth="1"/>
    <col min="2308" max="2308" width="0" style="4" hidden="1" customWidth="1"/>
    <col min="2309" max="2309" width="17" style="4" customWidth="1"/>
    <col min="2310" max="2310" width="15.7109375" style="4" customWidth="1"/>
    <col min="2311" max="2311" width="6.85546875" style="4" customWidth="1"/>
    <col min="2312" max="2313" width="15.28515625" style="4" customWidth="1"/>
    <col min="2314" max="2314" width="18.42578125" style="4" customWidth="1"/>
    <col min="2315" max="2315" width="0" style="4" hidden="1" customWidth="1"/>
    <col min="2316" max="2559" width="9.140625" style="4"/>
    <col min="2560" max="2560" width="28.85546875" style="4" customWidth="1"/>
    <col min="2561" max="2561" width="11" style="4" customWidth="1"/>
    <col min="2562" max="2562" width="18.7109375" style="4" customWidth="1"/>
    <col min="2563" max="2563" width="20.85546875" style="4" customWidth="1"/>
    <col min="2564" max="2564" width="0" style="4" hidden="1" customWidth="1"/>
    <col min="2565" max="2565" width="17" style="4" customWidth="1"/>
    <col min="2566" max="2566" width="15.7109375" style="4" customWidth="1"/>
    <col min="2567" max="2567" width="6.85546875" style="4" customWidth="1"/>
    <col min="2568" max="2569" width="15.28515625" style="4" customWidth="1"/>
    <col min="2570" max="2570" width="18.42578125" style="4" customWidth="1"/>
    <col min="2571" max="2571" width="0" style="4" hidden="1" customWidth="1"/>
    <col min="2572" max="2815" width="9.140625" style="4"/>
    <col min="2816" max="2816" width="28.85546875" style="4" customWidth="1"/>
    <col min="2817" max="2817" width="11" style="4" customWidth="1"/>
    <col min="2818" max="2818" width="18.7109375" style="4" customWidth="1"/>
    <col min="2819" max="2819" width="20.85546875" style="4" customWidth="1"/>
    <col min="2820" max="2820" width="0" style="4" hidden="1" customWidth="1"/>
    <col min="2821" max="2821" width="17" style="4" customWidth="1"/>
    <col min="2822" max="2822" width="15.7109375" style="4" customWidth="1"/>
    <col min="2823" max="2823" width="6.85546875" style="4" customWidth="1"/>
    <col min="2824" max="2825" width="15.28515625" style="4" customWidth="1"/>
    <col min="2826" max="2826" width="18.42578125" style="4" customWidth="1"/>
    <col min="2827" max="2827" width="0" style="4" hidden="1" customWidth="1"/>
    <col min="2828" max="3071" width="9.140625" style="4"/>
    <col min="3072" max="3072" width="28.85546875" style="4" customWidth="1"/>
    <col min="3073" max="3073" width="11" style="4" customWidth="1"/>
    <col min="3074" max="3074" width="18.7109375" style="4" customWidth="1"/>
    <col min="3075" max="3075" width="20.85546875" style="4" customWidth="1"/>
    <col min="3076" max="3076" width="0" style="4" hidden="1" customWidth="1"/>
    <col min="3077" max="3077" width="17" style="4" customWidth="1"/>
    <col min="3078" max="3078" width="15.7109375" style="4" customWidth="1"/>
    <col min="3079" max="3079" width="6.85546875" style="4" customWidth="1"/>
    <col min="3080" max="3081" width="15.28515625" style="4" customWidth="1"/>
    <col min="3082" max="3082" width="18.42578125" style="4" customWidth="1"/>
    <col min="3083" max="3083" width="0" style="4" hidden="1" customWidth="1"/>
    <col min="3084" max="3327" width="9.140625" style="4"/>
    <col min="3328" max="3328" width="28.85546875" style="4" customWidth="1"/>
    <col min="3329" max="3329" width="11" style="4" customWidth="1"/>
    <col min="3330" max="3330" width="18.7109375" style="4" customWidth="1"/>
    <col min="3331" max="3331" width="20.85546875" style="4" customWidth="1"/>
    <col min="3332" max="3332" width="0" style="4" hidden="1" customWidth="1"/>
    <col min="3333" max="3333" width="17" style="4" customWidth="1"/>
    <col min="3334" max="3334" width="15.7109375" style="4" customWidth="1"/>
    <col min="3335" max="3335" width="6.85546875" style="4" customWidth="1"/>
    <col min="3336" max="3337" width="15.28515625" style="4" customWidth="1"/>
    <col min="3338" max="3338" width="18.42578125" style="4" customWidth="1"/>
    <col min="3339" max="3339" width="0" style="4" hidden="1" customWidth="1"/>
    <col min="3340" max="3583" width="9.140625" style="4"/>
    <col min="3584" max="3584" width="28.85546875" style="4" customWidth="1"/>
    <col min="3585" max="3585" width="11" style="4" customWidth="1"/>
    <col min="3586" max="3586" width="18.7109375" style="4" customWidth="1"/>
    <col min="3587" max="3587" width="20.85546875" style="4" customWidth="1"/>
    <col min="3588" max="3588" width="0" style="4" hidden="1" customWidth="1"/>
    <col min="3589" max="3589" width="17" style="4" customWidth="1"/>
    <col min="3590" max="3590" width="15.7109375" style="4" customWidth="1"/>
    <col min="3591" max="3591" width="6.85546875" style="4" customWidth="1"/>
    <col min="3592" max="3593" width="15.28515625" style="4" customWidth="1"/>
    <col min="3594" max="3594" width="18.42578125" style="4" customWidth="1"/>
    <col min="3595" max="3595" width="0" style="4" hidden="1" customWidth="1"/>
    <col min="3596" max="3839" width="9.140625" style="4"/>
    <col min="3840" max="3840" width="28.85546875" style="4" customWidth="1"/>
    <col min="3841" max="3841" width="11" style="4" customWidth="1"/>
    <col min="3842" max="3842" width="18.7109375" style="4" customWidth="1"/>
    <col min="3843" max="3843" width="20.85546875" style="4" customWidth="1"/>
    <col min="3844" max="3844" width="0" style="4" hidden="1" customWidth="1"/>
    <col min="3845" max="3845" width="17" style="4" customWidth="1"/>
    <col min="3846" max="3846" width="15.7109375" style="4" customWidth="1"/>
    <col min="3847" max="3847" width="6.85546875" style="4" customWidth="1"/>
    <col min="3848" max="3849" width="15.28515625" style="4" customWidth="1"/>
    <col min="3850" max="3850" width="18.42578125" style="4" customWidth="1"/>
    <col min="3851" max="3851" width="0" style="4" hidden="1" customWidth="1"/>
    <col min="3852" max="4095" width="9.140625" style="4"/>
    <col min="4096" max="4096" width="28.85546875" style="4" customWidth="1"/>
    <col min="4097" max="4097" width="11" style="4" customWidth="1"/>
    <col min="4098" max="4098" width="18.7109375" style="4" customWidth="1"/>
    <col min="4099" max="4099" width="20.85546875" style="4" customWidth="1"/>
    <col min="4100" max="4100" width="0" style="4" hidden="1" customWidth="1"/>
    <col min="4101" max="4101" width="17" style="4" customWidth="1"/>
    <col min="4102" max="4102" width="15.7109375" style="4" customWidth="1"/>
    <col min="4103" max="4103" width="6.85546875" style="4" customWidth="1"/>
    <col min="4104" max="4105" width="15.28515625" style="4" customWidth="1"/>
    <col min="4106" max="4106" width="18.42578125" style="4" customWidth="1"/>
    <col min="4107" max="4107" width="0" style="4" hidden="1" customWidth="1"/>
    <col min="4108" max="4351" width="9.140625" style="4"/>
    <col min="4352" max="4352" width="28.85546875" style="4" customWidth="1"/>
    <col min="4353" max="4353" width="11" style="4" customWidth="1"/>
    <col min="4354" max="4354" width="18.7109375" style="4" customWidth="1"/>
    <col min="4355" max="4355" width="20.85546875" style="4" customWidth="1"/>
    <col min="4356" max="4356" width="0" style="4" hidden="1" customWidth="1"/>
    <col min="4357" max="4357" width="17" style="4" customWidth="1"/>
    <col min="4358" max="4358" width="15.7109375" style="4" customWidth="1"/>
    <col min="4359" max="4359" width="6.85546875" style="4" customWidth="1"/>
    <col min="4360" max="4361" width="15.28515625" style="4" customWidth="1"/>
    <col min="4362" max="4362" width="18.42578125" style="4" customWidth="1"/>
    <col min="4363" max="4363" width="0" style="4" hidden="1" customWidth="1"/>
    <col min="4364" max="4607" width="9.140625" style="4"/>
    <col min="4608" max="4608" width="28.85546875" style="4" customWidth="1"/>
    <col min="4609" max="4609" width="11" style="4" customWidth="1"/>
    <col min="4610" max="4610" width="18.7109375" style="4" customWidth="1"/>
    <col min="4611" max="4611" width="20.85546875" style="4" customWidth="1"/>
    <col min="4612" max="4612" width="0" style="4" hidden="1" customWidth="1"/>
    <col min="4613" max="4613" width="17" style="4" customWidth="1"/>
    <col min="4614" max="4614" width="15.7109375" style="4" customWidth="1"/>
    <col min="4615" max="4615" width="6.85546875" style="4" customWidth="1"/>
    <col min="4616" max="4617" width="15.28515625" style="4" customWidth="1"/>
    <col min="4618" max="4618" width="18.42578125" style="4" customWidth="1"/>
    <col min="4619" max="4619" width="0" style="4" hidden="1" customWidth="1"/>
    <col min="4620" max="4863" width="9.140625" style="4"/>
    <col min="4864" max="4864" width="28.85546875" style="4" customWidth="1"/>
    <col min="4865" max="4865" width="11" style="4" customWidth="1"/>
    <col min="4866" max="4866" width="18.7109375" style="4" customWidth="1"/>
    <col min="4867" max="4867" width="20.85546875" style="4" customWidth="1"/>
    <col min="4868" max="4868" width="0" style="4" hidden="1" customWidth="1"/>
    <col min="4869" max="4869" width="17" style="4" customWidth="1"/>
    <col min="4870" max="4870" width="15.7109375" style="4" customWidth="1"/>
    <col min="4871" max="4871" width="6.85546875" style="4" customWidth="1"/>
    <col min="4872" max="4873" width="15.28515625" style="4" customWidth="1"/>
    <col min="4874" max="4874" width="18.42578125" style="4" customWidth="1"/>
    <col min="4875" max="4875" width="0" style="4" hidden="1" customWidth="1"/>
    <col min="4876" max="5119" width="9.140625" style="4"/>
    <col min="5120" max="5120" width="28.85546875" style="4" customWidth="1"/>
    <col min="5121" max="5121" width="11" style="4" customWidth="1"/>
    <col min="5122" max="5122" width="18.7109375" style="4" customWidth="1"/>
    <col min="5123" max="5123" width="20.85546875" style="4" customWidth="1"/>
    <col min="5124" max="5124" width="0" style="4" hidden="1" customWidth="1"/>
    <col min="5125" max="5125" width="17" style="4" customWidth="1"/>
    <col min="5126" max="5126" width="15.7109375" style="4" customWidth="1"/>
    <col min="5127" max="5127" width="6.85546875" style="4" customWidth="1"/>
    <col min="5128" max="5129" width="15.28515625" style="4" customWidth="1"/>
    <col min="5130" max="5130" width="18.42578125" style="4" customWidth="1"/>
    <col min="5131" max="5131" width="0" style="4" hidden="1" customWidth="1"/>
    <col min="5132" max="5375" width="9.140625" style="4"/>
    <col min="5376" max="5376" width="28.85546875" style="4" customWidth="1"/>
    <col min="5377" max="5377" width="11" style="4" customWidth="1"/>
    <col min="5378" max="5378" width="18.7109375" style="4" customWidth="1"/>
    <col min="5379" max="5379" width="20.85546875" style="4" customWidth="1"/>
    <col min="5380" max="5380" width="0" style="4" hidden="1" customWidth="1"/>
    <col min="5381" max="5381" width="17" style="4" customWidth="1"/>
    <col min="5382" max="5382" width="15.7109375" style="4" customWidth="1"/>
    <col min="5383" max="5383" width="6.85546875" style="4" customWidth="1"/>
    <col min="5384" max="5385" width="15.28515625" style="4" customWidth="1"/>
    <col min="5386" max="5386" width="18.42578125" style="4" customWidth="1"/>
    <col min="5387" max="5387" width="0" style="4" hidden="1" customWidth="1"/>
    <col min="5388" max="5631" width="9.140625" style="4"/>
    <col min="5632" max="5632" width="28.85546875" style="4" customWidth="1"/>
    <col min="5633" max="5633" width="11" style="4" customWidth="1"/>
    <col min="5634" max="5634" width="18.7109375" style="4" customWidth="1"/>
    <col min="5635" max="5635" width="20.85546875" style="4" customWidth="1"/>
    <col min="5636" max="5636" width="0" style="4" hidden="1" customWidth="1"/>
    <col min="5637" max="5637" width="17" style="4" customWidth="1"/>
    <col min="5638" max="5638" width="15.7109375" style="4" customWidth="1"/>
    <col min="5639" max="5639" width="6.85546875" style="4" customWidth="1"/>
    <col min="5640" max="5641" width="15.28515625" style="4" customWidth="1"/>
    <col min="5642" max="5642" width="18.42578125" style="4" customWidth="1"/>
    <col min="5643" max="5643" width="0" style="4" hidden="1" customWidth="1"/>
    <col min="5644" max="5887" width="9.140625" style="4"/>
    <col min="5888" max="5888" width="28.85546875" style="4" customWidth="1"/>
    <col min="5889" max="5889" width="11" style="4" customWidth="1"/>
    <col min="5890" max="5890" width="18.7109375" style="4" customWidth="1"/>
    <col min="5891" max="5891" width="20.85546875" style="4" customWidth="1"/>
    <col min="5892" max="5892" width="0" style="4" hidden="1" customWidth="1"/>
    <col min="5893" max="5893" width="17" style="4" customWidth="1"/>
    <col min="5894" max="5894" width="15.7109375" style="4" customWidth="1"/>
    <col min="5895" max="5895" width="6.85546875" style="4" customWidth="1"/>
    <col min="5896" max="5897" width="15.28515625" style="4" customWidth="1"/>
    <col min="5898" max="5898" width="18.42578125" style="4" customWidth="1"/>
    <col min="5899" max="5899" width="0" style="4" hidden="1" customWidth="1"/>
    <col min="5900" max="6143" width="9.140625" style="4"/>
    <col min="6144" max="6144" width="28.85546875" style="4" customWidth="1"/>
    <col min="6145" max="6145" width="11" style="4" customWidth="1"/>
    <col min="6146" max="6146" width="18.7109375" style="4" customWidth="1"/>
    <col min="6147" max="6147" width="20.85546875" style="4" customWidth="1"/>
    <col min="6148" max="6148" width="0" style="4" hidden="1" customWidth="1"/>
    <col min="6149" max="6149" width="17" style="4" customWidth="1"/>
    <col min="6150" max="6150" width="15.7109375" style="4" customWidth="1"/>
    <col min="6151" max="6151" width="6.85546875" style="4" customWidth="1"/>
    <col min="6152" max="6153" width="15.28515625" style="4" customWidth="1"/>
    <col min="6154" max="6154" width="18.42578125" style="4" customWidth="1"/>
    <col min="6155" max="6155" width="0" style="4" hidden="1" customWidth="1"/>
    <col min="6156" max="6399" width="9.140625" style="4"/>
    <col min="6400" max="6400" width="28.85546875" style="4" customWidth="1"/>
    <col min="6401" max="6401" width="11" style="4" customWidth="1"/>
    <col min="6402" max="6402" width="18.7109375" style="4" customWidth="1"/>
    <col min="6403" max="6403" width="20.85546875" style="4" customWidth="1"/>
    <col min="6404" max="6404" width="0" style="4" hidden="1" customWidth="1"/>
    <col min="6405" max="6405" width="17" style="4" customWidth="1"/>
    <col min="6406" max="6406" width="15.7109375" style="4" customWidth="1"/>
    <col min="6407" max="6407" width="6.85546875" style="4" customWidth="1"/>
    <col min="6408" max="6409" width="15.28515625" style="4" customWidth="1"/>
    <col min="6410" max="6410" width="18.42578125" style="4" customWidth="1"/>
    <col min="6411" max="6411" width="0" style="4" hidden="1" customWidth="1"/>
    <col min="6412" max="6655" width="9.140625" style="4"/>
    <col min="6656" max="6656" width="28.85546875" style="4" customWidth="1"/>
    <col min="6657" max="6657" width="11" style="4" customWidth="1"/>
    <col min="6658" max="6658" width="18.7109375" style="4" customWidth="1"/>
    <col min="6659" max="6659" width="20.85546875" style="4" customWidth="1"/>
    <col min="6660" max="6660" width="0" style="4" hidden="1" customWidth="1"/>
    <col min="6661" max="6661" width="17" style="4" customWidth="1"/>
    <col min="6662" max="6662" width="15.7109375" style="4" customWidth="1"/>
    <col min="6663" max="6663" width="6.85546875" style="4" customWidth="1"/>
    <col min="6664" max="6665" width="15.28515625" style="4" customWidth="1"/>
    <col min="6666" max="6666" width="18.42578125" style="4" customWidth="1"/>
    <col min="6667" max="6667" width="0" style="4" hidden="1" customWidth="1"/>
    <col min="6668" max="6911" width="9.140625" style="4"/>
    <col min="6912" max="6912" width="28.85546875" style="4" customWidth="1"/>
    <col min="6913" max="6913" width="11" style="4" customWidth="1"/>
    <col min="6914" max="6914" width="18.7109375" style="4" customWidth="1"/>
    <col min="6915" max="6915" width="20.85546875" style="4" customWidth="1"/>
    <col min="6916" max="6916" width="0" style="4" hidden="1" customWidth="1"/>
    <col min="6917" max="6917" width="17" style="4" customWidth="1"/>
    <col min="6918" max="6918" width="15.7109375" style="4" customWidth="1"/>
    <col min="6919" max="6919" width="6.85546875" style="4" customWidth="1"/>
    <col min="6920" max="6921" width="15.28515625" style="4" customWidth="1"/>
    <col min="6922" max="6922" width="18.42578125" style="4" customWidth="1"/>
    <col min="6923" max="6923" width="0" style="4" hidden="1" customWidth="1"/>
    <col min="6924" max="7167" width="9.140625" style="4"/>
    <col min="7168" max="7168" width="28.85546875" style="4" customWidth="1"/>
    <col min="7169" max="7169" width="11" style="4" customWidth="1"/>
    <col min="7170" max="7170" width="18.7109375" style="4" customWidth="1"/>
    <col min="7171" max="7171" width="20.85546875" style="4" customWidth="1"/>
    <col min="7172" max="7172" width="0" style="4" hidden="1" customWidth="1"/>
    <col min="7173" max="7173" width="17" style="4" customWidth="1"/>
    <col min="7174" max="7174" width="15.7109375" style="4" customWidth="1"/>
    <col min="7175" max="7175" width="6.85546875" style="4" customWidth="1"/>
    <col min="7176" max="7177" width="15.28515625" style="4" customWidth="1"/>
    <col min="7178" max="7178" width="18.42578125" style="4" customWidth="1"/>
    <col min="7179" max="7179" width="0" style="4" hidden="1" customWidth="1"/>
    <col min="7180" max="7423" width="9.140625" style="4"/>
    <col min="7424" max="7424" width="28.85546875" style="4" customWidth="1"/>
    <col min="7425" max="7425" width="11" style="4" customWidth="1"/>
    <col min="7426" max="7426" width="18.7109375" style="4" customWidth="1"/>
    <col min="7427" max="7427" width="20.85546875" style="4" customWidth="1"/>
    <col min="7428" max="7428" width="0" style="4" hidden="1" customWidth="1"/>
    <col min="7429" max="7429" width="17" style="4" customWidth="1"/>
    <col min="7430" max="7430" width="15.7109375" style="4" customWidth="1"/>
    <col min="7431" max="7431" width="6.85546875" style="4" customWidth="1"/>
    <col min="7432" max="7433" width="15.28515625" style="4" customWidth="1"/>
    <col min="7434" max="7434" width="18.42578125" style="4" customWidth="1"/>
    <col min="7435" max="7435" width="0" style="4" hidden="1" customWidth="1"/>
    <col min="7436" max="7679" width="9.140625" style="4"/>
    <col min="7680" max="7680" width="28.85546875" style="4" customWidth="1"/>
    <col min="7681" max="7681" width="11" style="4" customWidth="1"/>
    <col min="7682" max="7682" width="18.7109375" style="4" customWidth="1"/>
    <col min="7683" max="7683" width="20.85546875" style="4" customWidth="1"/>
    <col min="7684" max="7684" width="0" style="4" hidden="1" customWidth="1"/>
    <col min="7685" max="7685" width="17" style="4" customWidth="1"/>
    <col min="7686" max="7686" width="15.7109375" style="4" customWidth="1"/>
    <col min="7687" max="7687" width="6.85546875" style="4" customWidth="1"/>
    <col min="7688" max="7689" width="15.28515625" style="4" customWidth="1"/>
    <col min="7690" max="7690" width="18.42578125" style="4" customWidth="1"/>
    <col min="7691" max="7691" width="0" style="4" hidden="1" customWidth="1"/>
    <col min="7692" max="7935" width="9.140625" style="4"/>
    <col min="7936" max="7936" width="28.85546875" style="4" customWidth="1"/>
    <col min="7937" max="7937" width="11" style="4" customWidth="1"/>
    <col min="7938" max="7938" width="18.7109375" style="4" customWidth="1"/>
    <col min="7939" max="7939" width="20.85546875" style="4" customWidth="1"/>
    <col min="7940" max="7940" width="0" style="4" hidden="1" customWidth="1"/>
    <col min="7941" max="7941" width="17" style="4" customWidth="1"/>
    <col min="7942" max="7942" width="15.7109375" style="4" customWidth="1"/>
    <col min="7943" max="7943" width="6.85546875" style="4" customWidth="1"/>
    <col min="7944" max="7945" width="15.28515625" style="4" customWidth="1"/>
    <col min="7946" max="7946" width="18.42578125" style="4" customWidth="1"/>
    <col min="7947" max="7947" width="0" style="4" hidden="1" customWidth="1"/>
    <col min="7948" max="8191" width="9.140625" style="4"/>
    <col min="8192" max="8192" width="28.85546875" style="4" customWidth="1"/>
    <col min="8193" max="8193" width="11" style="4" customWidth="1"/>
    <col min="8194" max="8194" width="18.7109375" style="4" customWidth="1"/>
    <col min="8195" max="8195" width="20.85546875" style="4" customWidth="1"/>
    <col min="8196" max="8196" width="0" style="4" hidden="1" customWidth="1"/>
    <col min="8197" max="8197" width="17" style="4" customWidth="1"/>
    <col min="8198" max="8198" width="15.7109375" style="4" customWidth="1"/>
    <col min="8199" max="8199" width="6.85546875" style="4" customWidth="1"/>
    <col min="8200" max="8201" width="15.28515625" style="4" customWidth="1"/>
    <col min="8202" max="8202" width="18.42578125" style="4" customWidth="1"/>
    <col min="8203" max="8203" width="0" style="4" hidden="1" customWidth="1"/>
    <col min="8204" max="8447" width="9.140625" style="4"/>
    <col min="8448" max="8448" width="28.85546875" style="4" customWidth="1"/>
    <col min="8449" max="8449" width="11" style="4" customWidth="1"/>
    <col min="8450" max="8450" width="18.7109375" style="4" customWidth="1"/>
    <col min="8451" max="8451" width="20.85546875" style="4" customWidth="1"/>
    <col min="8452" max="8452" width="0" style="4" hidden="1" customWidth="1"/>
    <col min="8453" max="8453" width="17" style="4" customWidth="1"/>
    <col min="8454" max="8454" width="15.7109375" style="4" customWidth="1"/>
    <col min="8455" max="8455" width="6.85546875" style="4" customWidth="1"/>
    <col min="8456" max="8457" width="15.28515625" style="4" customWidth="1"/>
    <col min="8458" max="8458" width="18.42578125" style="4" customWidth="1"/>
    <col min="8459" max="8459" width="0" style="4" hidden="1" customWidth="1"/>
    <col min="8460" max="8703" width="9.140625" style="4"/>
    <col min="8704" max="8704" width="28.85546875" style="4" customWidth="1"/>
    <col min="8705" max="8705" width="11" style="4" customWidth="1"/>
    <col min="8706" max="8706" width="18.7109375" style="4" customWidth="1"/>
    <col min="8707" max="8707" width="20.85546875" style="4" customWidth="1"/>
    <col min="8708" max="8708" width="0" style="4" hidden="1" customWidth="1"/>
    <col min="8709" max="8709" width="17" style="4" customWidth="1"/>
    <col min="8710" max="8710" width="15.7109375" style="4" customWidth="1"/>
    <col min="8711" max="8711" width="6.85546875" style="4" customWidth="1"/>
    <col min="8712" max="8713" width="15.28515625" style="4" customWidth="1"/>
    <col min="8714" max="8714" width="18.42578125" style="4" customWidth="1"/>
    <col min="8715" max="8715" width="0" style="4" hidden="1" customWidth="1"/>
    <col min="8716" max="8959" width="9.140625" style="4"/>
    <col min="8960" max="8960" width="28.85546875" style="4" customWidth="1"/>
    <col min="8961" max="8961" width="11" style="4" customWidth="1"/>
    <col min="8962" max="8962" width="18.7109375" style="4" customWidth="1"/>
    <col min="8963" max="8963" width="20.85546875" style="4" customWidth="1"/>
    <col min="8964" max="8964" width="0" style="4" hidden="1" customWidth="1"/>
    <col min="8965" max="8965" width="17" style="4" customWidth="1"/>
    <col min="8966" max="8966" width="15.7109375" style="4" customWidth="1"/>
    <col min="8967" max="8967" width="6.85546875" style="4" customWidth="1"/>
    <col min="8968" max="8969" width="15.28515625" style="4" customWidth="1"/>
    <col min="8970" max="8970" width="18.42578125" style="4" customWidth="1"/>
    <col min="8971" max="8971" width="0" style="4" hidden="1" customWidth="1"/>
    <col min="8972" max="9215" width="9.140625" style="4"/>
    <col min="9216" max="9216" width="28.85546875" style="4" customWidth="1"/>
    <col min="9217" max="9217" width="11" style="4" customWidth="1"/>
    <col min="9218" max="9218" width="18.7109375" style="4" customWidth="1"/>
    <col min="9219" max="9219" width="20.85546875" style="4" customWidth="1"/>
    <col min="9220" max="9220" width="0" style="4" hidden="1" customWidth="1"/>
    <col min="9221" max="9221" width="17" style="4" customWidth="1"/>
    <col min="9222" max="9222" width="15.7109375" style="4" customWidth="1"/>
    <col min="9223" max="9223" width="6.85546875" style="4" customWidth="1"/>
    <col min="9224" max="9225" width="15.28515625" style="4" customWidth="1"/>
    <col min="9226" max="9226" width="18.42578125" style="4" customWidth="1"/>
    <col min="9227" max="9227" width="0" style="4" hidden="1" customWidth="1"/>
    <col min="9228" max="9471" width="9.140625" style="4"/>
    <col min="9472" max="9472" width="28.85546875" style="4" customWidth="1"/>
    <col min="9473" max="9473" width="11" style="4" customWidth="1"/>
    <col min="9474" max="9474" width="18.7109375" style="4" customWidth="1"/>
    <col min="9475" max="9475" width="20.85546875" style="4" customWidth="1"/>
    <col min="9476" max="9476" width="0" style="4" hidden="1" customWidth="1"/>
    <col min="9477" max="9477" width="17" style="4" customWidth="1"/>
    <col min="9478" max="9478" width="15.7109375" style="4" customWidth="1"/>
    <col min="9479" max="9479" width="6.85546875" style="4" customWidth="1"/>
    <col min="9480" max="9481" width="15.28515625" style="4" customWidth="1"/>
    <col min="9482" max="9482" width="18.42578125" style="4" customWidth="1"/>
    <col min="9483" max="9483" width="0" style="4" hidden="1" customWidth="1"/>
    <col min="9484" max="9727" width="9.140625" style="4"/>
    <col min="9728" max="9728" width="28.85546875" style="4" customWidth="1"/>
    <col min="9729" max="9729" width="11" style="4" customWidth="1"/>
    <col min="9730" max="9730" width="18.7109375" style="4" customWidth="1"/>
    <col min="9731" max="9731" width="20.85546875" style="4" customWidth="1"/>
    <col min="9732" max="9732" width="0" style="4" hidden="1" customWidth="1"/>
    <col min="9733" max="9733" width="17" style="4" customWidth="1"/>
    <col min="9734" max="9734" width="15.7109375" style="4" customWidth="1"/>
    <col min="9735" max="9735" width="6.85546875" style="4" customWidth="1"/>
    <col min="9736" max="9737" width="15.28515625" style="4" customWidth="1"/>
    <col min="9738" max="9738" width="18.42578125" style="4" customWidth="1"/>
    <col min="9739" max="9739" width="0" style="4" hidden="1" customWidth="1"/>
    <col min="9740" max="9983" width="9.140625" style="4"/>
    <col min="9984" max="9984" width="28.85546875" style="4" customWidth="1"/>
    <col min="9985" max="9985" width="11" style="4" customWidth="1"/>
    <col min="9986" max="9986" width="18.7109375" style="4" customWidth="1"/>
    <col min="9987" max="9987" width="20.85546875" style="4" customWidth="1"/>
    <col min="9988" max="9988" width="0" style="4" hidden="1" customWidth="1"/>
    <col min="9989" max="9989" width="17" style="4" customWidth="1"/>
    <col min="9990" max="9990" width="15.7109375" style="4" customWidth="1"/>
    <col min="9991" max="9991" width="6.85546875" style="4" customWidth="1"/>
    <col min="9992" max="9993" width="15.28515625" style="4" customWidth="1"/>
    <col min="9994" max="9994" width="18.42578125" style="4" customWidth="1"/>
    <col min="9995" max="9995" width="0" style="4" hidden="1" customWidth="1"/>
    <col min="9996" max="10239" width="9.140625" style="4"/>
    <col min="10240" max="10240" width="28.85546875" style="4" customWidth="1"/>
    <col min="10241" max="10241" width="11" style="4" customWidth="1"/>
    <col min="10242" max="10242" width="18.7109375" style="4" customWidth="1"/>
    <col min="10243" max="10243" width="20.85546875" style="4" customWidth="1"/>
    <col min="10244" max="10244" width="0" style="4" hidden="1" customWidth="1"/>
    <col min="10245" max="10245" width="17" style="4" customWidth="1"/>
    <col min="10246" max="10246" width="15.7109375" style="4" customWidth="1"/>
    <col min="10247" max="10247" width="6.85546875" style="4" customWidth="1"/>
    <col min="10248" max="10249" width="15.28515625" style="4" customWidth="1"/>
    <col min="10250" max="10250" width="18.42578125" style="4" customWidth="1"/>
    <col min="10251" max="10251" width="0" style="4" hidden="1" customWidth="1"/>
    <col min="10252" max="10495" width="9.140625" style="4"/>
    <col min="10496" max="10496" width="28.85546875" style="4" customWidth="1"/>
    <col min="10497" max="10497" width="11" style="4" customWidth="1"/>
    <col min="10498" max="10498" width="18.7109375" style="4" customWidth="1"/>
    <col min="10499" max="10499" width="20.85546875" style="4" customWidth="1"/>
    <col min="10500" max="10500" width="0" style="4" hidden="1" customWidth="1"/>
    <col min="10501" max="10501" width="17" style="4" customWidth="1"/>
    <col min="10502" max="10502" width="15.7109375" style="4" customWidth="1"/>
    <col min="10503" max="10503" width="6.85546875" style="4" customWidth="1"/>
    <col min="10504" max="10505" width="15.28515625" style="4" customWidth="1"/>
    <col min="10506" max="10506" width="18.42578125" style="4" customWidth="1"/>
    <col min="10507" max="10507" width="0" style="4" hidden="1" customWidth="1"/>
    <col min="10508" max="10751" width="9.140625" style="4"/>
    <col min="10752" max="10752" width="28.85546875" style="4" customWidth="1"/>
    <col min="10753" max="10753" width="11" style="4" customWidth="1"/>
    <col min="10754" max="10754" width="18.7109375" style="4" customWidth="1"/>
    <col min="10755" max="10755" width="20.85546875" style="4" customWidth="1"/>
    <col min="10756" max="10756" width="0" style="4" hidden="1" customWidth="1"/>
    <col min="10757" max="10757" width="17" style="4" customWidth="1"/>
    <col min="10758" max="10758" width="15.7109375" style="4" customWidth="1"/>
    <col min="10759" max="10759" width="6.85546875" style="4" customWidth="1"/>
    <col min="10760" max="10761" width="15.28515625" style="4" customWidth="1"/>
    <col min="10762" max="10762" width="18.42578125" style="4" customWidth="1"/>
    <col min="10763" max="10763" width="0" style="4" hidden="1" customWidth="1"/>
    <col min="10764" max="11007" width="9.140625" style="4"/>
    <col min="11008" max="11008" width="28.85546875" style="4" customWidth="1"/>
    <col min="11009" max="11009" width="11" style="4" customWidth="1"/>
    <col min="11010" max="11010" width="18.7109375" style="4" customWidth="1"/>
    <col min="11011" max="11011" width="20.85546875" style="4" customWidth="1"/>
    <col min="11012" max="11012" width="0" style="4" hidden="1" customWidth="1"/>
    <col min="11013" max="11013" width="17" style="4" customWidth="1"/>
    <col min="11014" max="11014" width="15.7109375" style="4" customWidth="1"/>
    <col min="11015" max="11015" width="6.85546875" style="4" customWidth="1"/>
    <col min="11016" max="11017" width="15.28515625" style="4" customWidth="1"/>
    <col min="11018" max="11018" width="18.42578125" style="4" customWidth="1"/>
    <col min="11019" max="11019" width="0" style="4" hidden="1" customWidth="1"/>
    <col min="11020" max="11263" width="9.140625" style="4"/>
    <col min="11264" max="11264" width="28.85546875" style="4" customWidth="1"/>
    <col min="11265" max="11265" width="11" style="4" customWidth="1"/>
    <col min="11266" max="11266" width="18.7109375" style="4" customWidth="1"/>
    <col min="11267" max="11267" width="20.85546875" style="4" customWidth="1"/>
    <col min="11268" max="11268" width="0" style="4" hidden="1" customWidth="1"/>
    <col min="11269" max="11269" width="17" style="4" customWidth="1"/>
    <col min="11270" max="11270" width="15.7109375" style="4" customWidth="1"/>
    <col min="11271" max="11271" width="6.85546875" style="4" customWidth="1"/>
    <col min="11272" max="11273" width="15.28515625" style="4" customWidth="1"/>
    <col min="11274" max="11274" width="18.42578125" style="4" customWidth="1"/>
    <col min="11275" max="11275" width="0" style="4" hidden="1" customWidth="1"/>
    <col min="11276" max="11519" width="9.140625" style="4"/>
    <col min="11520" max="11520" width="28.85546875" style="4" customWidth="1"/>
    <col min="11521" max="11521" width="11" style="4" customWidth="1"/>
    <col min="11522" max="11522" width="18.7109375" style="4" customWidth="1"/>
    <col min="11523" max="11523" width="20.85546875" style="4" customWidth="1"/>
    <col min="11524" max="11524" width="0" style="4" hidden="1" customWidth="1"/>
    <col min="11525" max="11525" width="17" style="4" customWidth="1"/>
    <col min="11526" max="11526" width="15.7109375" style="4" customWidth="1"/>
    <col min="11527" max="11527" width="6.85546875" style="4" customWidth="1"/>
    <col min="11528" max="11529" width="15.28515625" style="4" customWidth="1"/>
    <col min="11530" max="11530" width="18.42578125" style="4" customWidth="1"/>
    <col min="11531" max="11531" width="0" style="4" hidden="1" customWidth="1"/>
    <col min="11532" max="11775" width="9.140625" style="4"/>
    <col min="11776" max="11776" width="28.85546875" style="4" customWidth="1"/>
    <col min="11777" max="11777" width="11" style="4" customWidth="1"/>
    <col min="11778" max="11778" width="18.7109375" style="4" customWidth="1"/>
    <col min="11779" max="11779" width="20.85546875" style="4" customWidth="1"/>
    <col min="11780" max="11780" width="0" style="4" hidden="1" customWidth="1"/>
    <col min="11781" max="11781" width="17" style="4" customWidth="1"/>
    <col min="11782" max="11782" width="15.7109375" style="4" customWidth="1"/>
    <col min="11783" max="11783" width="6.85546875" style="4" customWidth="1"/>
    <col min="11784" max="11785" width="15.28515625" style="4" customWidth="1"/>
    <col min="11786" max="11786" width="18.42578125" style="4" customWidth="1"/>
    <col min="11787" max="11787" width="0" style="4" hidden="1" customWidth="1"/>
    <col min="11788" max="12031" width="9.140625" style="4"/>
    <col min="12032" max="12032" width="28.85546875" style="4" customWidth="1"/>
    <col min="12033" max="12033" width="11" style="4" customWidth="1"/>
    <col min="12034" max="12034" width="18.7109375" style="4" customWidth="1"/>
    <col min="12035" max="12035" width="20.85546875" style="4" customWidth="1"/>
    <col min="12036" max="12036" width="0" style="4" hidden="1" customWidth="1"/>
    <col min="12037" max="12037" width="17" style="4" customWidth="1"/>
    <col min="12038" max="12038" width="15.7109375" style="4" customWidth="1"/>
    <col min="12039" max="12039" width="6.85546875" style="4" customWidth="1"/>
    <col min="12040" max="12041" width="15.28515625" style="4" customWidth="1"/>
    <col min="12042" max="12042" width="18.42578125" style="4" customWidth="1"/>
    <col min="12043" max="12043" width="0" style="4" hidden="1" customWidth="1"/>
    <col min="12044" max="12287" width="9.140625" style="4"/>
    <col min="12288" max="12288" width="28.85546875" style="4" customWidth="1"/>
    <col min="12289" max="12289" width="11" style="4" customWidth="1"/>
    <col min="12290" max="12290" width="18.7109375" style="4" customWidth="1"/>
    <col min="12291" max="12291" width="20.85546875" style="4" customWidth="1"/>
    <col min="12292" max="12292" width="0" style="4" hidden="1" customWidth="1"/>
    <col min="12293" max="12293" width="17" style="4" customWidth="1"/>
    <col min="12294" max="12294" width="15.7109375" style="4" customWidth="1"/>
    <col min="12295" max="12295" width="6.85546875" style="4" customWidth="1"/>
    <col min="12296" max="12297" width="15.28515625" style="4" customWidth="1"/>
    <col min="12298" max="12298" width="18.42578125" style="4" customWidth="1"/>
    <col min="12299" max="12299" width="0" style="4" hidden="1" customWidth="1"/>
    <col min="12300" max="12543" width="9.140625" style="4"/>
    <col min="12544" max="12544" width="28.85546875" style="4" customWidth="1"/>
    <col min="12545" max="12545" width="11" style="4" customWidth="1"/>
    <col min="12546" max="12546" width="18.7109375" style="4" customWidth="1"/>
    <col min="12547" max="12547" width="20.85546875" style="4" customWidth="1"/>
    <col min="12548" max="12548" width="0" style="4" hidden="1" customWidth="1"/>
    <col min="12549" max="12549" width="17" style="4" customWidth="1"/>
    <col min="12550" max="12550" width="15.7109375" style="4" customWidth="1"/>
    <col min="12551" max="12551" width="6.85546875" style="4" customWidth="1"/>
    <col min="12552" max="12553" width="15.28515625" style="4" customWidth="1"/>
    <col min="12554" max="12554" width="18.42578125" style="4" customWidth="1"/>
    <col min="12555" max="12555" width="0" style="4" hidden="1" customWidth="1"/>
    <col min="12556" max="12799" width="9.140625" style="4"/>
    <col min="12800" max="12800" width="28.85546875" style="4" customWidth="1"/>
    <col min="12801" max="12801" width="11" style="4" customWidth="1"/>
    <col min="12802" max="12802" width="18.7109375" style="4" customWidth="1"/>
    <col min="12803" max="12803" width="20.85546875" style="4" customWidth="1"/>
    <col min="12804" max="12804" width="0" style="4" hidden="1" customWidth="1"/>
    <col min="12805" max="12805" width="17" style="4" customWidth="1"/>
    <col min="12806" max="12806" width="15.7109375" style="4" customWidth="1"/>
    <col min="12807" max="12807" width="6.85546875" style="4" customWidth="1"/>
    <col min="12808" max="12809" width="15.28515625" style="4" customWidth="1"/>
    <col min="12810" max="12810" width="18.42578125" style="4" customWidth="1"/>
    <col min="12811" max="12811" width="0" style="4" hidden="1" customWidth="1"/>
    <col min="12812" max="13055" width="9.140625" style="4"/>
    <col min="13056" max="13056" width="28.85546875" style="4" customWidth="1"/>
    <col min="13057" max="13057" width="11" style="4" customWidth="1"/>
    <col min="13058" max="13058" width="18.7109375" style="4" customWidth="1"/>
    <col min="13059" max="13059" width="20.85546875" style="4" customWidth="1"/>
    <col min="13060" max="13060" width="0" style="4" hidden="1" customWidth="1"/>
    <col min="13061" max="13061" width="17" style="4" customWidth="1"/>
    <col min="13062" max="13062" width="15.7109375" style="4" customWidth="1"/>
    <col min="13063" max="13063" width="6.85546875" style="4" customWidth="1"/>
    <col min="13064" max="13065" width="15.28515625" style="4" customWidth="1"/>
    <col min="13066" max="13066" width="18.42578125" style="4" customWidth="1"/>
    <col min="13067" max="13067" width="0" style="4" hidden="1" customWidth="1"/>
    <col min="13068" max="13311" width="9.140625" style="4"/>
    <col min="13312" max="13312" width="28.85546875" style="4" customWidth="1"/>
    <col min="13313" max="13313" width="11" style="4" customWidth="1"/>
    <col min="13314" max="13314" width="18.7109375" style="4" customWidth="1"/>
    <col min="13315" max="13315" width="20.85546875" style="4" customWidth="1"/>
    <col min="13316" max="13316" width="0" style="4" hidden="1" customWidth="1"/>
    <col min="13317" max="13317" width="17" style="4" customWidth="1"/>
    <col min="13318" max="13318" width="15.7109375" style="4" customWidth="1"/>
    <col min="13319" max="13319" width="6.85546875" style="4" customWidth="1"/>
    <col min="13320" max="13321" width="15.28515625" style="4" customWidth="1"/>
    <col min="13322" max="13322" width="18.42578125" style="4" customWidth="1"/>
    <col min="13323" max="13323" width="0" style="4" hidden="1" customWidth="1"/>
    <col min="13324" max="13567" width="9.140625" style="4"/>
    <col min="13568" max="13568" width="28.85546875" style="4" customWidth="1"/>
    <col min="13569" max="13569" width="11" style="4" customWidth="1"/>
    <col min="13570" max="13570" width="18.7109375" style="4" customWidth="1"/>
    <col min="13571" max="13571" width="20.85546875" style="4" customWidth="1"/>
    <col min="13572" max="13572" width="0" style="4" hidden="1" customWidth="1"/>
    <col min="13573" max="13573" width="17" style="4" customWidth="1"/>
    <col min="13574" max="13574" width="15.7109375" style="4" customWidth="1"/>
    <col min="13575" max="13575" width="6.85546875" style="4" customWidth="1"/>
    <col min="13576" max="13577" width="15.28515625" style="4" customWidth="1"/>
    <col min="13578" max="13578" width="18.42578125" style="4" customWidth="1"/>
    <col min="13579" max="13579" width="0" style="4" hidden="1" customWidth="1"/>
    <col min="13580" max="13823" width="9.140625" style="4"/>
    <col min="13824" max="13824" width="28.85546875" style="4" customWidth="1"/>
    <col min="13825" max="13825" width="11" style="4" customWidth="1"/>
    <col min="13826" max="13826" width="18.7109375" style="4" customWidth="1"/>
    <col min="13827" max="13827" width="20.85546875" style="4" customWidth="1"/>
    <col min="13828" max="13828" width="0" style="4" hidden="1" customWidth="1"/>
    <col min="13829" max="13829" width="17" style="4" customWidth="1"/>
    <col min="13830" max="13830" width="15.7109375" style="4" customWidth="1"/>
    <col min="13831" max="13831" width="6.85546875" style="4" customWidth="1"/>
    <col min="13832" max="13833" width="15.28515625" style="4" customWidth="1"/>
    <col min="13834" max="13834" width="18.42578125" style="4" customWidth="1"/>
    <col min="13835" max="13835" width="0" style="4" hidden="1" customWidth="1"/>
    <col min="13836" max="14079" width="9.140625" style="4"/>
    <col min="14080" max="14080" width="28.85546875" style="4" customWidth="1"/>
    <col min="14081" max="14081" width="11" style="4" customWidth="1"/>
    <col min="14082" max="14082" width="18.7109375" style="4" customWidth="1"/>
    <col min="14083" max="14083" width="20.85546875" style="4" customWidth="1"/>
    <col min="14084" max="14084" width="0" style="4" hidden="1" customWidth="1"/>
    <col min="14085" max="14085" width="17" style="4" customWidth="1"/>
    <col min="14086" max="14086" width="15.7109375" style="4" customWidth="1"/>
    <col min="14087" max="14087" width="6.85546875" style="4" customWidth="1"/>
    <col min="14088" max="14089" width="15.28515625" style="4" customWidth="1"/>
    <col min="14090" max="14090" width="18.42578125" style="4" customWidth="1"/>
    <col min="14091" max="14091" width="0" style="4" hidden="1" customWidth="1"/>
    <col min="14092" max="14335" width="9.140625" style="4"/>
    <col min="14336" max="14336" width="28.85546875" style="4" customWidth="1"/>
    <col min="14337" max="14337" width="11" style="4" customWidth="1"/>
    <col min="14338" max="14338" width="18.7109375" style="4" customWidth="1"/>
    <col min="14339" max="14339" width="20.85546875" style="4" customWidth="1"/>
    <col min="14340" max="14340" width="0" style="4" hidden="1" customWidth="1"/>
    <col min="14341" max="14341" width="17" style="4" customWidth="1"/>
    <col min="14342" max="14342" width="15.7109375" style="4" customWidth="1"/>
    <col min="14343" max="14343" width="6.85546875" style="4" customWidth="1"/>
    <col min="14344" max="14345" width="15.28515625" style="4" customWidth="1"/>
    <col min="14346" max="14346" width="18.42578125" style="4" customWidth="1"/>
    <col min="14347" max="14347" width="0" style="4" hidden="1" customWidth="1"/>
    <col min="14348" max="14591" width="9.140625" style="4"/>
    <col min="14592" max="14592" width="28.85546875" style="4" customWidth="1"/>
    <col min="14593" max="14593" width="11" style="4" customWidth="1"/>
    <col min="14594" max="14594" width="18.7109375" style="4" customWidth="1"/>
    <col min="14595" max="14595" width="20.85546875" style="4" customWidth="1"/>
    <col min="14596" max="14596" width="0" style="4" hidden="1" customWidth="1"/>
    <col min="14597" max="14597" width="17" style="4" customWidth="1"/>
    <col min="14598" max="14598" width="15.7109375" style="4" customWidth="1"/>
    <col min="14599" max="14599" width="6.85546875" style="4" customWidth="1"/>
    <col min="14600" max="14601" width="15.28515625" style="4" customWidth="1"/>
    <col min="14602" max="14602" width="18.42578125" style="4" customWidth="1"/>
    <col min="14603" max="14603" width="0" style="4" hidden="1" customWidth="1"/>
    <col min="14604" max="14847" width="9.140625" style="4"/>
    <col min="14848" max="14848" width="28.85546875" style="4" customWidth="1"/>
    <col min="14849" max="14849" width="11" style="4" customWidth="1"/>
    <col min="14850" max="14850" width="18.7109375" style="4" customWidth="1"/>
    <col min="14851" max="14851" width="20.85546875" style="4" customWidth="1"/>
    <col min="14852" max="14852" width="0" style="4" hidden="1" customWidth="1"/>
    <col min="14853" max="14853" width="17" style="4" customWidth="1"/>
    <col min="14854" max="14854" width="15.7109375" style="4" customWidth="1"/>
    <col min="14855" max="14855" width="6.85546875" style="4" customWidth="1"/>
    <col min="14856" max="14857" width="15.28515625" style="4" customWidth="1"/>
    <col min="14858" max="14858" width="18.42578125" style="4" customWidth="1"/>
    <col min="14859" max="14859" width="0" style="4" hidden="1" customWidth="1"/>
    <col min="14860" max="15103" width="9.140625" style="4"/>
    <col min="15104" max="15104" width="28.85546875" style="4" customWidth="1"/>
    <col min="15105" max="15105" width="11" style="4" customWidth="1"/>
    <col min="15106" max="15106" width="18.7109375" style="4" customWidth="1"/>
    <col min="15107" max="15107" width="20.85546875" style="4" customWidth="1"/>
    <col min="15108" max="15108" width="0" style="4" hidden="1" customWidth="1"/>
    <col min="15109" max="15109" width="17" style="4" customWidth="1"/>
    <col min="15110" max="15110" width="15.7109375" style="4" customWidth="1"/>
    <col min="15111" max="15111" width="6.85546875" style="4" customWidth="1"/>
    <col min="15112" max="15113" width="15.28515625" style="4" customWidth="1"/>
    <col min="15114" max="15114" width="18.42578125" style="4" customWidth="1"/>
    <col min="15115" max="15115" width="0" style="4" hidden="1" customWidth="1"/>
    <col min="15116" max="15359" width="9.140625" style="4"/>
    <col min="15360" max="15360" width="28.85546875" style="4" customWidth="1"/>
    <col min="15361" max="15361" width="11" style="4" customWidth="1"/>
    <col min="15362" max="15362" width="18.7109375" style="4" customWidth="1"/>
    <col min="15363" max="15363" width="20.85546875" style="4" customWidth="1"/>
    <col min="15364" max="15364" width="0" style="4" hidden="1" customWidth="1"/>
    <col min="15365" max="15365" width="17" style="4" customWidth="1"/>
    <col min="15366" max="15366" width="15.7109375" style="4" customWidth="1"/>
    <col min="15367" max="15367" width="6.85546875" style="4" customWidth="1"/>
    <col min="15368" max="15369" width="15.28515625" style="4" customWidth="1"/>
    <col min="15370" max="15370" width="18.42578125" style="4" customWidth="1"/>
    <col min="15371" max="15371" width="0" style="4" hidden="1" customWidth="1"/>
    <col min="15372" max="15615" width="9.140625" style="4"/>
    <col min="15616" max="15616" width="28.85546875" style="4" customWidth="1"/>
    <col min="15617" max="15617" width="11" style="4" customWidth="1"/>
    <col min="15618" max="15618" width="18.7109375" style="4" customWidth="1"/>
    <col min="15619" max="15619" width="20.85546875" style="4" customWidth="1"/>
    <col min="15620" max="15620" width="0" style="4" hidden="1" customWidth="1"/>
    <col min="15621" max="15621" width="17" style="4" customWidth="1"/>
    <col min="15622" max="15622" width="15.7109375" style="4" customWidth="1"/>
    <col min="15623" max="15623" width="6.85546875" style="4" customWidth="1"/>
    <col min="15624" max="15625" width="15.28515625" style="4" customWidth="1"/>
    <col min="15626" max="15626" width="18.42578125" style="4" customWidth="1"/>
    <col min="15627" max="15627" width="0" style="4" hidden="1" customWidth="1"/>
    <col min="15628" max="15871" width="9.140625" style="4"/>
    <col min="15872" max="15872" width="28.85546875" style="4" customWidth="1"/>
    <col min="15873" max="15873" width="11" style="4" customWidth="1"/>
    <col min="15874" max="15874" width="18.7109375" style="4" customWidth="1"/>
    <col min="15875" max="15875" width="20.85546875" style="4" customWidth="1"/>
    <col min="15876" max="15876" width="0" style="4" hidden="1" customWidth="1"/>
    <col min="15877" max="15877" width="17" style="4" customWidth="1"/>
    <col min="15878" max="15878" width="15.7109375" style="4" customWidth="1"/>
    <col min="15879" max="15879" width="6.85546875" style="4" customWidth="1"/>
    <col min="15880" max="15881" width="15.28515625" style="4" customWidth="1"/>
    <col min="15882" max="15882" width="18.42578125" style="4" customWidth="1"/>
    <col min="15883" max="15883" width="0" style="4" hidden="1" customWidth="1"/>
    <col min="15884" max="16127" width="9.140625" style="4"/>
    <col min="16128" max="16128" width="28.85546875" style="4" customWidth="1"/>
    <col min="16129" max="16129" width="11" style="4" customWidth="1"/>
    <col min="16130" max="16130" width="18.7109375" style="4" customWidth="1"/>
    <col min="16131" max="16131" width="20.85546875" style="4" customWidth="1"/>
    <col min="16132" max="16132" width="0" style="4" hidden="1" customWidth="1"/>
    <col min="16133" max="16133" width="17" style="4" customWidth="1"/>
    <col min="16134" max="16134" width="15.7109375" style="4" customWidth="1"/>
    <col min="16135" max="16135" width="6.85546875" style="4" customWidth="1"/>
    <col min="16136" max="16137" width="15.28515625" style="4" customWidth="1"/>
    <col min="16138" max="16138" width="18.42578125" style="4" customWidth="1"/>
    <col min="16139" max="16139" width="0" style="4" hidden="1" customWidth="1"/>
    <col min="16140" max="16384" width="9.140625" style="4"/>
  </cols>
  <sheetData>
    <row r="1" spans="1:11" s="1" customFormat="1" x14ac:dyDescent="0.25">
      <c r="A1" s="1" t="s">
        <v>24</v>
      </c>
      <c r="B1" s="2"/>
      <c r="C1" s="3"/>
      <c r="D1" s="3"/>
      <c r="E1" s="3"/>
      <c r="G1" s="2"/>
      <c r="H1" s="3"/>
      <c r="K1" s="3"/>
    </row>
    <row r="2" spans="1:11" s="1" customFormat="1" x14ac:dyDescent="0.25">
      <c r="A2" s="1" t="s">
        <v>25</v>
      </c>
      <c r="B2" s="2"/>
      <c r="C2" s="3"/>
      <c r="D2" s="3"/>
      <c r="E2" s="3"/>
      <c r="G2" s="2"/>
      <c r="H2" s="3"/>
      <c r="K2" s="3"/>
    </row>
    <row r="3" spans="1:11" s="8" customFormat="1" ht="20.25" x14ac:dyDescent="0.3">
      <c r="A3" s="92" t="s">
        <v>33</v>
      </c>
      <c r="B3" s="92"/>
      <c r="C3" s="92"/>
      <c r="D3" s="92"/>
      <c r="E3" s="92"/>
      <c r="F3" s="92"/>
      <c r="G3" s="92"/>
      <c r="H3" s="92"/>
      <c r="I3" s="92"/>
      <c r="J3" s="92"/>
      <c r="K3" s="7">
        <f>+F6-K4</f>
        <v>-57371177.777777776</v>
      </c>
    </row>
    <row r="4" spans="1:11" x14ac:dyDescent="0.25">
      <c r="K4" s="6">
        <f>+K6/K5</f>
        <v>57371177.777777776</v>
      </c>
    </row>
    <row r="5" spans="1:11" s="39" customFormat="1" ht="42" customHeight="1" x14ac:dyDescent="0.25">
      <c r="A5" s="9" t="s">
        <v>1</v>
      </c>
      <c r="B5" s="51" t="s">
        <v>2</v>
      </c>
      <c r="C5" s="11" t="s">
        <v>0</v>
      </c>
      <c r="D5" s="11" t="s">
        <v>29</v>
      </c>
      <c r="E5" s="11" t="s">
        <v>50</v>
      </c>
      <c r="F5" s="9" t="s">
        <v>3</v>
      </c>
      <c r="G5" s="10" t="s">
        <v>4</v>
      </c>
      <c r="H5" s="11" t="s">
        <v>5</v>
      </c>
      <c r="I5" s="9" t="s">
        <v>51</v>
      </c>
      <c r="J5" s="52" t="s">
        <v>26</v>
      </c>
      <c r="K5" s="12">
        <v>0.22500000000000001</v>
      </c>
    </row>
    <row r="6" spans="1:11" s="1" customFormat="1" hidden="1" x14ac:dyDescent="0.25">
      <c r="A6" s="13" t="s">
        <v>6</v>
      </c>
      <c r="B6" s="14">
        <f>C6/C15</f>
        <v>0</v>
      </c>
      <c r="C6" s="15">
        <f>+C7</f>
        <v>0</v>
      </c>
      <c r="D6" s="15"/>
      <c r="E6" s="15"/>
      <c r="F6" s="16">
        <f>+B6*F15</f>
        <v>0</v>
      </c>
      <c r="G6" s="17">
        <v>0.2</v>
      </c>
      <c r="H6" s="15">
        <f>+G6*F6</f>
        <v>0</v>
      </c>
      <c r="I6" s="18">
        <v>0</v>
      </c>
      <c r="J6" s="16">
        <f>+H6-I6</f>
        <v>0</v>
      </c>
      <c r="K6" s="3">
        <v>12908515</v>
      </c>
    </row>
    <row r="7" spans="1:11" ht="15.75" customHeight="1" x14ac:dyDescent="0.25">
      <c r="A7" s="19"/>
      <c r="B7" s="20"/>
      <c r="C7" s="21"/>
      <c r="D7" s="21"/>
      <c r="E7" s="21"/>
      <c r="F7" s="19"/>
      <c r="G7" s="22"/>
      <c r="H7" s="21"/>
      <c r="I7" s="19"/>
      <c r="J7" s="19"/>
    </row>
    <row r="8" spans="1:11" s="1" customFormat="1" x14ac:dyDescent="0.25">
      <c r="A8" s="53" t="s">
        <v>16</v>
      </c>
      <c r="B8" s="50">
        <f>C8/C15</f>
        <v>0.12828162287210618</v>
      </c>
      <c r="C8" s="15">
        <f>+C9</f>
        <v>585822327</v>
      </c>
      <c r="D8" s="15">
        <f>D9</f>
        <v>256928049</v>
      </c>
      <c r="E8" s="15">
        <f>E15*B8</f>
        <v>31214221.840009145</v>
      </c>
      <c r="F8" s="16">
        <f>C8-D8-E8</f>
        <v>297680056.15999085</v>
      </c>
      <c r="G8" s="17">
        <v>0</v>
      </c>
      <c r="H8" s="15">
        <f>F8*G8</f>
        <v>0</v>
      </c>
      <c r="I8" s="16">
        <f>+H8</f>
        <v>0</v>
      </c>
      <c r="J8" s="16">
        <f>+H8-I8</f>
        <v>0</v>
      </c>
      <c r="K8" s="3"/>
    </row>
    <row r="9" spans="1:11" x14ac:dyDescent="0.25">
      <c r="A9" s="19">
        <v>5112</v>
      </c>
      <c r="B9" s="20"/>
      <c r="C9" s="21">
        <f>+'BANG KE DOANH THU CT 2022'!D4</f>
        <v>585822327</v>
      </c>
      <c r="D9" s="21">
        <f>'BANG KE DOANH THU CT 2022'!E4</f>
        <v>256928049</v>
      </c>
      <c r="E9" s="21"/>
      <c r="F9" s="19"/>
      <c r="G9" s="22"/>
      <c r="H9" s="21"/>
      <c r="I9" s="19"/>
      <c r="J9" s="16">
        <f t="shared" ref="J9:J15" si="0">+H9-I9</f>
        <v>0</v>
      </c>
    </row>
    <row r="10" spans="1:11" x14ac:dyDescent="0.25">
      <c r="A10" s="53" t="s">
        <v>19</v>
      </c>
      <c r="B10" s="50">
        <f>C10/C15</f>
        <v>0.1124085072081376</v>
      </c>
      <c r="C10" s="15">
        <f>C11</f>
        <v>513334738</v>
      </c>
      <c r="D10" s="15">
        <f>D11</f>
        <v>421716154</v>
      </c>
      <c r="E10" s="15">
        <f>B10*E15</f>
        <v>27351884.097983472</v>
      </c>
      <c r="F10" s="16">
        <f>C10-D10-E10</f>
        <v>64266699.902016528</v>
      </c>
      <c r="G10" s="17">
        <v>0.1</v>
      </c>
      <c r="H10" s="15">
        <f>F10*G10</f>
        <v>6426669.990201653</v>
      </c>
      <c r="I10" s="15">
        <f>H10</f>
        <v>6426669.990201653</v>
      </c>
      <c r="J10" s="84">
        <f>H10-I10</f>
        <v>0</v>
      </c>
    </row>
    <row r="11" spans="1:11" x14ac:dyDescent="0.25">
      <c r="A11" s="19">
        <v>5112</v>
      </c>
      <c r="B11" s="20"/>
      <c r="C11" s="21">
        <f>'BANG KE DOANH THU CT 2022'!D9</f>
        <v>513334738</v>
      </c>
      <c r="D11" s="21">
        <f>'BANG KE DOANH THU CT 2022'!E9</f>
        <v>421716154</v>
      </c>
      <c r="E11" s="21"/>
      <c r="F11" s="19"/>
      <c r="G11" s="22"/>
      <c r="H11" s="21"/>
      <c r="I11" s="19"/>
      <c r="J11" s="16">
        <f t="shared" si="0"/>
        <v>0</v>
      </c>
    </row>
    <row r="12" spans="1:11" s="1" customFormat="1" x14ac:dyDescent="0.25">
      <c r="A12" s="23" t="s">
        <v>17</v>
      </c>
      <c r="B12" s="50">
        <f>C12/C15</f>
        <v>0.75930986991975624</v>
      </c>
      <c r="C12" s="15">
        <f>+C13+C14</f>
        <v>3467532332</v>
      </c>
      <c r="D12" s="15">
        <f>D13+D14</f>
        <v>3199165150</v>
      </c>
      <c r="E12" s="15">
        <f>E15*B12</f>
        <v>184759642.0620074</v>
      </c>
      <c r="F12" s="16">
        <f>C12-D12-E12</f>
        <v>83607539.937992603</v>
      </c>
      <c r="G12" s="17">
        <v>0.2</v>
      </c>
      <c r="H12" s="15">
        <f>+G12*F12</f>
        <v>16721507.987598522</v>
      </c>
      <c r="I12" s="16"/>
      <c r="J12" s="16">
        <f t="shared" si="0"/>
        <v>16721507.987598522</v>
      </c>
      <c r="K12" s="3"/>
    </row>
    <row r="13" spans="1:11" x14ac:dyDescent="0.25">
      <c r="A13" s="19">
        <v>5112</v>
      </c>
      <c r="B13" s="20"/>
      <c r="C13" s="21">
        <f>+'BANG KE DOANH THU CT 2022'!D12</f>
        <v>3467406146</v>
      </c>
      <c r="D13" s="21">
        <f>'BANG KE DOANH THU CT 2022'!E12</f>
        <v>3199165150</v>
      </c>
      <c r="E13" s="21"/>
      <c r="F13" s="19"/>
      <c r="G13" s="22"/>
      <c r="H13" s="21"/>
      <c r="I13" s="19"/>
      <c r="J13" s="16">
        <f t="shared" si="0"/>
        <v>0</v>
      </c>
    </row>
    <row r="14" spans="1:11" x14ac:dyDescent="0.25">
      <c r="A14" s="19">
        <v>5151</v>
      </c>
      <c r="B14" s="20"/>
      <c r="C14" s="21">
        <v>126186</v>
      </c>
      <c r="D14" s="21"/>
      <c r="E14" s="21"/>
      <c r="F14" s="19"/>
      <c r="G14" s="22"/>
      <c r="H14" s="21"/>
      <c r="I14" s="19"/>
      <c r="J14" s="16">
        <f t="shared" si="0"/>
        <v>0</v>
      </c>
    </row>
    <row r="15" spans="1:11" s="1" customFormat="1" x14ac:dyDescent="0.25">
      <c r="A15" s="18" t="s">
        <v>7</v>
      </c>
      <c r="B15" s="14">
        <f>B8+B10+B12</f>
        <v>1</v>
      </c>
      <c r="C15" s="15">
        <f>C8+C10+C12</f>
        <v>4566689397</v>
      </c>
      <c r="D15" s="15">
        <f>D8+D10+D12</f>
        <v>3877809353</v>
      </c>
      <c r="E15" s="15">
        <v>243325748</v>
      </c>
      <c r="F15" s="15">
        <f>F8+F10+F12</f>
        <v>445554296</v>
      </c>
      <c r="G15" s="15"/>
      <c r="H15" s="15">
        <f>H8+H10+H12</f>
        <v>23148177.977800176</v>
      </c>
      <c r="I15" s="15">
        <f>I8+I10+I12</f>
        <v>6426669.990201653</v>
      </c>
      <c r="J15" s="16">
        <f t="shared" si="0"/>
        <v>16721507.987598523</v>
      </c>
      <c r="K15" s="3"/>
    </row>
    <row r="16" spans="1:11" hidden="1" x14ac:dyDescent="0.25">
      <c r="F16" s="24" t="e">
        <f>+C15-#REF!-#REF!-#REF!</f>
        <v>#REF!</v>
      </c>
    </row>
    <row r="17" spans="1:11" hidden="1" x14ac:dyDescent="0.25">
      <c r="C17" s="6">
        <v>10793007946</v>
      </c>
      <c r="F17" s="6">
        <v>720227155</v>
      </c>
      <c r="I17" s="4">
        <v>74441349</v>
      </c>
    </row>
    <row r="18" spans="1:11" hidden="1" x14ac:dyDescent="0.25">
      <c r="C18" s="6">
        <v>454939007</v>
      </c>
      <c r="F18" s="24">
        <f>F17-F15</f>
        <v>274672859</v>
      </c>
      <c r="I18" s="24">
        <f>+I17-J15</f>
        <v>57719841.012401477</v>
      </c>
    </row>
    <row r="19" spans="1:11" hidden="1" x14ac:dyDescent="0.25">
      <c r="C19" s="6">
        <v>781954</v>
      </c>
      <c r="H19" s="6">
        <v>54680132</v>
      </c>
    </row>
    <row r="20" spans="1:11" hidden="1" x14ac:dyDescent="0.25">
      <c r="C20" s="6">
        <f>+C19+C18+C17</f>
        <v>11248728907</v>
      </c>
      <c r="F20" s="6"/>
      <c r="H20" s="6">
        <f>+H19-H6</f>
        <v>54680132</v>
      </c>
    </row>
    <row r="21" spans="1:11" ht="29.25" customHeight="1" x14ac:dyDescent="0.25">
      <c r="F21" s="24"/>
      <c r="G21" s="30"/>
      <c r="H21" s="93" t="s">
        <v>32</v>
      </c>
      <c r="I21" s="93"/>
      <c r="J21" s="93"/>
    </row>
    <row r="22" spans="1:11" x14ac:dyDescent="0.25">
      <c r="A22" s="94" t="s">
        <v>8</v>
      </c>
      <c r="B22" s="94"/>
      <c r="D22" s="67"/>
      <c r="E22" s="67"/>
      <c r="F22" s="68"/>
      <c r="H22" s="85" t="s">
        <v>9</v>
      </c>
      <c r="I22" s="85"/>
      <c r="J22" s="85"/>
    </row>
    <row r="23" spans="1:11" x14ac:dyDescent="0.25">
      <c r="D23" s="67"/>
      <c r="E23" s="67"/>
      <c r="F23" s="69"/>
    </row>
    <row r="24" spans="1:11" x14ac:dyDescent="0.25">
      <c r="D24" s="67"/>
      <c r="E24" s="67"/>
      <c r="F24" s="67"/>
    </row>
    <row r="25" spans="1:11" x14ac:dyDescent="0.25">
      <c r="D25" s="5"/>
      <c r="F25" s="6"/>
    </row>
    <row r="26" spans="1:11" x14ac:dyDescent="0.25">
      <c r="D26" s="5"/>
      <c r="F26" s="66"/>
      <c r="I26" s="73" t="s">
        <v>27</v>
      </c>
    </row>
    <row r="27" spans="1:11" x14ac:dyDescent="0.25">
      <c r="D27" s="71"/>
      <c r="F27" s="6"/>
    </row>
    <row r="28" spans="1:11" s="1" customFormat="1" x14ac:dyDescent="0.25">
      <c r="B28" s="5"/>
      <c r="C28" s="6"/>
      <c r="D28" s="70"/>
      <c r="E28" s="3"/>
      <c r="F28" s="3"/>
      <c r="G28" s="2"/>
      <c r="H28" s="85"/>
      <c r="I28" s="85"/>
      <c r="J28" s="85"/>
      <c r="K28" s="3"/>
    </row>
    <row r="29" spans="1:11" x14ac:dyDescent="0.25">
      <c r="F29" s="24"/>
    </row>
  </sheetData>
  <mergeCells count="5">
    <mergeCell ref="A3:J3"/>
    <mergeCell ref="H21:J21"/>
    <mergeCell ref="A22:B22"/>
    <mergeCell ref="H22:J22"/>
    <mergeCell ref="H28:J28"/>
  </mergeCells>
  <pageMargins left="0.25" right="0.25" top="0.75" bottom="0.75" header="0.3" footer="0.3"/>
  <pageSetup paperSize="9" scale="7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 2022</vt:lpstr>
      <vt:lpstr>TINH THUE TNDN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2023-03-24T01:09:02Z</dcterms:modified>
</cp:coreProperties>
</file>