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9995" windowHeight="7110"/>
  </bookViews>
  <sheets>
    <sheet name="2023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19" i="1" l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22" i="1" l="1"/>
</calcChain>
</file>

<file path=xl/sharedStrings.xml><?xml version="1.0" encoding="utf-8"?>
<sst xmlns="http://schemas.openxmlformats.org/spreadsheetml/2006/main" count="13" uniqueCount="13">
  <si>
    <t xml:space="preserve"> Ngày cho Vay</t>
  </si>
  <si>
    <t>Tiền vay</t>
  </si>
  <si>
    <t>Tiền Lãi</t>
  </si>
  <si>
    <t>CÔNG TY CP TƯ VẤN XÂY DỰNG TÂN TÂY NAM</t>
  </si>
  <si>
    <t>MST:2100397070</t>
  </si>
  <si>
    <t>13/01/2023</t>
  </si>
  <si>
    <t>14/02/2023</t>
  </si>
  <si>
    <t>24/04/2023</t>
  </si>
  <si>
    <t>26/06/2023</t>
  </si>
  <si>
    <t>28/02/2023</t>
  </si>
  <si>
    <t>14/03/2023</t>
  </si>
  <si>
    <t>28/06/2023</t>
  </si>
  <si>
    <t>(loại chi phí lãi vay năm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</si>
</sst>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right"/>
    </xf>
    <xf numFmtId="0" fontId="3" fillId="0" borderId="0" xfId="0" applyFont="1"/>
    <xf numFmtId="0" fontId="0" fillId="0" borderId="0" xfId="0" applyFont="1" applyAlignment="1">
      <alignment horizontal="right"/>
    </xf>
    <xf numFmtId="0" fontId="0" fillId="0" borderId="0" xfId="0" applyFont="1"/>
    <xf numFmtId="0" fontId="2" fillId="0" borderId="1" xfId="0" applyFont="1" applyBorder="1" applyAlignment="1">
      <alignment horizontal="right"/>
    </xf>
    <xf numFmtId="164" fontId="2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right"/>
    </xf>
    <xf numFmtId="164" fontId="0" fillId="0" borderId="1" xfId="1" applyNumberFormat="1" applyFont="1" applyBorder="1"/>
    <xf numFmtId="14" fontId="0" fillId="0" borderId="1" xfId="0" applyNumberFormat="1" applyBorder="1" applyAlignment="1">
      <alignment horizontal="right"/>
    </xf>
    <xf numFmtId="164" fontId="0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topLeftCell="A4" workbookViewId="0">
      <selection activeCell="J14" sqref="J14"/>
    </sheetView>
  </sheetViews>
  <sheetFormatPr defaultRowHeight="15" x14ac:dyDescent="0.25"/>
  <cols>
    <col min="2" max="2" width="15.5703125" style="4" customWidth="1"/>
    <col min="3" max="3" width="25" style="3" customWidth="1"/>
    <col min="4" max="4" width="16" style="3" customWidth="1"/>
    <col min="5" max="5" width="17.140625" customWidth="1"/>
  </cols>
  <sheetData>
    <row r="1" spans="1:5" s="7" customFormat="1" x14ac:dyDescent="0.25">
      <c r="A1" s="5" t="s">
        <v>3</v>
      </c>
      <c r="B1" s="6"/>
      <c r="C1" s="3"/>
      <c r="D1" s="3"/>
    </row>
    <row r="2" spans="1:5" s="7" customFormat="1" x14ac:dyDescent="0.25">
      <c r="A2" s="5" t="s">
        <v>4</v>
      </c>
      <c r="B2" s="6"/>
      <c r="C2" s="3"/>
      <c r="D2" s="3"/>
    </row>
    <row r="3" spans="1:5" s="7" customFormat="1" x14ac:dyDescent="0.25">
      <c r="A3" s="5"/>
      <c r="B3" s="6"/>
      <c r="C3" s="3"/>
      <c r="D3" s="3"/>
    </row>
    <row r="4" spans="1:5" s="2" customFormat="1" x14ac:dyDescent="0.25">
      <c r="A4" s="1"/>
      <c r="B4" s="8" t="s">
        <v>0</v>
      </c>
      <c r="C4" s="9" t="s">
        <v>1</v>
      </c>
      <c r="D4" s="9" t="s">
        <v>2</v>
      </c>
    </row>
    <row r="5" spans="1:5" x14ac:dyDescent="0.25">
      <c r="B5" s="10"/>
      <c r="C5" s="11"/>
      <c r="D5" s="11"/>
      <c r="E5" s="3"/>
    </row>
    <row r="6" spans="1:5" x14ac:dyDescent="0.25">
      <c r="B6" s="10" t="s">
        <v>5</v>
      </c>
      <c r="C6" s="11">
        <v>1000000000</v>
      </c>
      <c r="D6" s="11">
        <f>5205479+7671233+9041096+8493151+7671233+8767123+2123288</f>
        <v>48972603</v>
      </c>
      <c r="E6" s="3"/>
    </row>
    <row r="7" spans="1:5" x14ac:dyDescent="0.25">
      <c r="B7" s="12">
        <v>45079</v>
      </c>
      <c r="C7" s="11">
        <v>600000000</v>
      </c>
      <c r="D7" s="11">
        <f>3780822+5424657+5095891+4602740+5260274+1479452</f>
        <v>25643836</v>
      </c>
      <c r="E7" s="3"/>
    </row>
    <row r="8" spans="1:5" x14ac:dyDescent="0.25">
      <c r="B8" s="10" t="s">
        <v>6</v>
      </c>
      <c r="C8" s="11">
        <v>500000000</v>
      </c>
      <c r="D8" s="11">
        <f>2054795+4520547+4246576+3835616+4383562+2534246+900702</f>
        <v>22476044</v>
      </c>
      <c r="E8" s="3"/>
    </row>
    <row r="9" spans="1:5" x14ac:dyDescent="0.25">
      <c r="B9" s="12">
        <v>45084</v>
      </c>
      <c r="C9" s="11">
        <v>700000000</v>
      </c>
      <c r="D9" s="11">
        <f>4238356+5705480+4401369+1500000+2243418</f>
        <v>18088623</v>
      </c>
      <c r="E9" s="3"/>
    </row>
    <row r="10" spans="1:5" x14ac:dyDescent="0.25">
      <c r="B10" s="12">
        <v>45206</v>
      </c>
      <c r="C10" s="11">
        <v>800000000</v>
      </c>
      <c r="D10" s="11">
        <f>4098630+6520548+5030137+2980822</f>
        <v>18630137</v>
      </c>
      <c r="E10" s="3"/>
    </row>
    <row r="11" spans="1:5" x14ac:dyDescent="0.25">
      <c r="B11" s="12" t="s">
        <v>7</v>
      </c>
      <c r="C11" s="11">
        <v>600000000</v>
      </c>
      <c r="D11" s="11">
        <f>1643836+4602739+5260274+4767124+5753424+2284110</f>
        <v>24311507</v>
      </c>
      <c r="E11" s="3"/>
    </row>
    <row r="12" spans="1:5" x14ac:dyDescent="0.25">
      <c r="B12" s="12">
        <v>45237</v>
      </c>
      <c r="C12" s="11">
        <v>750000000</v>
      </c>
      <c r="D12" s="11">
        <f>3667808+6113014+4715753+3556726</f>
        <v>18053301</v>
      </c>
      <c r="E12" s="3"/>
    </row>
    <row r="13" spans="1:5" x14ac:dyDescent="0.25">
      <c r="B13" s="10" t="s">
        <v>8</v>
      </c>
      <c r="C13" s="11">
        <v>900000000</v>
      </c>
      <c r="D13" s="11">
        <f>8876712+8630137+6003288+653973</f>
        <v>24164110</v>
      </c>
      <c r="E13" s="3"/>
    </row>
    <row r="14" spans="1:5" x14ac:dyDescent="0.25">
      <c r="B14" s="10" t="s">
        <v>9</v>
      </c>
      <c r="C14" s="11">
        <v>400000000</v>
      </c>
      <c r="D14" s="11">
        <f>3726027+3397261+3068493+3506849+3178082</f>
        <v>16876712</v>
      </c>
      <c r="E14" s="3"/>
    </row>
    <row r="15" spans="1:5" x14ac:dyDescent="0.25">
      <c r="B15" s="10" t="s">
        <v>10</v>
      </c>
      <c r="C15" s="11">
        <v>300000000</v>
      </c>
      <c r="D15" s="11">
        <f>1643836+2547945+2301370+2630137+2383561+2671233+269863</f>
        <v>14447945</v>
      </c>
      <c r="E15" s="3"/>
    </row>
    <row r="16" spans="1:5" x14ac:dyDescent="0.25">
      <c r="B16" s="12">
        <v>45143</v>
      </c>
      <c r="C16" s="11">
        <v>500000000</v>
      </c>
      <c r="D16" s="11">
        <f>3287671+4383562+3972603+4794520+2197808</f>
        <v>18636164</v>
      </c>
      <c r="E16" s="3"/>
    </row>
    <row r="17" spans="2:5" x14ac:dyDescent="0.25">
      <c r="B17" s="10" t="s">
        <v>11</v>
      </c>
      <c r="C17" s="11">
        <v>800000000</v>
      </c>
      <c r="D17" s="11">
        <f>7452055+7671233+5917808+2410959</f>
        <v>23452055</v>
      </c>
      <c r="E17" s="3"/>
    </row>
    <row r="18" spans="2:5" x14ac:dyDescent="0.25">
      <c r="B18" s="12">
        <v>45231</v>
      </c>
      <c r="C18" s="11">
        <v>1500000000</v>
      </c>
      <c r="D18" s="11">
        <f>8630137+11506948+13561644+12739726+10753425+10082192+1712328</f>
        <v>68986400</v>
      </c>
      <c r="E18" s="3"/>
    </row>
    <row r="19" spans="2:5" x14ac:dyDescent="0.25">
      <c r="B19" s="12">
        <v>45017</v>
      </c>
      <c r="C19" s="11">
        <v>1000000000</v>
      </c>
      <c r="D19" s="11">
        <f>7671233+7671233+9041096+8493150+7671233+5972603</f>
        <v>46520548</v>
      </c>
      <c r="E19" s="3"/>
    </row>
    <row r="20" spans="2:5" x14ac:dyDescent="0.25">
      <c r="B20" s="10"/>
      <c r="C20" s="11"/>
      <c r="D20" s="11"/>
      <c r="E20" s="3"/>
    </row>
    <row r="21" spans="2:5" x14ac:dyDescent="0.25">
      <c r="B21" s="10"/>
      <c r="C21" s="11"/>
      <c r="D21" s="11"/>
      <c r="E21" s="3"/>
    </row>
    <row r="22" spans="2:5" x14ac:dyDescent="0.25">
      <c r="B22" s="10"/>
      <c r="C22" s="11"/>
      <c r="D22" s="13">
        <f>+SUM(D6:D21)</f>
        <v>389259985</v>
      </c>
      <c r="E2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ProBook</dc:creator>
  <cp:lastModifiedBy>ProBook</cp:lastModifiedBy>
  <dcterms:created xsi:type="dcterms:W3CDTF">2024-03-15T08:03:13Z</dcterms:created>
  <dcterms:modified xsi:type="dcterms:W3CDTF">2024-03-16T02:00:13Z</dcterms:modified>
</cp:coreProperties>
</file>