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60" windowWidth="29040" windowHeight="11580" firstSheet="2" activeTab="2"/>
  </bookViews>
  <sheets>
    <sheet name="THONG TIN" sheetId="2" r:id="rId1"/>
    <sheet name="BÁO CÁO" sheetId="3" r:id="rId2"/>
    <sheet name="2023" sheetId="8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C24" i="8"/>
  <c r="D8" i="8"/>
  <c r="C23" i="8"/>
  <c r="D23" i="8" l="1"/>
  <c r="F22" i="8" l="1"/>
  <c r="F21" i="8"/>
  <c r="E8" i="8"/>
  <c r="E11" i="8" s="1"/>
  <c r="F23" i="8"/>
  <c r="D19" i="8"/>
  <c r="C19" i="8"/>
  <c r="F18" i="8"/>
  <c r="F17" i="8"/>
  <c r="F16" i="8"/>
  <c r="D15" i="8"/>
  <c r="C15" i="8"/>
  <c r="F14" i="8"/>
  <c r="F13" i="8"/>
  <c r="F12" i="8"/>
  <c r="D11" i="8"/>
  <c r="C11" i="8"/>
  <c r="F10" i="8"/>
  <c r="F9" i="8"/>
  <c r="D24" i="8" l="1"/>
  <c r="F25" i="8"/>
  <c r="F19" i="8"/>
  <c r="F15" i="8"/>
  <c r="F11" i="8"/>
  <c r="F24" i="8" l="1"/>
  <c r="F23" i="3"/>
  <c r="D23" i="3"/>
  <c r="H25" i="3"/>
  <c r="F19" i="3"/>
  <c r="E8" i="3" l="1"/>
  <c r="F11" i="3"/>
  <c r="D17" i="3"/>
  <c r="D16" i="3"/>
  <c r="D14" i="3"/>
  <c r="D13" i="3"/>
  <c r="D12" i="3"/>
  <c r="D10" i="3"/>
  <c r="D9" i="3"/>
  <c r="D8" i="3"/>
  <c r="F8" i="3" l="1"/>
  <c r="E11" i="3" s="1"/>
  <c r="F20" i="3"/>
  <c r="F21" i="3"/>
  <c r="F17" i="3"/>
  <c r="F13" i="3"/>
  <c r="F14" i="3"/>
  <c r="F16" i="3"/>
  <c r="F18" i="3"/>
  <c r="F12" i="3"/>
  <c r="F9" i="3"/>
  <c r="F10" i="3"/>
  <c r="D11" i="3"/>
  <c r="D19" i="3"/>
  <c r="D15" i="3"/>
  <c r="F15" i="3" s="1"/>
  <c r="C23" i="3" l="1"/>
  <c r="C19" i="3"/>
  <c r="C15" i="3"/>
  <c r="C11" i="3"/>
</calcChain>
</file>

<file path=xl/sharedStrings.xml><?xml version="1.0" encoding="utf-8"?>
<sst xmlns="http://schemas.openxmlformats.org/spreadsheetml/2006/main" count="73" uniqueCount="39">
  <si>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</si>
  <si>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</si>
  <si>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</si>
  <si>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</si>
  <si>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</si>
  <si>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</si>
  <si>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20 Kw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</si>
  <si>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</si>
  <si>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</si>
  <si>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</si>
  <si>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</si>
  <si>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</si>
  <si>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</si>
  <si>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</si>
  <si>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</si>
  <si>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</si>
  <si>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</si>
  <si>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</si>
  <si>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</si>
  <si>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</si>
  <si>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</si>
  <si>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</si>
  <si>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</si>
  <si>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</si>
  <si>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</si>
  <si>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</si>
  <si>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</si>
  <si>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</si>
  <si>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</si>
  <si>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</si>
  <si>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</si>
  <si>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</si>
  <si>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</si>
  <si>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Sản lượng bán ghi số liệu từ cơ quan điện lực chốt sổ + SL nội suy đến cuối cuối tháng</t>
  </si>
  <si>
    <t>CÔNG TY TNHH THAN ĐA LỘC</t>
  </si>
  <si>
    <t>Ấp Hương Phụ, xã Đa Lộc, huyện Châu Thành, tỉnh Trà Vinh</t>
  </si>
  <si>
    <t>2 1 0 0 4 95374</t>
  </si>
  <si>
    <t>10 KW</t>
  </si>
  <si>
    <t>CÔNG TY CP TƯ VẤN XD TÂN TÂY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</si>
</sst>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\ _₫_-;\-* #,##0.00\ _₫_-;_-* &quot;-&quot;??\ _₫_-;_-@_-"/>
    <numFmt numFmtId="167" formatCode="#,##0.0"/>
    <numFmt numFmtId="169" formatCode="_-* #,##0\ _₫_-;\-* #,##0\ _₫_-;_-* &quot;-&quot;??\ _₫_-;_-@_-"/>
  </numFmts>
  <fonts count="5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3" borderId="1" xfId="0" applyFill="1" applyBorder="1" applyAlignment="1">
      <alignment horizontal="center" vertical="center"/>
    </xf>
    <xf numFmtId="3" fontId="0" fillId="0" borderId="2" xfId="0" applyNumberFormat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4" xfId="0" applyNumberFormat="1" applyBorder="1"/>
    <xf numFmtId="0" fontId="0" fillId="0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3" fontId="3" fillId="2" borderId="1" xfId="0" applyNumberFormat="1" applyFont="1" applyFill="1" applyBorder="1"/>
    <xf numFmtId="0" fontId="4" fillId="0" borderId="0" xfId="0" applyFont="1"/>
    <xf numFmtId="0" fontId="4" fillId="0" borderId="0" xfId="0" applyFont="1" applyFill="1" applyBorder="1"/>
    <xf numFmtId="0" fontId="3" fillId="0" borderId="0" xfId="0" applyFont="1" applyAlignment="1">
      <alignment horizontal="left"/>
    </xf>
    <xf numFmtId="3" fontId="3" fillId="2" borderId="2" xfId="0" applyNumberFormat="1" applyFont="1" applyFill="1" applyBorder="1"/>
    <xf numFmtId="43" fontId="0" fillId="0" borderId="0" xfId="0" applyNumberFormat="1"/>
    <xf numFmtId="3" fontId="0" fillId="0" borderId="0" xfId="0" applyNumberFormat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167" fontId="0" fillId="0" borderId="0" xfId="0" applyNumberFormat="1"/>
    <xf numFmtId="167" fontId="3" fillId="0" borderId="0" xfId="0" applyNumberFormat="1" applyFont="1"/>
    <xf numFmtId="167" fontId="0" fillId="0" borderId="0" xfId="0" applyNumberFormat="1" applyAlignment="1">
      <alignment horizontal="right"/>
    </xf>
    <xf numFmtId="167" fontId="3" fillId="0" borderId="0" xfId="0" applyNumberFormat="1" applyFont="1" applyAlignment="1">
      <alignment horizontal="left"/>
    </xf>
    <xf numFmtId="167" fontId="0" fillId="3" borderId="1" xfId="0" applyNumberForma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3" xfId="0" applyNumberFormat="1" applyBorder="1"/>
    <xf numFmtId="167" fontId="0" fillId="0" borderId="5" xfId="0" applyNumberFormat="1" applyBorder="1"/>
    <xf numFmtId="167" fontId="3" fillId="2" borderId="1" xfId="0" applyNumberFormat="1" applyFont="1" applyFill="1" applyBorder="1"/>
    <xf numFmtId="167" fontId="3" fillId="2" borderId="2" xfId="0" applyNumberFormat="1" applyFont="1" applyFill="1" applyBorder="1"/>
    <xf numFmtId="167" fontId="0" fillId="0" borderId="4" xfId="0" applyNumberFormat="1" applyBorder="1"/>
    <xf numFmtId="167" fontId="3" fillId="2" borderId="0" xfId="0" applyNumberFormat="1" applyFont="1" applyFill="1" applyBorder="1"/>
    <xf numFmtId="167" fontId="3" fillId="2" borderId="6" xfId="0" applyNumberFormat="1" applyFont="1" applyFill="1" applyBorder="1"/>
    <xf numFmtId="167" fontId="0" fillId="0" borderId="6" xfId="0" applyNumberFormat="1" applyFill="1" applyBorder="1"/>
    <xf numFmtId="167" fontId="4" fillId="0" borderId="0" xfId="0" applyNumberFormat="1" applyFont="1"/>
    <xf numFmtId="167" fontId="4" fillId="0" borderId="0" xfId="0" applyNumberFormat="1" applyFont="1" applyFill="1" applyBorder="1"/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G8" sqref="G8"/>
    </sheetView>
  </sheetViews>
  <sheetFormatPr defaultRowHeight="15.75" x14ac:dyDescent="0.25"/>
  <sheetData>
    <row r="3" spans="1:3" x14ac:dyDescent="0.25">
      <c r="A3" t="s">
        <v>0</v>
      </c>
      <c r="C3" t="s">
        <v>34</v>
      </c>
    </row>
    <row r="4" spans="1:3" x14ac:dyDescent="0.25">
      <c r="A4" t="s">
        <v>1</v>
      </c>
      <c r="C4" t="s">
        <v>35</v>
      </c>
    </row>
    <row r="5" spans="1:3" x14ac:dyDescent="0.25">
      <c r="A5" t="s">
        <v>2</v>
      </c>
      <c r="C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XFD1048576"/>
    </sheetView>
  </sheetViews>
  <sheetFormatPr defaultRowHeight="15.75" x14ac:dyDescent="0.25"/>
  <cols>
    <col min="1" max="1" width="12" customWidth="1"/>
    <col min="2" max="2" width="2.625" customWidth="1"/>
    <col min="3" max="6" width="15.625" customWidth="1"/>
  </cols>
  <sheetData>
    <row r="1" spans="1:8" ht="21.95" customHeight="1" x14ac:dyDescent="0.25">
      <c r="A1" t="s">
        <v>0</v>
      </c>
      <c r="C1" t="s">
        <v>34</v>
      </c>
    </row>
    <row r="2" spans="1:8" ht="21.95" customHeight="1" x14ac:dyDescent="0.25">
      <c r="A2" t="s">
        <v>3</v>
      </c>
      <c r="C2" t="s">
        <v>35</v>
      </c>
    </row>
    <row r="3" spans="1:8" ht="21.95" customHeight="1" x14ac:dyDescent="0.25">
      <c r="A3" s="45" t="s">
        <v>4</v>
      </c>
      <c r="B3" s="45"/>
      <c r="C3" s="45"/>
      <c r="D3" s="45"/>
      <c r="E3" s="45"/>
      <c r="F3" s="45"/>
    </row>
    <row r="4" spans="1:8" ht="21.95" customHeight="1" x14ac:dyDescent="0.25"/>
    <row r="5" spans="1:8" ht="21.95" customHeight="1" x14ac:dyDescent="0.25">
      <c r="B5" t="s">
        <v>5</v>
      </c>
      <c r="D5" s="6" t="s">
        <v>6</v>
      </c>
      <c r="E5" s="1" t="s">
        <v>32</v>
      </c>
      <c r="F5" s="22">
        <v>2021</v>
      </c>
    </row>
    <row r="6" spans="1:8" ht="21.95" customHeight="1" x14ac:dyDescent="0.25"/>
    <row r="7" spans="1:8" ht="21.95" customHeight="1" x14ac:dyDescent="0.25">
      <c r="A7" s="44" t="s">
        <v>7</v>
      </c>
      <c r="B7" s="44"/>
      <c r="C7" s="11" t="s">
        <v>20</v>
      </c>
      <c r="D7" s="11" t="s">
        <v>21</v>
      </c>
      <c r="E7" s="11" t="s">
        <v>23</v>
      </c>
      <c r="F7" s="11" t="s">
        <v>22</v>
      </c>
    </row>
    <row r="8" spans="1:8" ht="21.95" customHeight="1" x14ac:dyDescent="0.25">
      <c r="A8" s="2" t="s">
        <v>8</v>
      </c>
      <c r="B8" s="3"/>
      <c r="C8" s="12">
        <v>3945.8</v>
      </c>
      <c r="D8" s="12">
        <f>380+(1280/31)*11</f>
        <v>834.19354838709683</v>
      </c>
      <c r="E8" s="12">
        <f>C8-F8-D8</f>
        <v>0</v>
      </c>
      <c r="F8" s="12">
        <f>C8-D8</f>
        <v>3111.6064516129036</v>
      </c>
      <c r="H8" s="25"/>
    </row>
    <row r="9" spans="1:8" ht="21.95" customHeight="1" x14ac:dyDescent="0.25">
      <c r="A9" s="4" t="s">
        <v>9</v>
      </c>
      <c r="B9" s="5"/>
      <c r="C9" s="13">
        <v>2880.4</v>
      </c>
      <c r="D9" s="13">
        <f>(1280/31)*19+(1250/31)*11</f>
        <v>1228.0645161290322</v>
      </c>
      <c r="E9" s="13"/>
      <c r="F9" s="12">
        <f t="shared" ref="F9:F21" si="0">C9-D9</f>
        <v>1652.3354838709679</v>
      </c>
    </row>
    <row r="10" spans="1:8" ht="21.95" customHeight="1" x14ac:dyDescent="0.25">
      <c r="A10" s="7" t="s">
        <v>10</v>
      </c>
      <c r="B10" s="8"/>
      <c r="C10" s="14">
        <v>7034.7</v>
      </c>
      <c r="D10" s="14">
        <f>(1250/31)*22+(4220/31)*11</f>
        <v>2384.516129032258</v>
      </c>
      <c r="E10" s="14"/>
      <c r="F10" s="12">
        <f t="shared" si="0"/>
        <v>4650.1838709677413</v>
      </c>
      <c r="H10" s="25"/>
    </row>
    <row r="11" spans="1:8" ht="21.95" customHeight="1" x14ac:dyDescent="0.25">
      <c r="A11" s="17" t="s">
        <v>24</v>
      </c>
      <c r="B11" s="18"/>
      <c r="C11" s="19">
        <f>SUM(C8:C10)</f>
        <v>13860.900000000001</v>
      </c>
      <c r="D11" s="19">
        <f t="shared" ref="D11" si="1">SUM(D8:D10)</f>
        <v>4446.7741935483864</v>
      </c>
      <c r="E11" s="19">
        <f>SUM(E8:E10)</f>
        <v>0</v>
      </c>
      <c r="F11" s="23">
        <f>C11-D11</f>
        <v>9414.1258064516151</v>
      </c>
      <c r="G11" s="24"/>
      <c r="H11" s="25"/>
    </row>
    <row r="12" spans="1:8" ht="21.95" customHeight="1" x14ac:dyDescent="0.25">
      <c r="A12" s="9" t="s">
        <v>11</v>
      </c>
      <c r="B12" s="10"/>
      <c r="C12" s="15">
        <v>8135.6</v>
      </c>
      <c r="D12" s="15">
        <f>(4220/31)*21+(4207/31)*11</f>
        <v>4351.5161290322576</v>
      </c>
      <c r="E12" s="15"/>
      <c r="F12" s="12">
        <f t="shared" si="0"/>
        <v>3784.0838709677428</v>
      </c>
      <c r="H12" s="25"/>
    </row>
    <row r="13" spans="1:8" ht="21.95" customHeight="1" x14ac:dyDescent="0.25">
      <c r="A13" s="4" t="s">
        <v>12</v>
      </c>
      <c r="B13" s="5"/>
      <c r="C13" s="13">
        <v>7777.3</v>
      </c>
      <c r="D13" s="13">
        <f>(4207/31)*22+(3354/31)*11</f>
        <v>4175.7419354838712</v>
      </c>
      <c r="E13" s="13"/>
      <c r="F13" s="12">
        <f t="shared" si="0"/>
        <v>3601.558064516129</v>
      </c>
    </row>
    <row r="14" spans="1:8" ht="21.95" customHeight="1" x14ac:dyDescent="0.25">
      <c r="A14" s="7" t="s">
        <v>13</v>
      </c>
      <c r="B14" s="8"/>
      <c r="C14" s="14">
        <v>7564</v>
      </c>
      <c r="D14" s="14">
        <f>(3354/31)*21+(4394/31)*11</f>
        <v>3831.2258064516127</v>
      </c>
      <c r="E14" s="14"/>
      <c r="F14" s="12">
        <f t="shared" si="0"/>
        <v>3732.7741935483873</v>
      </c>
    </row>
    <row r="15" spans="1:8" ht="21.95" customHeight="1" x14ac:dyDescent="0.25">
      <c r="A15" s="17" t="s">
        <v>25</v>
      </c>
      <c r="B15" s="18"/>
      <c r="C15" s="19">
        <f>SUM(C12:C14)</f>
        <v>23476.9</v>
      </c>
      <c r="D15" s="19">
        <f>SUM(D12:D14)</f>
        <v>12358.483870967742</v>
      </c>
      <c r="E15" s="19"/>
      <c r="F15" s="23">
        <f t="shared" si="0"/>
        <v>11118.416129032259</v>
      </c>
      <c r="G15" s="24"/>
    </row>
    <row r="16" spans="1:8" ht="21.95" customHeight="1" x14ac:dyDescent="0.25">
      <c r="A16" s="9" t="s">
        <v>14</v>
      </c>
      <c r="B16" s="10"/>
      <c r="C16" s="15">
        <v>7032</v>
      </c>
      <c r="D16" s="15">
        <f>(4394/31)*22+(9748/52)*11</f>
        <v>5180.3995037220848</v>
      </c>
      <c r="E16" s="15"/>
      <c r="F16" s="12">
        <f t="shared" si="0"/>
        <v>1851.6004962779152</v>
      </c>
    </row>
    <row r="17" spans="1:8" ht="21.95" customHeight="1" x14ac:dyDescent="0.25">
      <c r="A17" s="4" t="s">
        <v>15</v>
      </c>
      <c r="B17" s="5"/>
      <c r="C17" s="13">
        <v>7320</v>
      </c>
      <c r="D17" s="13">
        <f>(9748/52)*31</f>
        <v>5811.3076923076924</v>
      </c>
      <c r="E17" s="13"/>
      <c r="F17" s="12">
        <f>C17-D17</f>
        <v>1508.6923076923076</v>
      </c>
    </row>
    <row r="18" spans="1:8" ht="21.95" customHeight="1" x14ac:dyDescent="0.25">
      <c r="A18" s="7" t="s">
        <v>16</v>
      </c>
      <c r="B18" s="8"/>
      <c r="C18" s="14">
        <v>6731</v>
      </c>
      <c r="D18" s="14">
        <v>4884</v>
      </c>
      <c r="E18" s="14"/>
      <c r="F18" s="12">
        <f t="shared" si="0"/>
        <v>1847</v>
      </c>
    </row>
    <row r="19" spans="1:8" ht="21.95" customHeight="1" x14ac:dyDescent="0.25">
      <c r="A19" s="17" t="s">
        <v>26</v>
      </c>
      <c r="B19" s="18"/>
      <c r="C19" s="19">
        <f>SUM(C16:C18)</f>
        <v>21083</v>
      </c>
      <c r="D19" s="19">
        <f>SUM(D16:D18)</f>
        <v>15875.707196029776</v>
      </c>
      <c r="E19" s="19"/>
      <c r="F19" s="23">
        <f>C19-D19</f>
        <v>5207.2928039702238</v>
      </c>
      <c r="G19" s="24"/>
      <c r="H19" s="25"/>
    </row>
    <row r="20" spans="1:8" ht="21.95" customHeight="1" x14ac:dyDescent="0.25">
      <c r="A20" s="9" t="s">
        <v>17</v>
      </c>
      <c r="B20" s="10"/>
      <c r="C20" s="15">
        <v>6735</v>
      </c>
      <c r="D20" s="15">
        <v>4119</v>
      </c>
      <c r="E20" s="15"/>
      <c r="F20" s="12">
        <f t="shared" si="0"/>
        <v>2616</v>
      </c>
      <c r="H20" s="25"/>
    </row>
    <row r="21" spans="1:8" ht="21.95" customHeight="1" x14ac:dyDescent="0.25">
      <c r="A21" s="4" t="s">
        <v>18</v>
      </c>
      <c r="B21" s="5"/>
      <c r="C21" s="13">
        <v>6127</v>
      </c>
      <c r="D21" s="13">
        <v>3348</v>
      </c>
      <c r="E21" s="13"/>
      <c r="F21" s="12">
        <f t="shared" si="0"/>
        <v>2779</v>
      </c>
      <c r="G21" s="25"/>
      <c r="H21" s="25"/>
    </row>
    <row r="22" spans="1:8" ht="21.95" customHeight="1" x14ac:dyDescent="0.25">
      <c r="A22" s="7" t="s">
        <v>19</v>
      </c>
      <c r="B22" s="8"/>
      <c r="C22" s="14">
        <v>7444</v>
      </c>
      <c r="D22" s="14">
        <v>0</v>
      </c>
      <c r="E22" s="14"/>
      <c r="F22" s="12">
        <v>0</v>
      </c>
      <c r="G22" s="25"/>
      <c r="H22" s="25"/>
    </row>
    <row r="23" spans="1:8" ht="21.95" customHeight="1" x14ac:dyDescent="0.25">
      <c r="A23" s="17" t="s">
        <v>27</v>
      </c>
      <c r="B23" s="18"/>
      <c r="C23" s="19">
        <f>SUM(C20:C22)</f>
        <v>20306</v>
      </c>
      <c r="D23" s="19">
        <f>SUM(D20:D22)</f>
        <v>7467</v>
      </c>
      <c r="E23" s="19"/>
      <c r="F23" s="19">
        <f>C23-D23</f>
        <v>12839</v>
      </c>
      <c r="G23" s="24"/>
    </row>
    <row r="24" spans="1:8" ht="21.95" customHeight="1" x14ac:dyDescent="0.25"/>
    <row r="25" spans="1:8" ht="21.95" customHeight="1" x14ac:dyDescent="0.25">
      <c r="A25" s="16" t="s">
        <v>28</v>
      </c>
      <c r="C25" s="20" t="s">
        <v>29</v>
      </c>
      <c r="H25">
        <f>H23-H24</f>
        <v>0</v>
      </c>
    </row>
    <row r="26" spans="1:8" ht="21.95" customHeight="1" x14ac:dyDescent="0.25">
      <c r="C26" s="20" t="s">
        <v>33</v>
      </c>
    </row>
    <row r="27" spans="1:8" ht="21.95" customHeight="1" x14ac:dyDescent="0.25">
      <c r="C27" s="20" t="s">
        <v>30</v>
      </c>
    </row>
    <row r="28" spans="1:8" ht="21.95" customHeight="1" x14ac:dyDescent="0.25">
      <c r="C28" s="21" t="s">
        <v>31</v>
      </c>
    </row>
  </sheetData>
  <mergeCells count="2">
    <mergeCell ref="A7:B7"/>
    <mergeCell ref="A3:F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H16" sqref="H16"/>
    </sheetView>
  </sheetViews>
  <sheetFormatPr defaultRowHeight="15.75" x14ac:dyDescent="0.25"/>
  <cols>
    <col min="1" max="1" width="12" customWidth="1"/>
    <col min="2" max="2" width="2.625" customWidth="1"/>
    <col min="3" max="6" width="15.625" style="28" customWidth="1"/>
    <col min="7" max="7" width="10.125" bestFit="1" customWidth="1"/>
    <col min="8" max="8" width="15.75" customWidth="1"/>
    <col min="9" max="9" width="18.875" style="46" customWidth="1"/>
  </cols>
  <sheetData>
    <row r="1" spans="1:8" ht="21.95" customHeight="1" x14ac:dyDescent="0.25">
      <c r="A1" t="s">
        <v>0</v>
      </c>
      <c r="C1" s="28" t="s">
        <v>38</v>
      </c>
    </row>
    <row r="2" spans="1:8" ht="21.95" customHeight="1" x14ac:dyDescent="0.25">
      <c r="A2" t="s">
        <v>3</v>
      </c>
    </row>
    <row r="3" spans="1:8" ht="21.95" customHeight="1" x14ac:dyDescent="0.25">
      <c r="A3" s="45" t="s">
        <v>4</v>
      </c>
      <c r="B3" s="45"/>
      <c r="C3" s="45"/>
      <c r="D3" s="45"/>
      <c r="E3" s="45"/>
      <c r="F3" s="45"/>
    </row>
    <row r="4" spans="1:8" ht="21.95" customHeight="1" x14ac:dyDescent="0.25"/>
    <row r="5" spans="1:8" ht="21.95" customHeight="1" x14ac:dyDescent="0.25">
      <c r="B5" t="s">
        <v>5</v>
      </c>
      <c r="D5" s="29" t="s">
        <v>37</v>
      </c>
      <c r="E5" s="30" t="s">
        <v>32</v>
      </c>
      <c r="F5" s="31">
        <v>2023</v>
      </c>
    </row>
    <row r="6" spans="1:8" ht="21.95" customHeight="1" x14ac:dyDescent="0.25"/>
    <row r="7" spans="1:8" ht="21.95" customHeight="1" x14ac:dyDescent="0.25">
      <c r="A7" s="44" t="s">
        <v>7</v>
      </c>
      <c r="B7" s="44"/>
      <c r="C7" s="32" t="s">
        <v>20</v>
      </c>
      <c r="D7" s="32" t="s">
        <v>21</v>
      </c>
      <c r="E7" s="32" t="s">
        <v>23</v>
      </c>
      <c r="F7" s="32" t="s">
        <v>22</v>
      </c>
    </row>
    <row r="8" spans="1:8" ht="21.95" customHeight="1" x14ac:dyDescent="0.25">
      <c r="A8" s="2" t="s">
        <v>8</v>
      </c>
      <c r="B8" s="3"/>
      <c r="C8" s="33">
        <v>2060</v>
      </c>
      <c r="D8" s="33">
        <f>423+252</f>
        <v>675</v>
      </c>
      <c r="E8" s="33">
        <f>C8-F8-D8</f>
        <v>0</v>
      </c>
      <c r="F8" s="33">
        <f>C8-D8</f>
        <v>1385</v>
      </c>
      <c r="H8" s="25"/>
    </row>
    <row r="9" spans="1:8" ht="21.95" customHeight="1" x14ac:dyDescent="0.25">
      <c r="A9" s="4" t="s">
        <v>9</v>
      </c>
      <c r="B9" s="5"/>
      <c r="C9" s="34">
        <v>2030</v>
      </c>
      <c r="D9" s="34">
        <v>987</v>
      </c>
      <c r="E9" s="34"/>
      <c r="F9" s="33">
        <f>C9-D9</f>
        <v>1043</v>
      </c>
      <c r="H9" s="25"/>
    </row>
    <row r="10" spans="1:8" ht="21.95" customHeight="1" x14ac:dyDescent="0.25">
      <c r="A10" s="7" t="s">
        <v>10</v>
      </c>
      <c r="B10" s="8"/>
      <c r="C10" s="35">
        <v>2850</v>
      </c>
      <c r="D10" s="35">
        <v>768</v>
      </c>
      <c r="E10" s="35"/>
      <c r="F10" s="33">
        <f>C10-D10</f>
        <v>2082</v>
      </c>
      <c r="H10" s="25"/>
    </row>
    <row r="11" spans="1:8" ht="21.95" customHeight="1" x14ac:dyDescent="0.25">
      <c r="A11" s="17" t="s">
        <v>24</v>
      </c>
      <c r="B11" s="18"/>
      <c r="C11" s="36">
        <f>SUM(C8:C10)</f>
        <v>6940</v>
      </c>
      <c r="D11" s="36">
        <f t="shared" ref="D11" si="0">SUM(D8:D10)</f>
        <v>2430</v>
      </c>
      <c r="E11" s="36">
        <f>SUM(E8:E10)</f>
        <v>0</v>
      </c>
      <c r="F11" s="37">
        <f>C11-D11</f>
        <v>4510</v>
      </c>
      <c r="G11" s="24"/>
      <c r="H11" s="25"/>
    </row>
    <row r="12" spans="1:8" ht="21.95" customHeight="1" x14ac:dyDescent="0.25">
      <c r="A12" s="9" t="s">
        <v>11</v>
      </c>
      <c r="B12" s="10"/>
      <c r="C12" s="38">
        <v>2440</v>
      </c>
      <c r="D12" s="38">
        <v>883</v>
      </c>
      <c r="E12" s="38"/>
      <c r="F12" s="33">
        <f t="shared" ref="F12:F18" si="1">C12-D12</f>
        <v>1557</v>
      </c>
      <c r="H12" s="25"/>
    </row>
    <row r="13" spans="1:8" ht="21.95" customHeight="1" x14ac:dyDescent="0.25">
      <c r="A13" s="4" t="s">
        <v>12</v>
      </c>
      <c r="B13" s="5"/>
      <c r="C13" s="34">
        <v>2310</v>
      </c>
      <c r="D13" s="34">
        <v>605</v>
      </c>
      <c r="E13" s="34"/>
      <c r="F13" s="33">
        <f t="shared" si="1"/>
        <v>1705</v>
      </c>
      <c r="H13" s="25"/>
    </row>
    <row r="14" spans="1:8" ht="21.95" customHeight="1" x14ac:dyDescent="0.25">
      <c r="A14" s="7" t="s">
        <v>13</v>
      </c>
      <c r="B14" s="8"/>
      <c r="C14" s="35">
        <v>1990</v>
      </c>
      <c r="D14" s="35">
        <v>529</v>
      </c>
      <c r="E14" s="35"/>
      <c r="F14" s="33">
        <f t="shared" si="1"/>
        <v>1461</v>
      </c>
      <c r="H14" s="25"/>
    </row>
    <row r="15" spans="1:8" ht="21.95" customHeight="1" x14ac:dyDescent="0.25">
      <c r="A15" s="17" t="s">
        <v>25</v>
      </c>
      <c r="B15" s="18"/>
      <c r="C15" s="36">
        <f>SUM(C12:C14)</f>
        <v>6740</v>
      </c>
      <c r="D15" s="36">
        <f>SUM(D12:D14)</f>
        <v>2017</v>
      </c>
      <c r="E15" s="36"/>
      <c r="F15" s="37">
        <f>C15-D15</f>
        <v>4723</v>
      </c>
      <c r="G15" s="24"/>
      <c r="H15" s="25"/>
    </row>
    <row r="16" spans="1:8" ht="21.95" customHeight="1" x14ac:dyDescent="0.25">
      <c r="A16" s="9" t="s">
        <v>14</v>
      </c>
      <c r="B16" s="10"/>
      <c r="C16" s="38">
        <v>2010</v>
      </c>
      <c r="D16" s="38">
        <v>554</v>
      </c>
      <c r="E16" s="38"/>
      <c r="F16" s="33">
        <f t="shared" si="1"/>
        <v>1456</v>
      </c>
      <c r="H16" s="25"/>
    </row>
    <row r="17" spans="1:8" ht="21.95" customHeight="1" x14ac:dyDescent="0.25">
      <c r="A17" s="4" t="s">
        <v>15</v>
      </c>
      <c r="B17" s="5"/>
      <c r="C17" s="34">
        <v>2180</v>
      </c>
      <c r="D17" s="34">
        <v>544</v>
      </c>
      <c r="E17" s="34"/>
      <c r="F17" s="33">
        <f>C17-D17</f>
        <v>1636</v>
      </c>
      <c r="H17" s="25"/>
    </row>
    <row r="18" spans="1:8" ht="21.95" customHeight="1" x14ac:dyDescent="0.25">
      <c r="A18" s="7" t="s">
        <v>16</v>
      </c>
      <c r="B18" s="8"/>
      <c r="C18" s="35">
        <v>1840</v>
      </c>
      <c r="D18" s="35">
        <v>633</v>
      </c>
      <c r="E18" s="35"/>
      <c r="F18" s="33">
        <f t="shared" si="1"/>
        <v>1207</v>
      </c>
      <c r="H18" s="25"/>
    </row>
    <row r="19" spans="1:8" ht="21.95" customHeight="1" x14ac:dyDescent="0.25">
      <c r="A19" s="17" t="s">
        <v>26</v>
      </c>
      <c r="B19" s="18"/>
      <c r="C19" s="36">
        <f>SUM(C16:C18)</f>
        <v>6030</v>
      </c>
      <c r="D19" s="36">
        <f>SUM(D16:D18)</f>
        <v>1731</v>
      </c>
      <c r="E19" s="36"/>
      <c r="F19" s="37">
        <f>C19-D19</f>
        <v>4299</v>
      </c>
      <c r="G19" s="24"/>
      <c r="H19" s="25"/>
    </row>
    <row r="20" spans="1:8" ht="21.95" customHeight="1" x14ac:dyDescent="0.25">
      <c r="A20" s="9" t="s">
        <v>17</v>
      </c>
      <c r="B20" s="10"/>
      <c r="C20" s="38"/>
      <c r="D20" s="38"/>
      <c r="E20" s="38"/>
      <c r="F20" s="33"/>
      <c r="H20" s="25"/>
    </row>
    <row r="21" spans="1:8" ht="21.95" customHeight="1" x14ac:dyDescent="0.25">
      <c r="A21" s="4" t="s">
        <v>18</v>
      </c>
      <c r="B21" s="5"/>
      <c r="C21" s="34">
        <v>1760</v>
      </c>
      <c r="D21" s="34">
        <v>1018</v>
      </c>
      <c r="E21" s="34"/>
      <c r="F21" s="33">
        <f>C21-D21</f>
        <v>742</v>
      </c>
      <c r="G21" s="25"/>
      <c r="H21" s="25"/>
    </row>
    <row r="22" spans="1:8" ht="21.95" customHeight="1" x14ac:dyDescent="0.25">
      <c r="A22" s="7" t="s">
        <v>19</v>
      </c>
      <c r="B22" s="8"/>
      <c r="C22" s="35">
        <v>2030</v>
      </c>
      <c r="D22" s="35">
        <v>655</v>
      </c>
      <c r="E22" s="35"/>
      <c r="F22" s="33">
        <f>C22-D22</f>
        <v>1375</v>
      </c>
      <c r="G22" s="25"/>
      <c r="H22" s="25"/>
    </row>
    <row r="23" spans="1:8" ht="21.95" customHeight="1" x14ac:dyDescent="0.25">
      <c r="A23" s="17" t="s">
        <v>27</v>
      </c>
      <c r="B23" s="18"/>
      <c r="C23" s="36">
        <f>SUM(C20:C22)</f>
        <v>3790</v>
      </c>
      <c r="D23" s="36">
        <f>SUM(D20:D22)</f>
        <v>1673</v>
      </c>
      <c r="E23" s="36"/>
      <c r="F23" s="36">
        <f>C23-D23</f>
        <v>2117</v>
      </c>
      <c r="G23" s="24"/>
    </row>
    <row r="24" spans="1:8" ht="21.95" customHeight="1" x14ac:dyDescent="0.25">
      <c r="A24" s="26"/>
      <c r="B24" s="27"/>
      <c r="C24" s="39">
        <f>+C23+C19+C15+C11</f>
        <v>23500</v>
      </c>
      <c r="D24" s="40">
        <f>D23+D19+D15+D11</f>
        <v>7851</v>
      </c>
      <c r="E24" s="39"/>
      <c r="F24" s="40">
        <f>C24-D24</f>
        <v>15649</v>
      </c>
      <c r="G24" s="24"/>
    </row>
    <row r="25" spans="1:8" ht="21.95" customHeight="1" x14ac:dyDescent="0.25">
      <c r="A25" s="25"/>
      <c r="C25" s="28">
        <v>23500</v>
      </c>
      <c r="D25" s="41">
        <v>1978</v>
      </c>
      <c r="F25" s="41">
        <f>C25*D25</f>
        <v>46483000</v>
      </c>
    </row>
    <row r="26" spans="1:8" ht="21.95" customHeight="1" x14ac:dyDescent="0.25">
      <c r="A26" s="16" t="s">
        <v>28</v>
      </c>
      <c r="C26" s="42" t="s">
        <v>29</v>
      </c>
    </row>
    <row r="27" spans="1:8" ht="21.95" customHeight="1" x14ac:dyDescent="0.25">
      <c r="C27" s="42" t="s">
        <v>33</v>
      </c>
    </row>
    <row r="28" spans="1:8" ht="21.95" customHeight="1" x14ac:dyDescent="0.25">
      <c r="C28" s="42" t="s">
        <v>30</v>
      </c>
    </row>
    <row r="29" spans="1:8" ht="21.95" customHeight="1" x14ac:dyDescent="0.25">
      <c r="C29" s="43" t="s">
        <v>31</v>
      </c>
    </row>
  </sheetData>
  <mergeCells count="2">
    <mergeCell ref="A3:F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 TIN</vt:lpstr>
      <vt:lpstr>BÁO CÁO</vt:lpstr>
      <vt:lpstr>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ProBook</cp:lastModifiedBy>
  <dcterms:created xsi:type="dcterms:W3CDTF">2016-04-11T03:39:34Z</dcterms:created>
  <dcterms:modified xsi:type="dcterms:W3CDTF">2024-04-01T03:30:37Z</dcterms:modified>
</cp:coreProperties>
</file>