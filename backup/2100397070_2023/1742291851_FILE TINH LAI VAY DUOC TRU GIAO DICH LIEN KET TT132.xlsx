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0" windowWidth="20730" windowHeight="11040" activeTab="1"/>
  </bookViews>
  <sheets>
    <sheet name="Thong tin" sheetId="3" r:id="rId1"/>
    <sheet name="Số liệu mẫu" sheetId="1" r:id="rId2"/>
    <sheet name="Nhập số liệu" sheetId="4" r:id="rId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E14" i="1" s="1"/>
  <c r="E10" i="1"/>
  <c r="D28" i="1"/>
  <c r="D24" i="1"/>
  <c r="D22" i="1"/>
  <c r="D19" i="1"/>
  <c r="D14" i="1"/>
  <c r="D13" i="1"/>
  <c r="C20" i="1"/>
  <c r="E16" i="1" l="1"/>
  <c r="E15" i="1"/>
  <c r="D16" i="1" l="1"/>
  <c r="D10" i="1"/>
  <c r="C14" i="1"/>
  <c r="D15" i="1" l="1"/>
  <c r="C15" i="1"/>
  <c r="C13" i="1" l="1"/>
  <c r="C10" i="1"/>
  <c r="C26" i="1" l="1"/>
  <c r="C10" i="4" l="1"/>
  <c r="C13" i="4" s="1"/>
  <c r="C14" i="4" s="1"/>
  <c r="B10" i="4"/>
  <c r="B13" i="4" s="1"/>
  <c r="B14" i="4" s="1"/>
  <c r="B15" i="4" s="1"/>
  <c r="B16" i="4" s="1"/>
  <c r="A3" i="4"/>
  <c r="A2" i="4"/>
  <c r="A1" i="4"/>
  <c r="A3" i="1"/>
  <c r="A2" i="1"/>
  <c r="A1" i="1"/>
  <c r="B10" i="1"/>
  <c r="B13" i="1" l="1"/>
  <c r="B14" i="1" s="1"/>
  <c r="B15" i="1" s="1"/>
  <c r="B16" i="1" s="1"/>
  <c r="C16" i="1" s="1"/>
  <c r="C16" i="4"/>
</calcChain>
</file>

<file path=xl/sharedStrings.xml><?xml version="1.0" encoding="utf-8"?>
<sst xmlns="http://schemas.openxmlformats.org/spreadsheetml/2006/main" count="48" uniqueCount="31">
  <si>
    <t xml:space="preserve">Chỉ tiêu </t>
  </si>
  <si>
    <t>Năm 2020</t>
  </si>
  <si>
    <t>Năm 2021</t>
  </si>
  <si>
    <r>
      <t xml:space="preserve">Chi phí lãi vay </t>
    </r>
    <r>
      <rPr>
        <sz val="11"/>
        <color rgb="FFFF0000"/>
        <rFont val="Calibri"/>
        <family val="2"/>
        <scheme val="minor"/>
      </rPr>
      <t>(1)</t>
    </r>
  </si>
  <si>
    <r>
      <t xml:space="preserve">Lãi tiền gửi, lãi cho vay </t>
    </r>
    <r>
      <rPr>
        <sz val="11"/>
        <color rgb="FFFF0000"/>
        <rFont val="Calibri"/>
        <family val="2"/>
        <scheme val="minor"/>
      </rPr>
      <t>(2)</t>
    </r>
  </si>
  <si>
    <r>
      <t xml:space="preserve">Chi phí lãi vay trừ lãi tiền gửi, cho vay </t>
    </r>
    <r>
      <rPr>
        <sz val="11"/>
        <color rgb="FFFF0000"/>
        <rFont val="Calibri"/>
        <family val="2"/>
        <scheme val="minor"/>
      </rPr>
      <t>(3) =(1) - (2)</t>
    </r>
  </si>
  <si>
    <r>
      <t xml:space="preserve">Chi phí khấu hao </t>
    </r>
    <r>
      <rPr>
        <sz val="11"/>
        <color rgb="FFFF0000"/>
        <rFont val="Calibri"/>
        <family val="2"/>
        <scheme val="minor"/>
      </rPr>
      <t>(4)</t>
    </r>
  </si>
  <si>
    <r>
      <t xml:space="preserve">Lợi nhuần thuần từ hoạt động sản xuất kinh doanh trong kỳ </t>
    </r>
    <r>
      <rPr>
        <sz val="11"/>
        <color rgb="FFFF0000"/>
        <rFont val="Calibri"/>
        <family val="2"/>
        <scheme val="minor"/>
      </rPr>
      <t>(5)</t>
    </r>
  </si>
  <si>
    <r>
      <t xml:space="preserve">EBITDA </t>
    </r>
    <r>
      <rPr>
        <sz val="11"/>
        <color rgb="FFFF0000"/>
        <rFont val="Calibri"/>
        <family val="2"/>
        <scheme val="minor"/>
      </rPr>
      <t>(6)= (3) + (4) + (5)</t>
    </r>
  </si>
  <si>
    <r>
      <t xml:space="preserve">Lãi vay được trừ </t>
    </r>
    <r>
      <rPr>
        <sz val="11"/>
        <color rgb="FFFF0000"/>
        <rFont val="Calibri"/>
        <family val="2"/>
        <scheme val="minor"/>
      </rPr>
      <t>(7) = 30% x (6)</t>
    </r>
  </si>
  <si>
    <r>
      <t xml:space="preserve">Chi phí lãi vay không được trừ kỳ này </t>
    </r>
    <r>
      <rPr>
        <sz val="11"/>
        <color rgb="FFFF0000"/>
        <rFont val="Calibri"/>
        <family val="2"/>
        <scheme val="minor"/>
      </rPr>
      <t>(8) = (3) - (7)</t>
    </r>
  </si>
  <si>
    <r>
      <t xml:space="preserve">Chi phí lãi vay không được trừ được chuyển tiếp trừ kỳ sau </t>
    </r>
    <r>
      <rPr>
        <sz val="11"/>
        <color rgb="FFFF0000"/>
        <rFont val="Calibri"/>
        <family val="2"/>
        <scheme val="minor"/>
      </rPr>
      <t xml:space="preserve">(9) </t>
    </r>
  </si>
  <si>
    <t>Năm 2022</t>
  </si>
  <si>
    <t>Năm 2023</t>
  </si>
  <si>
    <t>Năm 2024</t>
  </si>
  <si>
    <t>BẢNG TÍNH CHI PHÍ LÃI VAY  KHI PHÁT SINH GIAO DỊCH LIÊN KẾT</t>
  </si>
  <si>
    <t>Tên doanh nghiệp :</t>
  </si>
  <si>
    <t>Địa chỉ :</t>
  </si>
  <si>
    <t>Mã số thuế:</t>
  </si>
  <si>
    <t xml:space="preserve">Tạo ngày </t>
  </si>
  <si>
    <t>(Theo hướng dẫn tại Nghị định 132/2020/NĐ-CP ngày 05/11/2020)</t>
  </si>
  <si>
    <t>Lưu ý: Đặt tên File là MST_tênDN</t>
  </si>
  <si>
    <t xml:space="preserve">Trà vinh, ngày    tháng    năm </t>
  </si>
  <si>
    <t>Lập bảng</t>
  </si>
  <si>
    <t>(Ký, họ tên)</t>
  </si>
  <si>
    <t xml:space="preserve">Giám đốc </t>
  </si>
  <si>
    <t>(Ký, họ tên, đóng dấu)</t>
  </si>
  <si>
    <t>TÀI LIỆU LƯU HÀNH NỘI BỘ KHÔNG ĐƯỢC PHÉP PHỔ BIẾN RA BÊN NGOÀI</t>
  </si>
  <si>
    <t xml:space="preserve">CÔNG TY CP TƯ VẤN XÂY DỰNG TÂN TÂY NAM
</t>
  </si>
  <si>
    <t xml:space="preserve">Số 9, Phú Hòa, Khóm 1, Phường 1, Tp. Trà Vinh
</t>
  </si>
  <si>
    <t>Năm 2020 thu hồi lãi vay do tồn quĩ nhiều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</si>
</sst>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rgb="FF000000"/>
      </left>
      <right/>
      <top/>
      <bottom style="mediumDashed">
        <color rgb="FF000000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3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3" fontId="0" fillId="0" borderId="2" xfId="0" applyNumberFormat="1" applyBorder="1"/>
    <xf numFmtId="3" fontId="0" fillId="0" borderId="3" xfId="0" applyNumberFormat="1" applyBorder="1"/>
    <xf numFmtId="0" fontId="0" fillId="3" borderId="3" xfId="0" applyFill="1" applyBorder="1"/>
    <xf numFmtId="3" fontId="0" fillId="3" borderId="3" xfId="0" applyNumberFormat="1" applyFill="1" applyBorder="1"/>
    <xf numFmtId="3" fontId="4" fillId="0" borderId="3" xfId="0" applyNumberFormat="1" applyFont="1" applyBorder="1"/>
    <xf numFmtId="3" fontId="5" fillId="0" borderId="3" xfId="0" applyNumberFormat="1" applyFont="1" applyBorder="1"/>
    <xf numFmtId="3" fontId="6" fillId="0" borderId="4" xfId="0" applyNumberFormat="1" applyFont="1" applyBorder="1" applyAlignment="1">
      <alignment vertical="center"/>
    </xf>
    <xf numFmtId="0" fontId="2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" fillId="0" borderId="0" xfId="0" applyFont="1"/>
    <xf numFmtId="0" fontId="5" fillId="4" borderId="0" xfId="0" applyFont="1" applyFill="1"/>
    <xf numFmtId="14" fontId="5" fillId="4" borderId="0" xfId="0" applyNumberFormat="1" applyFont="1" applyFill="1"/>
    <xf numFmtId="3" fontId="11" fillId="0" borderId="4" xfId="0" applyNumberFormat="1" applyFont="1" applyBorder="1" applyAlignment="1">
      <alignment vertical="center"/>
    </xf>
    <xf numFmtId="0" fontId="2" fillId="0" borderId="0" xfId="0" applyFont="1" applyAlignment="1">
      <alignment wrapText="1"/>
    </xf>
    <xf numFmtId="165" fontId="0" fillId="0" borderId="0" xfId="1" applyNumberFormat="1" applyFont="1"/>
    <xf numFmtId="165" fontId="0" fillId="0" borderId="0" xfId="0" applyNumberFormat="1"/>
    <xf numFmtId="0" fontId="0" fillId="4" borderId="0" xfId="0" applyFill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3" fontId="13" fillId="0" borderId="5" xfId="0" applyNumberFormat="1" applyFont="1" applyBorder="1" applyAlignment="1">
      <alignment horizontal="right" vertical="center" wrapText="1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F6" sqref="F6"/>
    </sheetView>
  </sheetViews>
  <sheetFormatPr defaultRowHeight="15" x14ac:dyDescent="0.25"/>
  <cols>
    <col min="1" max="1" width="17.7109375" customWidth="1"/>
    <col min="2" max="2" width="12.28515625" customWidth="1"/>
  </cols>
  <sheetData>
    <row r="1" spans="1:7" ht="20.100000000000001" customHeight="1" x14ac:dyDescent="0.25"/>
    <row r="2" spans="1:7" ht="20.100000000000001" customHeight="1" x14ac:dyDescent="0.25"/>
    <row r="3" spans="1:7" ht="20.100000000000001" customHeight="1" x14ac:dyDescent="0.25">
      <c r="A3" t="s">
        <v>16</v>
      </c>
      <c r="B3" s="23" t="s">
        <v>28</v>
      </c>
    </row>
    <row r="4" spans="1:7" ht="20.100000000000001" customHeight="1" x14ac:dyDescent="0.25">
      <c r="A4" t="s">
        <v>17</v>
      </c>
      <c r="B4" s="23" t="s">
        <v>29</v>
      </c>
    </row>
    <row r="5" spans="1:7" ht="20.100000000000001" customHeight="1" x14ac:dyDescent="0.25">
      <c r="A5" t="s">
        <v>18</v>
      </c>
      <c r="B5" s="13">
        <v>2100397070</v>
      </c>
    </row>
    <row r="6" spans="1:7" ht="20.100000000000001" customHeight="1" x14ac:dyDescent="0.25"/>
    <row r="7" spans="1:7" ht="20.100000000000001" customHeight="1" x14ac:dyDescent="0.25"/>
    <row r="8" spans="1:7" ht="20.100000000000001" customHeight="1" x14ac:dyDescent="0.25"/>
    <row r="9" spans="1:7" ht="20.100000000000001" customHeight="1" x14ac:dyDescent="0.25"/>
    <row r="10" spans="1:7" ht="20.100000000000001" customHeight="1" x14ac:dyDescent="0.25"/>
    <row r="11" spans="1:7" ht="20.100000000000001" customHeight="1" x14ac:dyDescent="0.25"/>
    <row r="12" spans="1:7" ht="20.100000000000001" customHeight="1" x14ac:dyDescent="0.25">
      <c r="A12" s="14" t="s">
        <v>27</v>
      </c>
      <c r="B12" s="19"/>
      <c r="C12" s="19"/>
      <c r="D12" s="19"/>
      <c r="E12" s="19"/>
      <c r="F12" s="19"/>
      <c r="G12" s="18"/>
    </row>
    <row r="13" spans="1:7" ht="20.100000000000001" customHeight="1" x14ac:dyDescent="0.25"/>
    <row r="14" spans="1:7" ht="20.100000000000001" customHeight="1" x14ac:dyDescent="0.25">
      <c r="A14" s="20" t="s">
        <v>19</v>
      </c>
      <c r="B14" s="21">
        <v>44628</v>
      </c>
    </row>
    <row r="15" spans="1:7" ht="20.100000000000001" customHeight="1" x14ac:dyDescent="0.25"/>
    <row r="16" spans="1:7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A4" workbookViewId="0">
      <selection activeCell="G16" sqref="G16"/>
    </sheetView>
  </sheetViews>
  <sheetFormatPr defaultRowHeight="15" x14ac:dyDescent="0.25"/>
  <cols>
    <col min="1" max="1" width="42.7109375" customWidth="1"/>
    <col min="2" max="6" width="13.5703125" customWidth="1"/>
  </cols>
  <sheetData>
    <row r="1" spans="1:6" x14ac:dyDescent="0.25">
      <c r="A1" t="str">
        <f>" Tên doanh nghiệp: "&amp;'Thong tin'!B3</f>
        <v xml:space="preserve"> Tên doanh nghiệp: CÔNG TY CP TƯ VẤN XÂY DỰNG TÂN TÂY NAM
</v>
      </c>
    </row>
    <row r="2" spans="1:6" x14ac:dyDescent="0.25">
      <c r="A2" t="str">
        <f>"Trụ sở chính: " &amp; 'Thong tin'!B4</f>
        <v xml:space="preserve">Trụ sở chính: Số 9, Phú Hòa, Khóm 1, Phường 1, Tp. Trà Vinh
</v>
      </c>
    </row>
    <row r="3" spans="1:6" x14ac:dyDescent="0.25">
      <c r="A3" t="str">
        <f>"Mã số thuế : " &amp; 'Thong tin'!B5</f>
        <v>Mã số thuế : 2100397070</v>
      </c>
    </row>
    <row r="4" spans="1:6" ht="20.100000000000001" customHeight="1" x14ac:dyDescent="0.25">
      <c r="A4" s="27" t="s">
        <v>15</v>
      </c>
      <c r="B4" s="27"/>
      <c r="C4" s="27"/>
      <c r="D4" s="27"/>
      <c r="E4" s="27"/>
      <c r="F4" s="27"/>
    </row>
    <row r="5" spans="1:6" ht="20.100000000000001" customHeight="1" x14ac:dyDescent="0.25">
      <c r="A5" s="28" t="s">
        <v>20</v>
      </c>
      <c r="B5" s="28"/>
      <c r="C5" s="28"/>
      <c r="D5" s="28"/>
      <c r="E5" s="28"/>
      <c r="F5" s="28"/>
    </row>
    <row r="6" spans="1:6" ht="20.100000000000001" customHeight="1" x14ac:dyDescent="0.25"/>
    <row r="7" spans="1:6" ht="34.5" customHeight="1" x14ac:dyDescent="0.25">
      <c r="A7" s="4" t="s">
        <v>0</v>
      </c>
      <c r="B7" s="4" t="s">
        <v>1</v>
      </c>
      <c r="C7" s="4" t="s">
        <v>2</v>
      </c>
      <c r="D7" s="4" t="s">
        <v>12</v>
      </c>
      <c r="E7" s="4" t="s">
        <v>13</v>
      </c>
      <c r="F7" s="4" t="s">
        <v>14</v>
      </c>
    </row>
    <row r="8" spans="1:6" ht="20.100000000000001" customHeight="1" x14ac:dyDescent="0.25">
      <c r="A8" s="1" t="s">
        <v>3</v>
      </c>
      <c r="B8" s="6"/>
      <c r="C8" s="6">
        <v>451540584</v>
      </c>
      <c r="D8" s="6">
        <v>582414094</v>
      </c>
      <c r="E8" s="6">
        <v>733364806</v>
      </c>
      <c r="F8" s="6"/>
    </row>
    <row r="9" spans="1:6" ht="20.100000000000001" customHeight="1" x14ac:dyDescent="0.25">
      <c r="A9" s="2" t="s">
        <v>4</v>
      </c>
      <c r="B9" s="7"/>
      <c r="C9" s="7">
        <v>216158</v>
      </c>
      <c r="D9" s="7">
        <v>194966</v>
      </c>
      <c r="E9" s="7">
        <v>181573</v>
      </c>
      <c r="F9" s="7"/>
    </row>
    <row r="10" spans="1:6" ht="20.100000000000001" customHeight="1" x14ac:dyDescent="0.25">
      <c r="A10" s="8" t="s">
        <v>5</v>
      </c>
      <c r="B10" s="9">
        <f>B8-B9</f>
        <v>0</v>
      </c>
      <c r="C10" s="9">
        <f>C8-C9</f>
        <v>451324426</v>
      </c>
      <c r="D10" s="9">
        <f>D8-D9</f>
        <v>582219128</v>
      </c>
      <c r="E10" s="9">
        <f>E8-E9</f>
        <v>733183233</v>
      </c>
      <c r="F10" s="9"/>
    </row>
    <row r="11" spans="1:6" ht="20.100000000000001" customHeight="1" x14ac:dyDescent="0.25">
      <c r="A11" s="2" t="s">
        <v>6</v>
      </c>
      <c r="B11" s="7"/>
      <c r="C11" s="7">
        <v>321885084</v>
      </c>
      <c r="D11" s="7">
        <v>319527251</v>
      </c>
      <c r="E11" s="7">
        <v>313836737</v>
      </c>
      <c r="F11" s="7"/>
    </row>
    <row r="12" spans="1:6" ht="33.75" customHeight="1" x14ac:dyDescent="0.25">
      <c r="A12" s="3" t="s">
        <v>7</v>
      </c>
      <c r="B12" s="7"/>
      <c r="C12" s="7">
        <v>27224424</v>
      </c>
      <c r="D12" s="7">
        <v>0</v>
      </c>
      <c r="E12" s="7">
        <v>0</v>
      </c>
      <c r="F12" s="7"/>
    </row>
    <row r="13" spans="1:6" ht="20.100000000000001" customHeight="1" x14ac:dyDescent="0.25">
      <c r="A13" s="8" t="s">
        <v>8</v>
      </c>
      <c r="B13" s="9">
        <f>SUM(B10:B12)</f>
        <v>0</v>
      </c>
      <c r="C13" s="9">
        <f>SUM(C10:C12)</f>
        <v>800433934</v>
      </c>
      <c r="D13" s="9">
        <f>SUM(D10:D12)</f>
        <v>901746379</v>
      </c>
      <c r="E13" s="9">
        <f>SUM(E10:E12)</f>
        <v>1047019970</v>
      </c>
      <c r="F13" s="9"/>
    </row>
    <row r="14" spans="1:6" ht="20.100000000000001" customHeight="1" x14ac:dyDescent="0.25">
      <c r="A14" s="2" t="s">
        <v>9</v>
      </c>
      <c r="B14" s="10">
        <f>B13*30%</f>
        <v>0</v>
      </c>
      <c r="C14" s="10">
        <f>C13*30%</f>
        <v>240130180.19999999</v>
      </c>
      <c r="D14" s="10">
        <f>D13*30%</f>
        <v>270523913.69999999</v>
      </c>
      <c r="E14" s="10">
        <f>E13*30%</f>
        <v>314105991</v>
      </c>
      <c r="F14" s="10"/>
    </row>
    <row r="15" spans="1:6" ht="20.100000000000001" customHeight="1" x14ac:dyDescent="0.25">
      <c r="A15" s="2" t="s">
        <v>10</v>
      </c>
      <c r="B15" s="11">
        <f>B10-B14</f>
        <v>0</v>
      </c>
      <c r="C15" s="11">
        <f>C10-C14</f>
        <v>211194245.80000001</v>
      </c>
      <c r="D15" s="11">
        <f>D10-D14</f>
        <v>311695214.30000001</v>
      </c>
      <c r="E15" s="11">
        <f>E10-E14</f>
        <v>419077242</v>
      </c>
      <c r="F15" s="11"/>
    </row>
    <row r="16" spans="1:6" ht="28.5" customHeight="1" x14ac:dyDescent="0.25">
      <c r="A16" s="5" t="s">
        <v>11</v>
      </c>
      <c r="B16" s="22">
        <f>B15</f>
        <v>0</v>
      </c>
      <c r="C16" s="22">
        <f>B16+C10-C14</f>
        <v>211194245.80000001</v>
      </c>
      <c r="D16" s="22">
        <f>C16+D10-D14</f>
        <v>522889460.09999996</v>
      </c>
      <c r="E16" s="22">
        <f>D16+E10-E14</f>
        <v>941966702.0999999</v>
      </c>
      <c r="F16" s="12"/>
    </row>
    <row r="17" spans="1:4" ht="20.100000000000001" customHeight="1" x14ac:dyDescent="0.25">
      <c r="B17" s="26" t="s">
        <v>30</v>
      </c>
      <c r="C17" s="26"/>
      <c r="D17" s="26"/>
    </row>
    <row r="18" spans="1:4" ht="20.100000000000001" customHeight="1" x14ac:dyDescent="0.25">
      <c r="C18" s="24"/>
    </row>
    <row r="19" spans="1:4" ht="20.100000000000001" customHeight="1" x14ac:dyDescent="0.25">
      <c r="A19" s="13" t="s">
        <v>21</v>
      </c>
      <c r="C19" s="24">
        <v>150513528</v>
      </c>
      <c r="D19" s="24">
        <f>+D15-100000000</f>
        <v>211695214.30000001</v>
      </c>
    </row>
    <row r="20" spans="1:4" ht="20.100000000000001" customHeight="1" x14ac:dyDescent="0.25">
      <c r="C20" s="24">
        <f>+C15-C19</f>
        <v>60680717.800000012</v>
      </c>
      <c r="D20" s="24">
        <v>35000000</v>
      </c>
    </row>
    <row r="21" spans="1:4" ht="20.100000000000001" customHeight="1" x14ac:dyDescent="0.25">
      <c r="C21" s="24"/>
      <c r="D21" s="24"/>
    </row>
    <row r="22" spans="1:4" x14ac:dyDescent="0.25">
      <c r="C22" s="24"/>
      <c r="D22" s="24">
        <f>+D19-D20</f>
        <v>176695214.30000001</v>
      </c>
    </row>
    <row r="23" spans="1:4" x14ac:dyDescent="0.25">
      <c r="C23" s="24">
        <v>270920</v>
      </c>
      <c r="D23" s="24"/>
    </row>
    <row r="24" spans="1:4" x14ac:dyDescent="0.25">
      <c r="C24" s="24"/>
      <c r="D24" s="24">
        <f>+D20*20%</f>
        <v>7000000</v>
      </c>
    </row>
    <row r="25" spans="1:4" x14ac:dyDescent="0.25">
      <c r="C25" s="24"/>
      <c r="D25" s="24"/>
    </row>
    <row r="26" spans="1:4" ht="15.75" thickBot="1" x14ac:dyDescent="0.3">
      <c r="C26" s="25">
        <f>+C24-C25</f>
        <v>0</v>
      </c>
      <c r="D26" s="29">
        <v>91452889</v>
      </c>
    </row>
    <row r="27" spans="1:4" x14ac:dyDescent="0.25">
      <c r="D27" s="24">
        <v>90392829</v>
      </c>
    </row>
    <row r="28" spans="1:4" x14ac:dyDescent="0.25">
      <c r="D28" s="25">
        <f>+D26-D27</f>
        <v>1060060</v>
      </c>
    </row>
    <row r="29" spans="1:4" x14ac:dyDescent="0.25">
      <c r="D29" s="30"/>
    </row>
  </sheetData>
  <mergeCells count="2">
    <mergeCell ref="A4:F4"/>
    <mergeCell ref="A5:F5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opLeftCell="A10" workbookViewId="0">
      <selection activeCell="A4" sqref="A4:F4"/>
    </sheetView>
  </sheetViews>
  <sheetFormatPr defaultRowHeight="15" x14ac:dyDescent="0.25"/>
  <cols>
    <col min="1" max="1" width="42.7109375" customWidth="1"/>
    <col min="2" max="6" width="13.5703125" customWidth="1"/>
  </cols>
  <sheetData>
    <row r="1" spans="1:6" x14ac:dyDescent="0.25">
      <c r="A1" t="str">
        <f>" Tên doanh nghiệp: "&amp;'Thong tin'!B3</f>
        <v xml:space="preserve"> Tên doanh nghiệp: CÔNG TY CP TƯ VẤN XÂY DỰNG TÂN TÂY NAM
</v>
      </c>
    </row>
    <row r="2" spans="1:6" x14ac:dyDescent="0.25">
      <c r="A2" t="str">
        <f>"Trụ sở chính: " &amp; 'Thong tin'!B4</f>
        <v xml:space="preserve">Trụ sở chính: Số 9, Phú Hòa, Khóm 1, Phường 1, Tp. Trà Vinh
</v>
      </c>
    </row>
    <row r="3" spans="1:6" x14ac:dyDescent="0.25">
      <c r="A3" t="str">
        <f>"Mã số thuế : " &amp; 'Thong tin'!B5</f>
        <v>Mã số thuế : 2100397070</v>
      </c>
    </row>
    <row r="4" spans="1:6" ht="20.100000000000001" customHeight="1" x14ac:dyDescent="0.25">
      <c r="A4" s="27" t="s">
        <v>15</v>
      </c>
      <c r="B4" s="27"/>
      <c r="C4" s="27"/>
      <c r="D4" s="27"/>
      <c r="E4" s="27"/>
      <c r="F4" s="27"/>
    </row>
    <row r="5" spans="1:6" ht="20.100000000000001" customHeight="1" x14ac:dyDescent="0.25">
      <c r="A5" s="28" t="s">
        <v>20</v>
      </c>
      <c r="B5" s="28"/>
      <c r="C5" s="28"/>
      <c r="D5" s="28"/>
      <c r="E5" s="28"/>
      <c r="F5" s="28"/>
    </row>
    <row r="6" spans="1:6" ht="20.100000000000001" customHeight="1" x14ac:dyDescent="0.25"/>
    <row r="7" spans="1:6" ht="34.5" customHeight="1" x14ac:dyDescent="0.25">
      <c r="A7" s="4" t="s">
        <v>0</v>
      </c>
      <c r="B7" s="4" t="s">
        <v>1</v>
      </c>
      <c r="C7" s="4" t="s">
        <v>2</v>
      </c>
      <c r="D7" s="4" t="s">
        <v>12</v>
      </c>
      <c r="E7" s="4" t="s">
        <v>13</v>
      </c>
      <c r="F7" s="4" t="s">
        <v>14</v>
      </c>
    </row>
    <row r="8" spans="1:6" ht="20.100000000000001" customHeight="1" x14ac:dyDescent="0.25">
      <c r="A8" s="1" t="s">
        <v>3</v>
      </c>
      <c r="B8" s="6"/>
      <c r="C8" s="6"/>
      <c r="D8" s="6"/>
      <c r="E8" s="6"/>
      <c r="F8" s="6"/>
    </row>
    <row r="9" spans="1:6" ht="20.100000000000001" customHeight="1" x14ac:dyDescent="0.25">
      <c r="A9" s="2" t="s">
        <v>4</v>
      </c>
      <c r="B9" s="7"/>
      <c r="C9" s="7"/>
      <c r="D9" s="7"/>
      <c r="E9" s="7"/>
      <c r="F9" s="7"/>
    </row>
    <row r="10" spans="1:6" ht="20.100000000000001" customHeight="1" x14ac:dyDescent="0.25">
      <c r="A10" s="8" t="s">
        <v>5</v>
      </c>
      <c r="B10" s="9">
        <f>B8-B9</f>
        <v>0</v>
      </c>
      <c r="C10" s="9">
        <f>C8-C9</f>
        <v>0</v>
      </c>
      <c r="D10" s="9"/>
      <c r="E10" s="9"/>
      <c r="F10" s="9"/>
    </row>
    <row r="11" spans="1:6" ht="20.100000000000001" customHeight="1" x14ac:dyDescent="0.25">
      <c r="A11" s="2" t="s">
        <v>6</v>
      </c>
      <c r="B11" s="7"/>
      <c r="C11" s="7"/>
      <c r="D11" s="7"/>
      <c r="E11" s="7"/>
      <c r="F11" s="7"/>
    </row>
    <row r="12" spans="1:6" ht="33.75" customHeight="1" x14ac:dyDescent="0.25">
      <c r="A12" s="3" t="s">
        <v>7</v>
      </c>
      <c r="B12" s="7"/>
      <c r="C12" s="7"/>
      <c r="D12" s="7"/>
      <c r="E12" s="7"/>
      <c r="F12" s="7"/>
    </row>
    <row r="13" spans="1:6" ht="20.100000000000001" customHeight="1" x14ac:dyDescent="0.25">
      <c r="A13" s="8" t="s">
        <v>8</v>
      </c>
      <c r="B13" s="9">
        <f>SUM(B10:B12)</f>
        <v>0</v>
      </c>
      <c r="C13" s="9">
        <f>SUM(C10:C12)</f>
        <v>0</v>
      </c>
      <c r="D13" s="9"/>
      <c r="E13" s="9"/>
      <c r="F13" s="9"/>
    </row>
    <row r="14" spans="1:6" ht="20.100000000000001" customHeight="1" x14ac:dyDescent="0.25">
      <c r="A14" s="2" t="s">
        <v>9</v>
      </c>
      <c r="B14" s="10">
        <f>B13*30%</f>
        <v>0</v>
      </c>
      <c r="C14" s="10">
        <f>C13*30%</f>
        <v>0</v>
      </c>
      <c r="D14" s="10"/>
      <c r="E14" s="10"/>
      <c r="F14" s="10"/>
    </row>
    <row r="15" spans="1:6" ht="20.100000000000001" customHeight="1" x14ac:dyDescent="0.25">
      <c r="A15" s="2" t="s">
        <v>10</v>
      </c>
      <c r="B15" s="11">
        <f>B10-B14</f>
        <v>0</v>
      </c>
      <c r="C15" s="11"/>
      <c r="D15" s="11"/>
      <c r="E15" s="11"/>
      <c r="F15" s="11"/>
    </row>
    <row r="16" spans="1:6" ht="28.5" customHeight="1" x14ac:dyDescent="0.25">
      <c r="A16" s="5" t="s">
        <v>11</v>
      </c>
      <c r="B16" s="12">
        <f>B15</f>
        <v>0</v>
      </c>
      <c r="C16" s="12">
        <f>B16+C10-C14</f>
        <v>0</v>
      </c>
      <c r="D16" s="12"/>
      <c r="E16" s="12"/>
      <c r="F16" s="12"/>
    </row>
    <row r="17" spans="1:5" ht="20.100000000000001" customHeight="1" x14ac:dyDescent="0.25"/>
    <row r="18" spans="1:5" ht="20.100000000000001" customHeight="1" x14ac:dyDescent="0.25">
      <c r="E18" s="15" t="s">
        <v>22</v>
      </c>
    </row>
    <row r="19" spans="1:5" ht="20.100000000000001" customHeight="1" x14ac:dyDescent="0.25">
      <c r="A19" s="16" t="s">
        <v>23</v>
      </c>
      <c r="E19" s="15" t="s">
        <v>25</v>
      </c>
    </row>
    <row r="20" spans="1:5" ht="20.100000000000001" customHeight="1" x14ac:dyDescent="0.25">
      <c r="A20" s="17" t="s">
        <v>24</v>
      </c>
      <c r="E20" s="17" t="s">
        <v>26</v>
      </c>
    </row>
    <row r="21" spans="1:5" ht="20.100000000000001" customHeight="1" x14ac:dyDescent="0.25"/>
  </sheetData>
  <mergeCells count="2">
    <mergeCell ref="A4:F4"/>
    <mergeCell ref="A5:F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Thong tin</vt:lpstr>
      <vt:lpstr>Số liệu mẫu</vt:lpstr>
      <vt:lpstr>Nhập số liệu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ProBook</cp:lastModifiedBy>
  <cp:lastPrinted>2022-03-08T03:29:58Z</cp:lastPrinted>
  <dcterms:created xsi:type="dcterms:W3CDTF">2022-03-08T02:33:07Z</dcterms:created>
  <dcterms:modified xsi:type="dcterms:W3CDTF">2024-03-08T16:36:39Z</dcterms:modified>
</cp:coreProperties>
</file>