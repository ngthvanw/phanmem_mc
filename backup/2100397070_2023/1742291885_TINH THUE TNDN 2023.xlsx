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2995" windowHeight="10545"/>
  </bookViews>
  <sheets>
    <sheet name="BCQT" sheetId="1" r:id="rId1"/>
    <sheet name="TTNDN" sheetId="2" r:id="rId2"/>
  </sheets>
  <calcPr calcId="144525"/>
</workbook>
</file>

<file path=xl/calcChain.xml><?xml version="1.0" encoding="utf-8"?>
<calcChain xmlns="http://schemas.openxmlformats.org/spreadsheetml/2006/main">
  <c r="I18" i="2" l="1"/>
  <c r="G18" i="2" l="1"/>
  <c r="F16" i="2" l="1"/>
  <c r="E15" i="2"/>
  <c r="F12" i="2"/>
  <c r="F15" i="2"/>
  <c r="F13" i="2" l="1"/>
  <c r="F10" i="2"/>
  <c r="E15" i="1" l="1"/>
  <c r="E16" i="1"/>
  <c r="E17" i="1"/>
  <c r="E18" i="1"/>
  <c r="E19" i="1"/>
  <c r="E20" i="1"/>
  <c r="E21" i="1"/>
  <c r="E22" i="1"/>
  <c r="E23" i="1"/>
  <c r="E24" i="1"/>
  <c r="E25" i="1"/>
  <c r="E26" i="1"/>
  <c r="E14" i="1"/>
  <c r="E11" i="1"/>
  <c r="E12" i="1"/>
  <c r="E10" i="1"/>
  <c r="J11" i="1"/>
  <c r="J12" i="1"/>
  <c r="J24" i="1"/>
  <c r="J23" i="1"/>
  <c r="J22" i="1"/>
  <c r="J21" i="1"/>
  <c r="C12" i="2"/>
  <c r="I15" i="1"/>
  <c r="I16" i="1"/>
  <c r="I17" i="1"/>
  <c r="I18" i="1"/>
  <c r="I19" i="1"/>
  <c r="I20" i="1"/>
  <c r="I21" i="1"/>
  <c r="I22" i="1"/>
  <c r="I23" i="1"/>
  <c r="I24" i="1"/>
  <c r="I25" i="1"/>
  <c r="I26" i="1"/>
  <c r="I11" i="1"/>
  <c r="I10" i="1"/>
  <c r="C13" i="1"/>
  <c r="C28" i="1"/>
  <c r="H11" i="1" l="1"/>
  <c r="L11" i="2" l="1"/>
  <c r="H13" i="1"/>
  <c r="G13" i="1"/>
  <c r="J15" i="1"/>
  <c r="J16" i="1"/>
  <c r="J17" i="1"/>
  <c r="J18" i="1"/>
  <c r="J19" i="1"/>
  <c r="J20" i="1"/>
  <c r="J25" i="1"/>
  <c r="J26" i="1"/>
  <c r="J14" i="1"/>
  <c r="J10" i="1"/>
  <c r="H9" i="1"/>
  <c r="I14" i="1"/>
  <c r="I12" i="1"/>
  <c r="G11" i="1"/>
  <c r="G9" i="1" s="1"/>
  <c r="D9" i="1"/>
  <c r="D13" i="1"/>
  <c r="C9" i="1"/>
  <c r="I9" i="1" l="1"/>
  <c r="I13" i="1"/>
  <c r="C15" i="2" s="1"/>
  <c r="C11" i="2"/>
  <c r="G28" i="1"/>
  <c r="J9" i="1"/>
  <c r="D12" i="2" s="1"/>
  <c r="D11" i="2"/>
  <c r="H28" i="1"/>
  <c r="J13" i="1"/>
  <c r="D15" i="2" s="1"/>
  <c r="G15" i="2" s="1"/>
  <c r="D28" i="1"/>
  <c r="E27" i="1"/>
  <c r="C13" i="2" l="1"/>
  <c r="C10" i="2"/>
  <c r="I28" i="1"/>
  <c r="D13" i="2"/>
  <c r="J28" i="1"/>
  <c r="D10" i="2"/>
  <c r="E9" i="1"/>
  <c r="E13" i="1"/>
  <c r="D18" i="2" l="1"/>
  <c r="C18" i="2"/>
  <c r="E28" i="1"/>
  <c r="B17" i="2" l="1"/>
  <c r="E17" i="2" s="1"/>
  <c r="G17" i="2" s="1"/>
  <c r="I17" i="2" s="1"/>
  <c r="J17" i="2" s="1"/>
  <c r="B15" i="2"/>
  <c r="B16" i="2"/>
  <c r="E16" i="2" s="1"/>
  <c r="G16" i="2" s="1"/>
  <c r="B12" i="2"/>
  <c r="B11" i="2"/>
  <c r="E11" i="2" s="1"/>
  <c r="G11" i="2" s="1"/>
  <c r="G13" i="2" l="1"/>
  <c r="I16" i="2"/>
  <c r="J16" i="2" s="1"/>
  <c r="K16" i="2" s="1"/>
  <c r="L16" i="2" s="1"/>
  <c r="I11" i="2"/>
  <c r="E12" i="2"/>
  <c r="G12" i="2" s="1"/>
  <c r="I12" i="2" s="1"/>
  <c r="K17" i="2"/>
  <c r="L17" i="2" s="1"/>
  <c r="I15" i="2"/>
  <c r="E13" i="2"/>
  <c r="G10" i="2" l="1"/>
  <c r="E10" i="2"/>
  <c r="I13" i="2"/>
  <c r="J12" i="2"/>
  <c r="J10" i="2" s="1"/>
  <c r="I10" i="2"/>
  <c r="J15" i="2"/>
  <c r="J13" i="2" s="1"/>
  <c r="K12" i="2" l="1"/>
  <c r="J18" i="2"/>
  <c r="K15" i="2"/>
  <c r="L15" i="2" s="1"/>
  <c r="L13" i="2" s="1"/>
  <c r="K10" i="2" l="1"/>
  <c r="L12" i="2"/>
  <c r="L10" i="2" s="1"/>
  <c r="L18" i="2" s="1"/>
  <c r="K13" i="2"/>
  <c r="K18" i="2" l="1"/>
</calcChain>
</file>

<file path=xl/sharedStrings.xml><?xml version="1.0" encoding="utf-8"?>
<sst xmlns="http://schemas.openxmlformats.org/spreadsheetml/2006/main" count="56" uniqueCount="50">
  <si>
    <t>Công Ty TNHH Tư Vấn Xây Dựng Gia Tiến</t>
  </si>
  <si>
    <t>Địa chỉ: Số 372, Hương lộ 13, ấp Hòa Lạc C, Xã Lương Hoà A, Huyện Châu Thành, Tỉnh Trà Vinh</t>
  </si>
  <si>
    <t>STT</t>
  </si>
  <si>
    <t>Tên công trình, dịch vụ</t>
  </si>
  <si>
    <t>DTT</t>
  </si>
  <si>
    <t>Giá vốn</t>
  </si>
  <si>
    <t>Lãi</t>
  </si>
  <si>
    <t>DT 5112</t>
  </si>
  <si>
    <t>Gia Vốn 5112</t>
  </si>
  <si>
    <t>DT 5113</t>
  </si>
  <si>
    <t>Gia Vốn 5113</t>
  </si>
  <si>
    <t>I</t>
  </si>
  <si>
    <t>Địa bàn không ưu đãi</t>
  </si>
  <si>
    <t>II</t>
  </si>
  <si>
    <t>Địa bàn khó khăn</t>
  </si>
  <si>
    <t>III</t>
  </si>
  <si>
    <t>Địa bàn đặc biệt khó khăn</t>
  </si>
  <si>
    <t>TỔNG CỘNG</t>
  </si>
  <si>
    <t>MST: 2100632239</t>
  </si>
  <si>
    <t xml:space="preserve">Doanh thu </t>
  </si>
  <si>
    <t>Tỉ lệ/DT</t>
  </si>
  <si>
    <t>CP quản lý</t>
  </si>
  <si>
    <t>Lợi nhuận</t>
  </si>
  <si>
    <t>TS</t>
  </si>
  <si>
    <t>Thuế TNDN</t>
  </si>
  <si>
    <t>Miễn giảm</t>
  </si>
  <si>
    <t>Thuế Sau Miễn</t>
  </si>
  <si>
    <t>Số thuế
 phải nộp</t>
  </si>
  <si>
    <t>Tổng cộng</t>
  </si>
  <si>
    <t>Giám đốc</t>
  </si>
  <si>
    <t>Thanh toán chi phí Tư vấn giám sát thi công 
xây dựng công trình: cải tạo, sữa chữa chợ Trà Vinh ( Giai đoạn 2)</t>
  </si>
  <si>
    <t> Gói thầu số 05: Tư vấn Thẩm tra thiết kế bản vẽ thi công và dự toán công trình Sửa chữa cầu, đường giao thông khóm 8, thị trấn Càng Long</t>
  </si>
  <si>
    <t>Tư vấn lập hồ sơ Báo cáo kinh tế - kỹ thuật công trình : Sửa chữa, dậm vá mặt đường hư hỏng, sụp lún các tuyến đường nội ô thành phố năm 2023</t>
  </si>
  <si>
    <t xml:space="preserve"> chi phí Tư vấn khảo sát và lập Báo cáo kinh tế - kỹ thuật CT: Dặm vá, chống thấm các tuyến đường trên địa bàn thành phố Trà Vinh năm 2023</t>
  </si>
  <si>
    <t>chi phí Tư vấn Khảo sát địa hình công trình : Xây dựng đường vào trụ sở UBND phường 8, thành phố Trà Vinh</t>
  </si>
  <si>
    <t>chi phí Tư vấn lập báo cáo kinh tế kỹ thuật công trình :Xây dựng đường vào trụ sở UBND phường 8, thành phố Trà Vinh</t>
  </si>
  <si>
    <t>Tư vấn lập hồ sơ Báo cáo kinh tế kỹ thuật công trình :Sửa chữa cống thoát nước, đường sụp lún các tuyến đường nội ô thành phố Trà Vinh năm 2023</t>
  </si>
  <si>
    <t>Gói thầu số 02: Tư vấn khảo sát địa hình và Gói thầu số 03: Tư vấn lập Báo cáo kinh tế - kỹ thuật công trình Nâng cấp đường giao thông các ấp Sa Bình, Huệ Sanh, Vĩnh Hưng xã Long Đức</t>
  </si>
  <si>
    <t>Tư vấn giám sát thi công xây dựng công trình : 
Hệ thống thoát nước đường Nguyễn Tấn Liềng</t>
  </si>
  <si>
    <t>Tư vấn khảo sát bước lập báo cáo nghiên cứu khả thi Công trình: Nâng cấp, mở rộng đường Lê Hồng Phong, thành phố Trà Vinh</t>
  </si>
  <si>
    <t xml:space="preserve">Tư vấn lập báo cáo nghiên cứu khả thi công trình :Nâng cấp, mở rộng đường Lê Hồng Phong, thành phố Trà Vinh </t>
  </si>
  <si>
    <t>Tư vấn giám sát thi công xây lắp công trình :Sửa chữa các tuyến đường giao thông trên địa bàn xã Phương Thạnh</t>
  </si>
  <si>
    <t>Tư vấn khảo sát thiết kế công trình:Nâng cấp, mở rộng đường Lê Hồng Phong, thành phố Trà Vinh</t>
  </si>
  <si>
    <t>Tư vấn thiết kế bản vẽ thi công và lập dự toán dự án công trình : Nâng cấp, mở rộng đường Lê Hồng Phong, thành phố Trà Vinh</t>
  </si>
  <si>
    <t xml:space="preserve">  tư vấn lập hồ sơ Báo cáo kinh tế - kỹ thuật xây dựng công trình: Bảo dưỡng bờ kè sông Long Bình và dãy phân cách các tuyến đường và hàng rào công viên thành phố Trà Vinh năm 2023</t>
  </si>
  <si>
    <t>Tư vấn khảo sát, lập hồ sơ báo cáo kinh tế - kỹ thuật công trình :Sửa chữa chống sạt lở và nâng cấp đê bao chống triều cường dâng cao gây ngập cục bộ trên địa bàn xã Long Đức</t>
  </si>
  <si>
    <t>BÁO CÁO QUYẾT TOÁN NĂM 2023</t>
  </si>
  <si>
    <t>BẢNG XÁC ĐỊNH THU NHẬP CHỊU THUẾ TNDN NĂM 2023</t>
  </si>
  <si>
    <t>CP ĐƯỢC TRỪ</t>
  </si>
  <si>
    <t>Châu Thành, ngày 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</si>
</sst>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name val="VNI-Times"/>
    </font>
    <font>
      <sz val="13"/>
      <name val="VNI-Time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164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164" fontId="3" fillId="0" borderId="1" xfId="1" applyNumberFormat="1" applyFont="1" applyBorder="1"/>
    <xf numFmtId="0" fontId="3" fillId="2" borderId="1" xfId="0" applyFont="1" applyFill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3" fillId="4" borderId="1" xfId="0" applyFont="1" applyFill="1" applyBorder="1"/>
    <xf numFmtId="164" fontId="4" fillId="4" borderId="1" xfId="0" applyNumberFormat="1" applyFont="1" applyFill="1" applyBorder="1"/>
    <xf numFmtId="0" fontId="3" fillId="5" borderId="1" xfId="0" applyFont="1" applyFill="1" applyBorder="1"/>
    <xf numFmtId="0" fontId="5" fillId="0" borderId="1" xfId="0" applyFont="1" applyBorder="1" applyAlignment="1">
      <alignment horizontal="left" wrapText="1"/>
    </xf>
    <xf numFmtId="0" fontId="2" fillId="0" borderId="0" xfId="2"/>
    <xf numFmtId="0" fontId="8" fillId="0" borderId="0" xfId="2" applyFont="1"/>
    <xf numFmtId="164" fontId="6" fillId="0" borderId="0" xfId="3" applyNumberFormat="1" applyFont="1"/>
    <xf numFmtId="0" fontId="11" fillId="0" borderId="1" xfId="2" applyFont="1" applyBorder="1" applyAlignment="1">
      <alignment horizontal="center"/>
    </xf>
    <xf numFmtId="164" fontId="11" fillId="0" borderId="1" xfId="3" applyNumberFormat="1" applyFont="1" applyBorder="1"/>
    <xf numFmtId="164" fontId="11" fillId="0" borderId="1" xfId="2" applyNumberFormat="1" applyFont="1" applyBorder="1"/>
    <xf numFmtId="9" fontId="11" fillId="0" borderId="1" xfId="4" applyNumberFormat="1" applyFont="1" applyBorder="1"/>
    <xf numFmtId="0" fontId="11" fillId="0" borderId="1" xfId="2" applyFont="1" applyBorder="1"/>
    <xf numFmtId="164" fontId="8" fillId="0" borderId="0" xfId="3" applyNumberFormat="1" applyFont="1"/>
    <xf numFmtId="0" fontId="12" fillId="0" borderId="1" xfId="2" applyFont="1" applyBorder="1"/>
    <xf numFmtId="164" fontId="12" fillId="0" borderId="1" xfId="3" applyNumberFormat="1" applyFont="1" applyBorder="1"/>
    <xf numFmtId="9" fontId="12" fillId="0" borderId="1" xfId="4" applyFont="1" applyBorder="1"/>
    <xf numFmtId="9" fontId="11" fillId="0" borderId="1" xfId="4" applyFont="1" applyBorder="1"/>
    <xf numFmtId="164" fontId="9" fillId="0" borderId="0" xfId="2" applyNumberFormat="1" applyFont="1"/>
    <xf numFmtId="0" fontId="11" fillId="6" borderId="1" xfId="2" applyFont="1" applyFill="1" applyBorder="1"/>
    <xf numFmtId="164" fontId="7" fillId="0" borderId="1" xfId="2" applyNumberFormat="1" applyFont="1" applyFill="1" applyBorder="1"/>
    <xf numFmtId="43" fontId="8" fillId="0" borderId="0" xfId="3" applyNumberFormat="1" applyFont="1"/>
    <xf numFmtId="164" fontId="9" fillId="0" borderId="0" xfId="4" applyNumberFormat="1" applyFont="1"/>
    <xf numFmtId="0" fontId="12" fillId="0" borderId="1" xfId="2" applyFont="1" applyFill="1" applyBorder="1"/>
    <xf numFmtId="164" fontId="12" fillId="0" borderId="1" xfId="2" applyNumberFormat="1" applyFont="1" applyBorder="1"/>
    <xf numFmtId="0" fontId="11" fillId="0" borderId="1" xfId="2" applyFont="1" applyBorder="1" applyAlignment="1">
      <alignment horizontal="center" vertical="center"/>
    </xf>
    <xf numFmtId="9" fontId="11" fillId="0" borderId="1" xfId="4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/>
    </xf>
    <xf numFmtId="9" fontId="9" fillId="0" borderId="0" xfId="4" applyFont="1" applyFill="1"/>
    <xf numFmtId="164" fontId="9" fillId="0" borderId="0" xfId="3" applyNumberFormat="1" applyFont="1" applyFill="1"/>
    <xf numFmtId="164" fontId="11" fillId="6" borderId="1" xfId="3" applyNumberFormat="1" applyFont="1" applyFill="1" applyBorder="1"/>
    <xf numFmtId="9" fontId="11" fillId="6" borderId="1" xfId="4" applyFont="1" applyFill="1" applyBorder="1"/>
    <xf numFmtId="0" fontId="11" fillId="2" borderId="1" xfId="2" applyFont="1" applyFill="1" applyBorder="1"/>
    <xf numFmtId="164" fontId="11" fillId="2" borderId="1" xfId="3" applyNumberFormat="1" applyFont="1" applyFill="1" applyBorder="1"/>
    <xf numFmtId="9" fontId="11" fillId="2" borderId="1" xfId="4" applyNumberFormat="1" applyFont="1" applyFill="1" applyBorder="1"/>
    <xf numFmtId="164" fontId="11" fillId="2" borderId="1" xfId="2" applyNumberFormat="1" applyFont="1" applyFill="1" applyBorder="1"/>
    <xf numFmtId="0" fontId="11" fillId="7" borderId="1" xfId="2" applyFont="1" applyFill="1" applyBorder="1"/>
    <xf numFmtId="164" fontId="14" fillId="7" borderId="1" xfId="3" applyNumberFormat="1" applyFont="1" applyFill="1" applyBorder="1"/>
    <xf numFmtId="9" fontId="14" fillId="7" borderId="1" xfId="4" applyFont="1" applyFill="1" applyBorder="1"/>
    <xf numFmtId="164" fontId="13" fillId="0" borderId="0" xfId="2" applyNumberFormat="1" applyFont="1"/>
    <xf numFmtId="3" fontId="15" fillId="0" borderId="0" xfId="2" applyNumberFormat="1" applyFont="1" applyBorder="1" applyAlignment="1">
      <alignment horizontal="right" vertical="center" wrapText="1"/>
    </xf>
    <xf numFmtId="3" fontId="16" fillId="0" borderId="1" xfId="2" applyNumberFormat="1" applyFont="1" applyBorder="1"/>
    <xf numFmtId="165" fontId="11" fillId="2" borderId="1" xfId="4" applyNumberFormat="1" applyFont="1" applyFill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65" fontId="11" fillId="7" borderId="1" xfId="4" applyNumberFormat="1" applyFont="1" applyFill="1" applyBorder="1" applyAlignment="1">
      <alignment horizontal="center"/>
    </xf>
    <xf numFmtId="165" fontId="11" fillId="6" borderId="1" xfId="4" applyNumberFormat="1" applyFont="1" applyFill="1" applyBorder="1" applyAlignment="1">
      <alignment horizontal="center"/>
    </xf>
    <xf numFmtId="165" fontId="12" fillId="0" borderId="1" xfId="4" applyNumberFormat="1" applyFont="1" applyBorder="1" applyAlignment="1">
      <alignment horizontal="center"/>
    </xf>
    <xf numFmtId="164" fontId="9" fillId="0" borderId="0" xfId="3" applyNumberFormat="1" applyFont="1" applyAlignment="1"/>
    <xf numFmtId="164" fontId="8" fillId="0" borderId="0" xfId="2" applyNumberFormat="1" applyFont="1" applyAlignment="1"/>
    <xf numFmtId="3" fontId="17" fillId="0" borderId="1" xfId="2" applyNumberFormat="1" applyFont="1" applyBorder="1"/>
    <xf numFmtId="165" fontId="2" fillId="0" borderId="0" xfId="2" applyNumberFormat="1"/>
    <xf numFmtId="164" fontId="2" fillId="0" borderId="0" xfId="1" applyNumberFormat="1" applyFont="1"/>
    <xf numFmtId="164" fontId="3" fillId="0" borderId="1" xfId="1" applyNumberFormat="1" applyFont="1" applyFill="1" applyBorder="1"/>
    <xf numFmtId="0" fontId="18" fillId="0" borderId="0" xfId="2" applyFont="1"/>
    <xf numFmtId="9" fontId="12" fillId="0" borderId="0" xfId="4" applyFont="1" applyFill="1"/>
    <xf numFmtId="164" fontId="18" fillId="0" borderId="0" xfId="1" applyNumberFormat="1" applyFont="1"/>
    <xf numFmtId="164" fontId="12" fillId="0" borderId="0" xfId="1" applyNumberFormat="1" applyFont="1" applyFill="1"/>
    <xf numFmtId="164" fontId="9" fillId="0" borderId="0" xfId="1" applyNumberFormat="1" applyFont="1"/>
    <xf numFmtId="164" fontId="2" fillId="0" borderId="0" xfId="2" applyNumberFormat="1"/>
    <xf numFmtId="164" fontId="9" fillId="0" borderId="0" xfId="1" applyNumberFormat="1" applyFont="1" applyAlignment="1"/>
    <xf numFmtId="164" fontId="19" fillId="0" borderId="0" xfId="1" applyNumberFormat="1" applyFont="1"/>
    <xf numFmtId="0" fontId="4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9" fillId="0" borderId="0" xfId="3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Normal 2" xfId="2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A10" workbookViewId="0">
      <selection activeCell="B14" sqref="B14"/>
    </sheetView>
  </sheetViews>
  <sheetFormatPr defaultRowHeight="15" x14ac:dyDescent="0.25"/>
  <cols>
    <col min="1" max="1" width="4.7109375" style="1" customWidth="1"/>
    <col min="2" max="2" width="54.28515625" style="1" bestFit="1" customWidth="1"/>
    <col min="3" max="4" width="15.7109375" style="1" bestFit="1" customWidth="1"/>
    <col min="5" max="5" width="14" style="1" bestFit="1" customWidth="1"/>
    <col min="6" max="6" width="7.28515625" style="1" customWidth="1"/>
    <col min="7" max="7" width="13.7109375" style="1" customWidth="1"/>
    <col min="8" max="8" width="13.7109375" style="1" bestFit="1" customWidth="1"/>
    <col min="9" max="9" width="15.28515625" style="1" customWidth="1"/>
    <col min="10" max="10" width="13.7109375" style="1" bestFit="1" customWidth="1"/>
    <col min="11" max="16384" width="9.140625" style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4" spans="1:10" x14ac:dyDescent="0.25">
      <c r="A4" s="77" t="s">
        <v>46</v>
      </c>
      <c r="B4" s="77"/>
      <c r="C4" s="77"/>
      <c r="D4" s="77"/>
      <c r="E4" s="77"/>
      <c r="F4" s="77"/>
      <c r="G4" s="77"/>
      <c r="H4" s="77"/>
      <c r="I4" s="77"/>
      <c r="J4" s="77"/>
    </row>
    <row r="6" spans="1:10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/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5">
      <c r="A7" s="16" t="s">
        <v>11</v>
      </c>
      <c r="B7" s="16" t="s">
        <v>12</v>
      </c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14" t="s">
        <v>13</v>
      </c>
      <c r="B9" s="14" t="s">
        <v>14</v>
      </c>
      <c r="C9" s="15">
        <f>+SUM(C10:C12)</f>
        <v>186646354</v>
      </c>
      <c r="D9" s="15">
        <f>+SUM(D10:D12)</f>
        <v>47302217</v>
      </c>
      <c r="E9" s="15">
        <f>+SUM(E10:E12)</f>
        <v>139344137</v>
      </c>
      <c r="F9" s="15"/>
      <c r="G9" s="15">
        <f>+SUM(G10:G12)</f>
        <v>0</v>
      </c>
      <c r="H9" s="15">
        <f>+SUM(H10:H12)</f>
        <v>0</v>
      </c>
      <c r="I9" s="15">
        <f>+SUM(I10:I12)</f>
        <v>186646354</v>
      </c>
      <c r="J9" s="15">
        <f>+SUM(J10:J12)</f>
        <v>47302217</v>
      </c>
    </row>
    <row r="10" spans="1:10" ht="54" customHeight="1" x14ac:dyDescent="0.25">
      <c r="A10" s="5">
        <v>1</v>
      </c>
      <c r="B10" s="17" t="s">
        <v>30</v>
      </c>
      <c r="C10" s="7">
        <v>49340900</v>
      </c>
      <c r="D10" s="68">
        <v>12674099</v>
      </c>
      <c r="E10" s="7">
        <f>+C10-D10</f>
        <v>36666801</v>
      </c>
      <c r="F10" s="10">
        <v>5113</v>
      </c>
      <c r="G10" s="9"/>
      <c r="H10" s="7"/>
      <c r="I10" s="7">
        <f>+IF(F10=5113,C10,0)</f>
        <v>49340900</v>
      </c>
      <c r="J10" s="7">
        <f>+IF(F10=5113,D10,0)</f>
        <v>12674099</v>
      </c>
    </row>
    <row r="11" spans="1:10" ht="33.75" customHeight="1" x14ac:dyDescent="0.25">
      <c r="A11" s="5">
        <v>2</v>
      </c>
      <c r="B11" s="2" t="s">
        <v>38</v>
      </c>
      <c r="C11" s="7">
        <v>102874545</v>
      </c>
      <c r="D11" s="7">
        <v>25944722</v>
      </c>
      <c r="E11" s="7">
        <f t="shared" ref="E11:E12" si="0">+C11-D11</f>
        <v>76929823</v>
      </c>
      <c r="F11" s="10">
        <v>5113</v>
      </c>
      <c r="G11" s="9">
        <f>+IF(F11=5112,C11,0)</f>
        <v>0</v>
      </c>
      <c r="H11" s="7">
        <f>+IF(F11=5112,D11,0)</f>
        <v>0</v>
      </c>
      <c r="I11" s="7">
        <f>+IF(F11=5113,C11,0)</f>
        <v>102874545</v>
      </c>
      <c r="J11" s="7">
        <f t="shared" ref="J11:J12" si="1">+IF(F11=5113,D11,0)</f>
        <v>25944722</v>
      </c>
    </row>
    <row r="12" spans="1:10" ht="41.25" customHeight="1" x14ac:dyDescent="0.25">
      <c r="A12" s="5">
        <v>3</v>
      </c>
      <c r="B12" s="17" t="s">
        <v>41</v>
      </c>
      <c r="C12" s="7">
        <v>34430909</v>
      </c>
      <c r="D12" s="7">
        <v>8683396</v>
      </c>
      <c r="E12" s="7">
        <f t="shared" si="0"/>
        <v>25747513</v>
      </c>
      <c r="F12" s="10">
        <v>5113</v>
      </c>
      <c r="G12" s="5"/>
      <c r="H12" s="7"/>
      <c r="I12" s="7">
        <f>+IF(F12=5113,C12,0)</f>
        <v>34430909</v>
      </c>
      <c r="J12" s="7">
        <f t="shared" si="1"/>
        <v>8683396</v>
      </c>
    </row>
    <row r="13" spans="1:10" x14ac:dyDescent="0.25">
      <c r="A13" s="8" t="s">
        <v>15</v>
      </c>
      <c r="B13" s="8" t="s">
        <v>16</v>
      </c>
      <c r="C13" s="11">
        <f>+SUM(C14:C26)</f>
        <v>1104267036</v>
      </c>
      <c r="D13" s="11">
        <f>+SUM(D14:D26)</f>
        <v>279893873</v>
      </c>
      <c r="E13" s="11">
        <f>+SUM(E14:E26)</f>
        <v>824373163</v>
      </c>
      <c r="F13" s="11"/>
      <c r="G13" s="11">
        <f>+SUM(G14:G26)</f>
        <v>0</v>
      </c>
      <c r="H13" s="11">
        <f>+SUM(H14:H26)</f>
        <v>0</v>
      </c>
      <c r="I13" s="11">
        <f>+SUM(I14:I26)</f>
        <v>1104267036</v>
      </c>
      <c r="J13" s="11">
        <f>+SUM(J14:J26)</f>
        <v>279893873</v>
      </c>
    </row>
    <row r="14" spans="1:10" ht="54.75" customHeight="1" x14ac:dyDescent="0.25">
      <c r="A14" s="5">
        <v>1</v>
      </c>
      <c r="B14" s="2" t="s">
        <v>31</v>
      </c>
      <c r="C14" s="7">
        <v>14433552</v>
      </c>
      <c r="D14" s="7">
        <v>3707518</v>
      </c>
      <c r="E14" s="9">
        <f>+C14-D14</f>
        <v>10726034</v>
      </c>
      <c r="F14" s="10">
        <v>5113</v>
      </c>
      <c r="G14" s="7"/>
      <c r="H14" s="7"/>
      <c r="I14" s="7">
        <f>+IF(F14=5113,C14,)</f>
        <v>14433552</v>
      </c>
      <c r="J14" s="7">
        <f>+IF(F14=5113,D14,0)</f>
        <v>3707518</v>
      </c>
    </row>
    <row r="15" spans="1:10" ht="45.75" customHeight="1" x14ac:dyDescent="0.25">
      <c r="A15" s="5">
        <v>2</v>
      </c>
      <c r="B15" s="6" t="s">
        <v>32</v>
      </c>
      <c r="C15" s="7">
        <v>50831818</v>
      </c>
      <c r="D15" s="7">
        <v>13057068</v>
      </c>
      <c r="E15" s="9">
        <f t="shared" ref="E15:E26" si="2">+C15-D15</f>
        <v>37774750</v>
      </c>
      <c r="F15" s="10">
        <v>5113</v>
      </c>
      <c r="G15" s="7"/>
      <c r="H15" s="7"/>
      <c r="I15" s="7">
        <f t="shared" ref="I15:I26" si="3">+IF(F15=5113,C15,)</f>
        <v>50831818</v>
      </c>
      <c r="J15" s="7">
        <f t="shared" ref="J15:J26" si="4">+IF(F15=5113,D15,0)</f>
        <v>13057068</v>
      </c>
    </row>
    <row r="16" spans="1:10" ht="54.75" customHeight="1" x14ac:dyDescent="0.25">
      <c r="A16" s="5">
        <v>3</v>
      </c>
      <c r="B16" s="6" t="s">
        <v>33</v>
      </c>
      <c r="C16" s="7">
        <v>234939815</v>
      </c>
      <c r="D16" s="7">
        <v>59251277</v>
      </c>
      <c r="E16" s="9">
        <f t="shared" si="2"/>
        <v>175688538</v>
      </c>
      <c r="F16" s="10">
        <v>5113</v>
      </c>
      <c r="G16" s="7"/>
      <c r="H16" s="7"/>
      <c r="I16" s="7">
        <f t="shared" si="3"/>
        <v>234939815</v>
      </c>
      <c r="J16" s="7">
        <f t="shared" si="4"/>
        <v>59251277</v>
      </c>
    </row>
    <row r="17" spans="1:10" ht="45.75" customHeight="1" x14ac:dyDescent="0.25">
      <c r="A17" s="5">
        <v>4</v>
      </c>
      <c r="B17" s="6" t="s">
        <v>34</v>
      </c>
      <c r="C17" s="7">
        <v>7647273</v>
      </c>
      <c r="D17" s="7">
        <v>1964340</v>
      </c>
      <c r="E17" s="9">
        <f t="shared" si="2"/>
        <v>5682933</v>
      </c>
      <c r="F17" s="10">
        <v>5113</v>
      </c>
      <c r="G17" s="7"/>
      <c r="H17" s="7"/>
      <c r="I17" s="7">
        <f t="shared" si="3"/>
        <v>7647273</v>
      </c>
      <c r="J17" s="7">
        <f t="shared" si="4"/>
        <v>1964340</v>
      </c>
    </row>
    <row r="18" spans="1:10" ht="42.75" customHeight="1" x14ac:dyDescent="0.25">
      <c r="A18" s="5">
        <v>5</v>
      </c>
      <c r="B18" s="6" t="s">
        <v>35</v>
      </c>
      <c r="C18" s="7">
        <v>11281818</v>
      </c>
      <c r="D18" s="7">
        <v>2897938</v>
      </c>
      <c r="E18" s="9">
        <f t="shared" si="2"/>
        <v>8383880</v>
      </c>
      <c r="F18" s="10">
        <v>5113</v>
      </c>
      <c r="G18" s="7"/>
      <c r="H18" s="7"/>
      <c r="I18" s="7">
        <f t="shared" si="3"/>
        <v>11281818</v>
      </c>
      <c r="J18" s="7">
        <f t="shared" si="4"/>
        <v>2897938</v>
      </c>
    </row>
    <row r="19" spans="1:10" ht="57.75" customHeight="1" x14ac:dyDescent="0.25">
      <c r="A19" s="5">
        <v>6</v>
      </c>
      <c r="B19" s="6" t="s">
        <v>36</v>
      </c>
      <c r="C19" s="7">
        <v>44790741</v>
      </c>
      <c r="D19" s="7">
        <v>11296121</v>
      </c>
      <c r="E19" s="9">
        <f t="shared" si="2"/>
        <v>33494620</v>
      </c>
      <c r="F19" s="10">
        <v>5113</v>
      </c>
      <c r="G19" s="7"/>
      <c r="H19" s="7"/>
      <c r="I19" s="7">
        <f t="shared" si="3"/>
        <v>44790741</v>
      </c>
      <c r="J19" s="7">
        <f t="shared" si="4"/>
        <v>11296121</v>
      </c>
    </row>
    <row r="20" spans="1:10" ht="55.5" customHeight="1" x14ac:dyDescent="0.25">
      <c r="A20" s="5">
        <v>7</v>
      </c>
      <c r="B20" s="6" t="s">
        <v>37</v>
      </c>
      <c r="C20" s="7">
        <v>84649091</v>
      </c>
      <c r="D20" s="7">
        <v>21743644</v>
      </c>
      <c r="E20" s="9">
        <f t="shared" si="2"/>
        <v>62905447</v>
      </c>
      <c r="F20" s="10">
        <v>5113</v>
      </c>
      <c r="G20" s="7"/>
      <c r="H20" s="7"/>
      <c r="I20" s="7">
        <f t="shared" si="3"/>
        <v>84649091</v>
      </c>
      <c r="J20" s="7">
        <f t="shared" si="4"/>
        <v>21743644</v>
      </c>
    </row>
    <row r="21" spans="1:10" ht="55.5" customHeight="1" x14ac:dyDescent="0.25">
      <c r="A21" s="5"/>
      <c r="B21" s="6" t="s">
        <v>39</v>
      </c>
      <c r="C21" s="7">
        <v>84590909</v>
      </c>
      <c r="D21" s="7">
        <v>21728699</v>
      </c>
      <c r="E21" s="9">
        <f t="shared" si="2"/>
        <v>62862210</v>
      </c>
      <c r="F21" s="10">
        <v>5113</v>
      </c>
      <c r="G21" s="7"/>
      <c r="H21" s="7"/>
      <c r="I21" s="7">
        <f t="shared" si="3"/>
        <v>84590909</v>
      </c>
      <c r="J21" s="7">
        <f t="shared" si="4"/>
        <v>21728699</v>
      </c>
    </row>
    <row r="22" spans="1:10" ht="55.5" customHeight="1" x14ac:dyDescent="0.25">
      <c r="A22" s="5"/>
      <c r="B22" s="6" t="s">
        <v>40</v>
      </c>
      <c r="C22" s="7">
        <v>108096296</v>
      </c>
      <c r="D22" s="7">
        <v>27261636</v>
      </c>
      <c r="E22" s="9">
        <f t="shared" si="2"/>
        <v>80834660</v>
      </c>
      <c r="F22" s="10">
        <v>5113</v>
      </c>
      <c r="G22" s="7"/>
      <c r="H22" s="7"/>
      <c r="I22" s="7">
        <f t="shared" si="3"/>
        <v>108096296</v>
      </c>
      <c r="J22" s="7">
        <f t="shared" si="4"/>
        <v>27261636</v>
      </c>
    </row>
    <row r="23" spans="1:10" ht="55.5" customHeight="1" x14ac:dyDescent="0.25">
      <c r="A23" s="5"/>
      <c r="B23" s="6" t="s">
        <v>42</v>
      </c>
      <c r="C23" s="7">
        <v>114412963</v>
      </c>
      <c r="D23" s="7">
        <v>28854684</v>
      </c>
      <c r="E23" s="9">
        <f t="shared" si="2"/>
        <v>85558279</v>
      </c>
      <c r="F23" s="10">
        <v>5113</v>
      </c>
      <c r="G23" s="7"/>
      <c r="H23" s="7"/>
      <c r="I23" s="7">
        <f t="shared" si="3"/>
        <v>114412963</v>
      </c>
      <c r="J23" s="7">
        <f t="shared" si="4"/>
        <v>28854684</v>
      </c>
    </row>
    <row r="24" spans="1:10" ht="55.5" customHeight="1" x14ac:dyDescent="0.25">
      <c r="A24" s="5"/>
      <c r="B24" s="6" t="s">
        <v>43</v>
      </c>
      <c r="C24" s="7">
        <v>219868518</v>
      </c>
      <c r="D24" s="7">
        <v>55450331</v>
      </c>
      <c r="E24" s="9">
        <f t="shared" si="2"/>
        <v>164418187</v>
      </c>
      <c r="F24" s="10">
        <v>5113</v>
      </c>
      <c r="G24" s="7"/>
      <c r="H24" s="7"/>
      <c r="I24" s="7">
        <f t="shared" si="3"/>
        <v>219868518</v>
      </c>
      <c r="J24" s="7">
        <f t="shared" si="4"/>
        <v>55450331</v>
      </c>
    </row>
    <row r="25" spans="1:10" ht="45.75" customHeight="1" x14ac:dyDescent="0.25">
      <c r="A25" s="5">
        <v>8</v>
      </c>
      <c r="B25" s="6" t="s">
        <v>44</v>
      </c>
      <c r="C25" s="7">
        <v>46390909</v>
      </c>
      <c r="D25" s="7">
        <v>11916341</v>
      </c>
      <c r="E25" s="9">
        <f t="shared" si="2"/>
        <v>34474568</v>
      </c>
      <c r="F25" s="10">
        <v>5113</v>
      </c>
      <c r="G25" s="7"/>
      <c r="H25" s="7"/>
      <c r="I25" s="7">
        <f t="shared" si="3"/>
        <v>46390909</v>
      </c>
      <c r="J25" s="7">
        <f t="shared" si="4"/>
        <v>11916341</v>
      </c>
    </row>
    <row r="26" spans="1:10" ht="63" customHeight="1" x14ac:dyDescent="0.25">
      <c r="A26" s="5">
        <v>9</v>
      </c>
      <c r="B26" s="6" t="s">
        <v>45</v>
      </c>
      <c r="C26" s="7">
        <v>82333333</v>
      </c>
      <c r="D26" s="7">
        <v>20764276</v>
      </c>
      <c r="E26" s="9">
        <f t="shared" si="2"/>
        <v>61569057</v>
      </c>
      <c r="F26" s="10">
        <v>5113</v>
      </c>
      <c r="G26" s="7"/>
      <c r="H26" s="7"/>
      <c r="I26" s="7">
        <f t="shared" si="3"/>
        <v>82333333</v>
      </c>
      <c r="J26" s="7">
        <f t="shared" si="4"/>
        <v>20764276</v>
      </c>
    </row>
    <row r="27" spans="1:10" x14ac:dyDescent="0.25">
      <c r="A27" s="5"/>
      <c r="B27" s="5"/>
      <c r="C27" s="7"/>
      <c r="D27" s="7"/>
      <c r="E27" s="9">
        <f t="shared" ref="E27" si="5">+C27-D27</f>
        <v>0</v>
      </c>
      <c r="F27" s="9"/>
      <c r="G27" s="5"/>
      <c r="H27" s="5"/>
      <c r="I27" s="5"/>
      <c r="J27" s="5"/>
    </row>
    <row r="28" spans="1:10" x14ac:dyDescent="0.25">
      <c r="A28" s="5"/>
      <c r="B28" s="12" t="s">
        <v>17</v>
      </c>
      <c r="C28" s="13">
        <f>+C13+C9</f>
        <v>1290913390</v>
      </c>
      <c r="D28" s="13">
        <f>+D13+D9+D7</f>
        <v>327196090</v>
      </c>
      <c r="E28" s="13">
        <f>+E13+E9+E7</f>
        <v>963717300</v>
      </c>
      <c r="F28" s="13"/>
      <c r="G28" s="13">
        <f>+G13+G9</f>
        <v>0</v>
      </c>
      <c r="H28" s="13">
        <f>+H13+H9</f>
        <v>0</v>
      </c>
      <c r="I28" s="13">
        <f>+I13+I9</f>
        <v>1290913390</v>
      </c>
      <c r="J28" s="13">
        <f>+J13+J9</f>
        <v>327196090</v>
      </c>
    </row>
    <row r="32" spans="1:10" x14ac:dyDescent="0.25">
      <c r="I32" s="3"/>
    </row>
    <row r="33" spans="9:9" x14ac:dyDescent="0.25">
      <c r="I33" s="3"/>
    </row>
  </sheetData>
  <mergeCells count="1">
    <mergeCell ref="A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4" workbookViewId="0">
      <selection activeCell="I25" sqref="I25"/>
    </sheetView>
  </sheetViews>
  <sheetFormatPr defaultRowHeight="15" x14ac:dyDescent="0.25"/>
  <cols>
    <col min="1" max="1" width="28.85546875" customWidth="1"/>
    <col min="2" max="2" width="15.7109375" customWidth="1"/>
    <col min="3" max="4" width="15.7109375" bestFit="1" customWidth="1"/>
    <col min="5" max="5" width="19.140625" bestFit="1" customWidth="1"/>
    <col min="6" max="6" width="19.140625" customWidth="1"/>
    <col min="7" max="7" width="15.85546875" customWidth="1"/>
    <col min="9" max="9" width="19.140625" bestFit="1" customWidth="1"/>
    <col min="10" max="10" width="14" bestFit="1" customWidth="1"/>
    <col min="11" max="11" width="15.42578125" bestFit="1" customWidth="1"/>
    <col min="12" max="12" width="15.7109375" customWidth="1"/>
  </cols>
  <sheetData>
    <row r="1" spans="1:13" ht="16.5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6.5" x14ac:dyDescent="0.25">
      <c r="A2" s="19" t="s">
        <v>18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22.5" x14ac:dyDescent="0.3">
      <c r="A4" s="78" t="s">
        <v>47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20"/>
    </row>
    <row r="6" spans="1:13" ht="28.5" x14ac:dyDescent="0.25">
      <c r="A6" s="38" t="s">
        <v>19</v>
      </c>
      <c r="B6" s="39" t="s">
        <v>20</v>
      </c>
      <c r="C6" s="40" t="s">
        <v>4</v>
      </c>
      <c r="D6" s="40" t="s">
        <v>5</v>
      </c>
      <c r="E6" s="41" t="s">
        <v>21</v>
      </c>
      <c r="F6" s="41" t="s">
        <v>48</v>
      </c>
      <c r="G6" s="38" t="s">
        <v>22</v>
      </c>
      <c r="H6" s="39" t="s">
        <v>23</v>
      </c>
      <c r="I6" s="40" t="s">
        <v>24</v>
      </c>
      <c r="J6" s="38" t="s">
        <v>25</v>
      </c>
      <c r="K6" s="38" t="s">
        <v>26</v>
      </c>
      <c r="L6" s="42" t="s">
        <v>27</v>
      </c>
      <c r="M6" s="43"/>
    </row>
    <row r="7" spans="1:13" ht="16.5" x14ac:dyDescent="0.25">
      <c r="A7" s="48" t="s">
        <v>12</v>
      </c>
      <c r="B7" s="58">
        <v>0</v>
      </c>
      <c r="C7" s="49">
        <v>0</v>
      </c>
      <c r="D7" s="49">
        <v>0</v>
      </c>
      <c r="E7" s="49">
        <v>0</v>
      </c>
      <c r="F7" s="49"/>
      <c r="G7" s="49">
        <v>0</v>
      </c>
      <c r="H7" s="50">
        <v>0.2</v>
      </c>
      <c r="I7" s="49">
        <v>0</v>
      </c>
      <c r="J7" s="51">
        <v>0</v>
      </c>
      <c r="K7" s="51"/>
      <c r="L7" s="51">
        <v>0</v>
      </c>
      <c r="M7" s="34"/>
    </row>
    <row r="8" spans="1:13" ht="16.5" x14ac:dyDescent="0.25">
      <c r="A8" s="36">
        <v>5112</v>
      </c>
      <c r="B8" s="59">
        <v>0</v>
      </c>
      <c r="C8" s="28">
        <v>0</v>
      </c>
      <c r="D8" s="33">
        <v>0</v>
      </c>
      <c r="E8" s="28">
        <v>0</v>
      </c>
      <c r="F8" s="28"/>
      <c r="G8" s="23">
        <v>0</v>
      </c>
      <c r="H8" s="24"/>
      <c r="I8" s="28">
        <v>0</v>
      </c>
      <c r="J8" s="25"/>
      <c r="K8" s="23">
        <v>0</v>
      </c>
      <c r="L8" s="23"/>
      <c r="M8" s="34"/>
    </row>
    <row r="9" spans="1:13" x14ac:dyDescent="0.25">
      <c r="A9" s="27">
        <v>5113</v>
      </c>
      <c r="B9" s="59">
        <v>0</v>
      </c>
      <c r="C9" s="28"/>
      <c r="D9" s="28"/>
      <c r="E9" s="28">
        <v>0</v>
      </c>
      <c r="F9" s="28"/>
      <c r="G9" s="37">
        <v>0</v>
      </c>
      <c r="H9" s="29"/>
      <c r="I9" s="28">
        <v>0</v>
      </c>
      <c r="J9" s="27"/>
      <c r="K9" s="23">
        <v>0</v>
      </c>
      <c r="L9" s="27"/>
      <c r="M9" s="18"/>
    </row>
    <row r="10" spans="1:13" ht="16.5" x14ac:dyDescent="0.25">
      <c r="A10" s="52" t="s">
        <v>14</v>
      </c>
      <c r="B10" s="60">
        <v>0.69107226859519255</v>
      </c>
      <c r="C10" s="53">
        <f>+SUM(C11:C12)</f>
        <v>186646354</v>
      </c>
      <c r="D10" s="53">
        <f>+SUM(D11:D12)</f>
        <v>47302217</v>
      </c>
      <c r="E10" s="53">
        <f>+SUM(E11:E12)</f>
        <v>49845796.857482463</v>
      </c>
      <c r="F10" s="53">
        <f>+SUM(F11:F12)</f>
        <v>0</v>
      </c>
      <c r="G10" s="53">
        <f>+SUM(G11:G12)</f>
        <v>89498340.142517537</v>
      </c>
      <c r="H10" s="54">
        <v>0.17</v>
      </c>
      <c r="I10" s="53">
        <f>+I12</f>
        <v>15214717.824227983</v>
      </c>
      <c r="J10" s="53">
        <f>+SUM(J11:J12)</f>
        <v>7607358.9121139916</v>
      </c>
      <c r="K10" s="53">
        <f>+SUM(K11:K12)</f>
        <v>7607358.9121139916</v>
      </c>
      <c r="L10" s="53">
        <f t="shared" ref="L10" si="0">+SUM(L11:L12)</f>
        <v>7607358.9121139916</v>
      </c>
      <c r="M10" s="26"/>
    </row>
    <row r="11" spans="1:13" x14ac:dyDescent="0.25">
      <c r="A11" s="27">
        <v>5112</v>
      </c>
      <c r="B11" s="59">
        <f>+C11/$C$18</f>
        <v>0</v>
      </c>
      <c r="C11" s="28">
        <f>+BCQT!G9</f>
        <v>0</v>
      </c>
      <c r="D11" s="28">
        <f>+BCQT!H9</f>
        <v>0</v>
      </c>
      <c r="E11" s="28">
        <f>+B11*$E$18</f>
        <v>0</v>
      </c>
      <c r="F11" s="28"/>
      <c r="G11" s="37">
        <f>+C11-D11-E11</f>
        <v>0</v>
      </c>
      <c r="H11" s="29"/>
      <c r="I11" s="28">
        <f>+G11*$H$10</f>
        <v>0</v>
      </c>
      <c r="J11" s="37"/>
      <c r="K11" s="23"/>
      <c r="L11" s="23">
        <f>+K11</f>
        <v>0</v>
      </c>
      <c r="M11" s="18"/>
    </row>
    <row r="12" spans="1:13" ht="16.5" x14ac:dyDescent="0.25">
      <c r="A12" s="27">
        <v>5113</v>
      </c>
      <c r="B12" s="59">
        <f>+C12/$C$18</f>
        <v>0.14457251243354477</v>
      </c>
      <c r="C12" s="28">
        <f>+BCQT!I9</f>
        <v>186646354</v>
      </c>
      <c r="D12" s="28">
        <f>+BCQT!J9</f>
        <v>47302217</v>
      </c>
      <c r="E12" s="28">
        <f>+B12*$E$18</f>
        <v>49845796.857482463</v>
      </c>
      <c r="F12" s="28">
        <f>+B12*$F$18</f>
        <v>0</v>
      </c>
      <c r="G12" s="37">
        <f>+C12-D12-E12-F12</f>
        <v>89498340.142517537</v>
      </c>
      <c r="H12" s="29"/>
      <c r="I12" s="28">
        <f>+G12*H10</f>
        <v>15214717.824227983</v>
      </c>
      <c r="J12" s="37">
        <f>+I12*50%</f>
        <v>7607358.9121139916</v>
      </c>
      <c r="K12" s="23">
        <f>+I12-J12</f>
        <v>7607358.9121139916</v>
      </c>
      <c r="L12" s="23">
        <f>+K12</f>
        <v>7607358.9121139916</v>
      </c>
      <c r="M12" s="26"/>
    </row>
    <row r="13" spans="1:13" x14ac:dyDescent="0.25">
      <c r="A13" s="32" t="s">
        <v>16</v>
      </c>
      <c r="B13" s="61">
        <v>0.30892773140480745</v>
      </c>
      <c r="C13" s="46">
        <f>+SUM(C14:C17)</f>
        <v>1104376060</v>
      </c>
      <c r="D13" s="46">
        <f>+SUM(D14:D17)</f>
        <v>279893873</v>
      </c>
      <c r="E13" s="46">
        <f>+SUM(E14:E17)</f>
        <v>294934798.14251751</v>
      </c>
      <c r="F13" s="46">
        <f>+SUM(F14:F17)</f>
        <v>0</v>
      </c>
      <c r="G13" s="46">
        <f>+SUM(G14:G17)</f>
        <v>529547388.85748249</v>
      </c>
      <c r="H13" s="47">
        <v>0.1</v>
      </c>
      <c r="I13" s="46">
        <f>+SUM(I14:I17)</f>
        <v>52954738.885748252</v>
      </c>
      <c r="J13" s="46">
        <f>+SUM(J14:J17)</f>
        <v>26477369.442874126</v>
      </c>
      <c r="K13" s="46">
        <f>+SUM(K14:K17)</f>
        <v>26477369.442874126</v>
      </c>
      <c r="L13" s="46">
        <f t="shared" ref="L13" si="1">+SUM(L14:L17)</f>
        <v>26477369.442874126</v>
      </c>
      <c r="M13" s="18"/>
    </row>
    <row r="14" spans="1:13" x14ac:dyDescent="0.25">
      <c r="A14" s="27">
        <v>5112</v>
      </c>
      <c r="B14" s="62">
        <v>0</v>
      </c>
      <c r="C14" s="28"/>
      <c r="D14" s="28"/>
      <c r="E14" s="28"/>
      <c r="F14" s="28"/>
      <c r="G14" s="37"/>
      <c r="H14" s="29"/>
      <c r="I14" s="28"/>
      <c r="J14" s="28"/>
      <c r="K14" s="23"/>
      <c r="L14" s="23"/>
      <c r="M14" s="18"/>
    </row>
    <row r="15" spans="1:13" x14ac:dyDescent="0.25">
      <c r="A15" s="27">
        <v>5113</v>
      </c>
      <c r="B15" s="62">
        <f>+C15/$C$18</f>
        <v>0.85534303976847914</v>
      </c>
      <c r="C15" s="28">
        <f>+BCQT!I13</f>
        <v>1104267036</v>
      </c>
      <c r="D15" s="28">
        <f>+BCQT!J13</f>
        <v>279893873</v>
      </c>
      <c r="E15" s="28">
        <f>+B15*$E$18</f>
        <v>294905682.18048489</v>
      </c>
      <c r="F15" s="28">
        <f>+B15*$F$18</f>
        <v>0</v>
      </c>
      <c r="G15" s="37">
        <f>C15-D15-E15-F15</f>
        <v>529467480.81951511</v>
      </c>
      <c r="H15" s="29"/>
      <c r="I15" s="28">
        <f>+G15*$H$13</f>
        <v>52946748.081951514</v>
      </c>
      <c r="J15" s="28">
        <f>+I15*50%</f>
        <v>26473374.040975757</v>
      </c>
      <c r="K15" s="23">
        <f>+I15-J15</f>
        <v>26473374.040975757</v>
      </c>
      <c r="L15" s="23">
        <f>+K15</f>
        <v>26473374.040975757</v>
      </c>
      <c r="M15" s="18"/>
    </row>
    <row r="16" spans="1:13" ht="16.5" x14ac:dyDescent="0.25">
      <c r="A16" s="27">
        <v>5151</v>
      </c>
      <c r="B16" s="62">
        <f>+C16/$C$18</f>
        <v>8.4447797976031118E-5</v>
      </c>
      <c r="C16" s="65">
        <v>109024</v>
      </c>
      <c r="D16" s="28"/>
      <c r="E16" s="28">
        <f>+B16*$E$18</f>
        <v>29115.962032615804</v>
      </c>
      <c r="F16" s="28">
        <f>+B16*$F$18</f>
        <v>0</v>
      </c>
      <c r="G16" s="37">
        <f>C16-D16-E16-F16</f>
        <v>79908.037967384196</v>
      </c>
      <c r="H16" s="29"/>
      <c r="I16" s="28">
        <f t="shared" ref="I16:I17" si="2">+G16*$H$13</f>
        <v>7990.8037967384198</v>
      </c>
      <c r="J16" s="28">
        <f t="shared" ref="J16:J17" si="3">+I16*50%</f>
        <v>3995.4018983692099</v>
      </c>
      <c r="K16" s="23">
        <f>+I16-J16</f>
        <v>3995.4018983692099</v>
      </c>
      <c r="L16" s="23">
        <f>+K16</f>
        <v>3995.4018983692099</v>
      </c>
      <c r="M16" s="26"/>
    </row>
    <row r="17" spans="1:13" ht="16.5" x14ac:dyDescent="0.25">
      <c r="A17" s="27">
        <v>711</v>
      </c>
      <c r="B17" s="62">
        <f>+C17/$C$18</f>
        <v>0</v>
      </c>
      <c r="C17" s="65">
        <v>0</v>
      </c>
      <c r="D17" s="28"/>
      <c r="E17" s="28">
        <f>+B17*$E$18</f>
        <v>0</v>
      </c>
      <c r="F17" s="28"/>
      <c r="G17" s="37">
        <f>C17-D17-E17</f>
        <v>0</v>
      </c>
      <c r="H17" s="29"/>
      <c r="I17" s="28">
        <f t="shared" si="2"/>
        <v>0</v>
      </c>
      <c r="J17" s="28">
        <f t="shared" si="3"/>
        <v>0</v>
      </c>
      <c r="K17" s="23">
        <f>+I17-J17</f>
        <v>0</v>
      </c>
      <c r="L17" s="23">
        <f t="shared" ref="L17" si="4">+K17</f>
        <v>0</v>
      </c>
      <c r="M17" s="26"/>
    </row>
    <row r="18" spans="1:13" x14ac:dyDescent="0.25">
      <c r="A18" s="21" t="s">
        <v>28</v>
      </c>
      <c r="B18" s="30"/>
      <c r="C18" s="22">
        <f>+C7+C10+C13</f>
        <v>1291022414</v>
      </c>
      <c r="D18" s="22">
        <f>+D7+D10+D13</f>
        <v>327196090</v>
      </c>
      <c r="E18" s="57">
        <v>344780595</v>
      </c>
      <c r="F18" s="57"/>
      <c r="G18" s="22">
        <f>+C18-D18-E18-F18</f>
        <v>619045729</v>
      </c>
      <c r="H18" s="22"/>
      <c r="I18" s="22">
        <f>+I10+I13</f>
        <v>68169456.709976241</v>
      </c>
      <c r="J18" s="22">
        <f>+J10+J13</f>
        <v>34084728.35498812</v>
      </c>
      <c r="K18" s="22">
        <f>+K10+K13</f>
        <v>34084728.35498812</v>
      </c>
      <c r="L18" s="22">
        <f>+L10+L13</f>
        <v>34084728.35498812</v>
      </c>
      <c r="M18" s="18"/>
    </row>
    <row r="19" spans="1:13" ht="16.5" x14ac:dyDescent="0.25">
      <c r="A19" s="18"/>
      <c r="B19" s="18"/>
      <c r="C19" s="35"/>
      <c r="D19" s="35"/>
      <c r="E19" s="35"/>
      <c r="F19" s="35"/>
      <c r="G19" s="31"/>
      <c r="H19" s="18"/>
      <c r="I19" s="74"/>
      <c r="J19" s="31"/>
      <c r="K19" s="31"/>
      <c r="L19" s="18"/>
      <c r="M19" s="18"/>
    </row>
    <row r="20" spans="1:13" ht="16.5" x14ac:dyDescent="0.25">
      <c r="A20" s="18"/>
      <c r="B20" s="66"/>
      <c r="C20" s="18"/>
      <c r="D20" s="18"/>
      <c r="E20" s="67"/>
      <c r="F20" s="67"/>
      <c r="G20" s="63"/>
      <c r="H20" s="63"/>
      <c r="I20" s="75"/>
      <c r="J20" s="63"/>
      <c r="K20" s="80" t="s">
        <v>49</v>
      </c>
      <c r="L20" s="80"/>
      <c r="M20" s="18"/>
    </row>
    <row r="21" spans="1:13" ht="16.5" x14ac:dyDescent="0.25">
      <c r="A21" s="79"/>
      <c r="B21" s="79"/>
      <c r="C21" s="56"/>
      <c r="D21" s="18"/>
      <c r="E21" s="18"/>
      <c r="F21" s="18"/>
      <c r="G21" s="64"/>
      <c r="H21" s="64"/>
      <c r="I21" s="75"/>
      <c r="J21" s="64"/>
      <c r="K21" s="81" t="s">
        <v>29</v>
      </c>
      <c r="L21" s="81"/>
      <c r="M21" s="18"/>
    </row>
    <row r="22" spans="1:13" ht="18" x14ac:dyDescent="0.3">
      <c r="A22" s="71"/>
      <c r="B22" s="72"/>
      <c r="C22" s="45"/>
      <c r="D22" s="45"/>
      <c r="E22" s="45"/>
      <c r="F22" s="45"/>
      <c r="G22" s="73"/>
      <c r="H22" s="18"/>
      <c r="I22" s="76"/>
      <c r="J22" s="18"/>
      <c r="K22" s="18"/>
      <c r="L22" s="18"/>
      <c r="M22" s="18"/>
    </row>
    <row r="23" spans="1:13" ht="18" x14ac:dyDescent="0.3">
      <c r="A23" s="71"/>
      <c r="B23" s="72"/>
      <c r="C23" s="45"/>
      <c r="D23" s="45"/>
      <c r="E23" s="45"/>
      <c r="F23" s="45"/>
      <c r="G23" s="67"/>
      <c r="H23" s="18"/>
      <c r="I23" s="76"/>
      <c r="J23" s="55"/>
      <c r="K23" s="18"/>
      <c r="L23" s="31"/>
      <c r="M23" s="18"/>
    </row>
    <row r="24" spans="1:13" ht="18" x14ac:dyDescent="0.3">
      <c r="A24" s="71"/>
      <c r="B24" s="72"/>
      <c r="C24" s="45"/>
      <c r="D24" s="45"/>
      <c r="E24" s="45"/>
      <c r="F24" s="45"/>
      <c r="G24" s="73"/>
      <c r="H24" s="18"/>
      <c r="I24" s="76"/>
      <c r="J24" s="31"/>
      <c r="K24" s="18"/>
      <c r="L24" s="18"/>
      <c r="M24" s="18"/>
    </row>
    <row r="25" spans="1:13" ht="18" x14ac:dyDescent="0.3">
      <c r="A25" s="71"/>
      <c r="B25" s="72"/>
      <c r="C25" s="45"/>
      <c r="D25" s="45"/>
      <c r="E25" s="45"/>
      <c r="F25" s="45"/>
      <c r="G25" s="67"/>
      <c r="H25" s="18"/>
      <c r="I25" s="76"/>
      <c r="J25" s="31"/>
      <c r="K25" s="18"/>
      <c r="L25" s="31"/>
      <c r="M25" s="18"/>
    </row>
    <row r="26" spans="1:13" ht="18" x14ac:dyDescent="0.3">
      <c r="A26" s="69"/>
      <c r="B26" s="70"/>
      <c r="C26" s="45"/>
      <c r="D26" s="45"/>
      <c r="E26" s="45"/>
      <c r="F26" s="45"/>
      <c r="G26" s="73"/>
      <c r="H26" s="18"/>
      <c r="I26" s="76"/>
      <c r="J26" s="31"/>
      <c r="K26" s="18"/>
      <c r="L26" s="18"/>
      <c r="M26" s="18"/>
    </row>
    <row r="27" spans="1:13" ht="18" x14ac:dyDescent="0.3">
      <c r="A27" s="18"/>
      <c r="B27" s="44"/>
      <c r="C27" s="45"/>
      <c r="D27" s="45"/>
      <c r="E27" s="45"/>
      <c r="F27" s="45"/>
      <c r="G27" s="74"/>
      <c r="H27" s="18"/>
      <c r="I27" s="76"/>
      <c r="J27" s="18"/>
      <c r="K27" s="18"/>
      <c r="L27" s="18"/>
      <c r="M27" s="18"/>
    </row>
    <row r="28" spans="1:13" ht="16.5" x14ac:dyDescent="0.25">
      <c r="A28" s="18"/>
      <c r="B28" s="44"/>
      <c r="C28" s="45"/>
      <c r="D28" s="45"/>
      <c r="E28" s="45"/>
      <c r="F28" s="45"/>
      <c r="G28" s="31"/>
      <c r="H28" s="18"/>
      <c r="I28" s="67"/>
      <c r="J28" s="18"/>
      <c r="K28" s="18"/>
      <c r="L28" s="18"/>
      <c r="M28" s="18"/>
    </row>
    <row r="29" spans="1:13" ht="16.5" x14ac:dyDescent="0.25">
      <c r="A29" s="18"/>
      <c r="B29" s="44"/>
      <c r="C29" s="45"/>
      <c r="D29" s="45"/>
      <c r="E29" s="45"/>
      <c r="F29" s="45"/>
      <c r="G29" s="18"/>
      <c r="H29" s="18"/>
      <c r="I29" s="67"/>
      <c r="J29" s="18"/>
      <c r="K29" s="18"/>
      <c r="L29" s="18"/>
      <c r="M29" s="18"/>
    </row>
    <row r="30" spans="1:13" ht="16.5" x14ac:dyDescent="0.25">
      <c r="A30" s="18"/>
      <c r="B30" s="44"/>
      <c r="C30" s="45"/>
      <c r="D30" s="45"/>
      <c r="E30" s="45"/>
      <c r="F30" s="45"/>
      <c r="G30" s="74"/>
      <c r="H30" s="18"/>
      <c r="I30" s="67"/>
      <c r="J30" s="18"/>
      <c r="K30" s="18"/>
      <c r="L30" s="18"/>
      <c r="M30" s="18"/>
    </row>
    <row r="31" spans="1:13" ht="16.5" x14ac:dyDescent="0.25">
      <c r="A31" s="18"/>
      <c r="B31" s="44"/>
      <c r="C31" s="45"/>
      <c r="D31" s="45"/>
      <c r="E31" s="45"/>
      <c r="F31" s="45"/>
      <c r="G31" s="74"/>
      <c r="H31" s="18"/>
      <c r="I31" s="67"/>
      <c r="J31" s="18"/>
      <c r="K31" s="18"/>
      <c r="L31" s="18"/>
      <c r="M31" s="18"/>
    </row>
    <row r="32" spans="1:13" ht="16.5" x14ac:dyDescent="0.25">
      <c r="A32" s="18"/>
      <c r="B32" s="44"/>
      <c r="C32" s="45"/>
      <c r="D32" s="45"/>
      <c r="E32" s="45"/>
      <c r="F32" s="45"/>
      <c r="G32" s="18"/>
      <c r="H32" s="18"/>
      <c r="I32" s="18"/>
      <c r="J32" s="18"/>
      <c r="K32" s="18"/>
      <c r="L32" s="18"/>
      <c r="M32" s="18"/>
    </row>
    <row r="33" spans="2:6" ht="16.5" x14ac:dyDescent="0.25">
      <c r="B33" s="44"/>
      <c r="C33" s="45"/>
      <c r="D33" s="45"/>
      <c r="E33" s="45"/>
      <c r="F33" s="45"/>
    </row>
    <row r="34" spans="2:6" ht="16.5" x14ac:dyDescent="0.25">
      <c r="B34" s="44"/>
      <c r="C34" s="45"/>
      <c r="D34" s="45"/>
      <c r="E34" s="45"/>
      <c r="F34" s="45"/>
    </row>
    <row r="35" spans="2:6" ht="16.5" x14ac:dyDescent="0.25">
      <c r="B35" s="44"/>
      <c r="C35" s="45"/>
      <c r="D35" s="45"/>
      <c r="E35" s="45"/>
      <c r="F35" s="45"/>
    </row>
    <row r="36" spans="2:6" ht="16.5" x14ac:dyDescent="0.25">
      <c r="B36" s="44"/>
      <c r="C36" s="45"/>
      <c r="D36" s="45"/>
      <c r="E36" s="45"/>
      <c r="F36" s="45"/>
    </row>
    <row r="37" spans="2:6" ht="16.5" x14ac:dyDescent="0.25">
      <c r="B37" s="44"/>
      <c r="C37" s="45"/>
      <c r="D37" s="45"/>
      <c r="E37" s="45"/>
      <c r="F37" s="45"/>
    </row>
    <row r="38" spans="2:6" ht="16.5" x14ac:dyDescent="0.25">
      <c r="B38" s="44"/>
      <c r="C38" s="45"/>
      <c r="D38" s="45"/>
      <c r="E38" s="45"/>
      <c r="F38" s="45"/>
    </row>
  </sheetData>
  <mergeCells count="4">
    <mergeCell ref="A4:L4"/>
    <mergeCell ref="A21:B21"/>
    <mergeCell ref="K20:L20"/>
    <mergeCell ref="K21:L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BCQT</vt:lpstr>
      <vt:lpstr>TTNDN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ProBook</cp:lastModifiedBy>
  <dcterms:created xsi:type="dcterms:W3CDTF">2023-02-23T14:31:09Z</dcterms:created>
  <dcterms:modified xsi:type="dcterms:W3CDTF">2024-03-23T08:27:36Z</dcterms:modified>
</cp:coreProperties>
</file>