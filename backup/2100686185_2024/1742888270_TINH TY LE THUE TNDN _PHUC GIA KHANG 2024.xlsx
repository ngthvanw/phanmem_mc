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0376" yWindow="-120" windowWidth="2664" windowHeight="9348"/>
  </bookViews>
  <sheets>
    <sheet name="DOANH THU 2024" sheetId="10" r:id="rId1"/>
    <sheet name="TNDN 2024" sheetId="1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2" l="1"/>
  <c r="M10" i="12"/>
  <c r="M7" i="12"/>
  <c r="J19" i="12"/>
  <c r="C19" i="12"/>
  <c r="D11" i="12"/>
  <c r="C11" i="12"/>
  <c r="D10" i="12"/>
  <c r="D14" i="12" s="1"/>
  <c r="C10" i="12"/>
  <c r="G9" i="12"/>
  <c r="D8" i="12"/>
  <c r="C8" i="12"/>
  <c r="C7" i="12" s="1"/>
  <c r="F7" i="12"/>
  <c r="D7" i="12"/>
  <c r="E12" i="10"/>
  <c r="D12" i="10"/>
  <c r="F15" i="10"/>
  <c r="F14" i="10"/>
  <c r="F12" i="10" s="1"/>
  <c r="F13" i="10"/>
  <c r="F11" i="10"/>
  <c r="F10" i="10" s="1"/>
  <c r="E10" i="10"/>
  <c r="D10" i="10"/>
  <c r="C14" i="12" l="1"/>
  <c r="E16" i="10"/>
  <c r="D16" i="10"/>
  <c r="F16" i="10"/>
  <c r="B8" i="12" l="1"/>
  <c r="B12" i="12"/>
  <c r="B9" i="12"/>
  <c r="H9" i="12" s="1"/>
  <c r="J9" i="12" s="1"/>
  <c r="G15" i="12"/>
  <c r="B7" i="12"/>
  <c r="B11" i="12"/>
  <c r="B10" i="12"/>
  <c r="E8" i="12" l="1"/>
  <c r="H8" i="12"/>
  <c r="H7" i="12" s="1"/>
  <c r="H11" i="12" l="1"/>
  <c r="H10" i="12" s="1"/>
  <c r="G8" i="12"/>
  <c r="E11" i="12"/>
  <c r="E7" i="12"/>
  <c r="G7" i="12" l="1"/>
  <c r="J8" i="12"/>
  <c r="J7" i="12" s="1"/>
  <c r="E10" i="12"/>
  <c r="G11" i="12"/>
  <c r="G10" i="12" s="1"/>
  <c r="J11" i="12" l="1"/>
  <c r="J10" i="12"/>
  <c r="K7" i="12"/>
  <c r="L7" i="12" s="1"/>
  <c r="G14" i="12"/>
  <c r="J14" i="12" l="1"/>
  <c r="L10" i="12"/>
  <c r="L14" i="12" s="1"/>
  <c r="K17" i="12" s="1"/>
  <c r="K10" i="12"/>
  <c r="K14" i="12" s="1"/>
  <c r="G17" i="12"/>
</calcChain>
</file>

<file path=xl/sharedStrings.xml><?xml version="1.0" encoding="utf-8"?>
<sst xmlns="http://schemas.openxmlformats.org/spreadsheetml/2006/main" count="49" uniqueCount="42">
  <si>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</si>
  <si>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</si>
  <si>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</si>
  <si>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</si>
  <si>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</si>
  <si>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</si>
  <si>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</si>
  <si>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</si>
  <si>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</si>
  <si>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</si>
  <si>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</si>
  <si>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</si>
  <si>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</si>
  <si>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</si>
  <si>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</si>
  <si>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</si>
  <si>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LỢI NHUẬN</t>
  </si>
  <si>
    <t>GIÁ VỐN</t>
  </si>
  <si>
    <t>CHI PHÍ QL</t>
  </si>
  <si>
    <t>CHI PHÍ LÃI</t>
  </si>
  <si>
    <t>BẢNG XÁC ĐỊNH THU NHẬP CHỊU THUẾ TNDN NĂM 2024</t>
  </si>
  <si>
    <t>Trà Vinh, ngày 31 tháng 12 năm 2024</t>
  </si>
  <si>
    <t>BẢNG KÊ DOANH THU CÁC CÔNG TRÌNH NĂM 2024</t>
  </si>
  <si>
    <t>ĐỊA BÀN ĐẶC BIỆT KHÓ KHĂN</t>
  </si>
  <si>
    <t>DOANH THU ĐỊA BÀN ƯU ĐÃI ĐẶC BIỆT KHÓ KHĂN</t>
  </si>
  <si>
    <t>DOANH THU ĐỊA BÀN ƯU ĐÃI KHÓ KHĂN</t>
  </si>
  <si>
    <t xml:space="preserve"> CT2023-001</t>
  </si>
  <si>
    <t>CT2024-001</t>
  </si>
  <si>
    <t>CT2024-003</t>
  </si>
  <si>
    <t>CT2024-002</t>
  </si>
  <si>
    <t> 2024_Sửa chữa Bệnh viện Lao và Bệnh phổi. Theo HĐ số 128/2024/HĐXD/NM-PGKTM ngày 12/08/2024 (Châu Thành)</t>
  </si>
  <si>
    <t>2023_Thi công chống mối mặt nền công trình: Đầu tư nâng cấp, mở rộng TT Y tế TXDH. 
Theo hợp đồng số 01/2023/ TĐ-TV ngày 17/11/2023 với Công ty Cổ phần xây dựng Bách Việt.TV (Thị xã Duyên Hải)</t>
  </si>
  <si>
    <t>2024_Nhà cầu nối cho lối đi. Theo HĐ số 078/2024/HĐXD ngày 07/08/2024 với Bệnh viện Đa khoa tỉnh Trà Vinh (TPTV)</t>
  </si>
  <si>
    <t>2024_Thi công Lắp cửa kính hành lang khu khám A tại Bệnh viện Đa khoa tỉnh Trà Vinh. Theo QĐ số 2420/QĐ-BVĐK ngày 22/10/2024 (TPTV)</t>
  </si>
  <si>
    <t>GIÁ THÀNH</t>
  </si>
  <si>
    <t>CÔNG TY TNHH THƯƠNG MẠI XÂY DỰNG PHÚC GIA KHANG - TM</t>
  </si>
  <si>
    <t>Ấp Kinh Đào, Xã Long Vĩnh, Huyện Duyên Hải, Tỉnh Trà Vinh</t>
  </si>
  <si>
    <t>MST: 2100686185</t>
  </si>
  <si>
    <t>ĐỊA BÀN KHÓ KHĂN</t>
  </si>
  <si>
    <t xml:space="preserve">Miễn 100% 
 </t>
  </si>
  <si>
    <t>Chuyển lỗ</t>
  </si>
  <si>
    <t>Chênh lệch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</si>
</sst>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(* #,##0.0_);_(* \(#,##0.0\);_(* &quot;-&quot;??_);_(@_)"/>
    <numFmt numFmtId="168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6" fontId="3" fillId="0" borderId="0" xfId="0" applyNumberFormat="1" applyFont="1"/>
    <xf numFmtId="0" fontId="6" fillId="0" borderId="0" xfId="0" applyFont="1"/>
    <xf numFmtId="0" fontId="5" fillId="0" borderId="1" xfId="0" applyFont="1" applyBorder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166" fontId="2" fillId="0" borderId="0" xfId="1" applyNumberFormat="1" applyFont="1" applyAlignme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7" fillId="0" borderId="1" xfId="2" applyFont="1" applyBorder="1"/>
    <xf numFmtId="166" fontId="7" fillId="0" borderId="1" xfId="1" applyNumberFormat="1" applyFont="1" applyBorder="1"/>
    <xf numFmtId="166" fontId="7" fillId="0" borderId="1" xfId="0" applyNumberFormat="1" applyFont="1" applyBorder="1"/>
    <xf numFmtId="3" fontId="9" fillId="0" borderId="1" xfId="0" applyNumberFormat="1" applyFont="1" applyBorder="1"/>
    <xf numFmtId="166" fontId="5" fillId="0" borderId="1" xfId="1" applyNumberFormat="1" applyFont="1" applyBorder="1"/>
    <xf numFmtId="9" fontId="5" fillId="0" borderId="1" xfId="2" applyFont="1" applyBorder="1"/>
    <xf numFmtId="9" fontId="5" fillId="0" borderId="2" xfId="2" applyFont="1" applyBorder="1"/>
    <xf numFmtId="3" fontId="10" fillId="0" borderId="1" xfId="0" applyNumberFormat="1" applyFont="1" applyBorder="1" applyAlignment="1">
      <alignment horizontal="right" vertical="center" wrapText="1"/>
    </xf>
    <xf numFmtId="166" fontId="7" fillId="2" borderId="2" xfId="1" applyNumberFormat="1" applyFont="1" applyFill="1" applyBorder="1"/>
    <xf numFmtId="3" fontId="8" fillId="0" borderId="1" xfId="0" applyNumberFormat="1" applyFont="1" applyBorder="1" applyAlignment="1">
      <alignment horizontal="center" vertical="center"/>
    </xf>
    <xf numFmtId="166" fontId="3" fillId="0" borderId="0" xfId="1" applyNumberFormat="1" applyFont="1" applyFill="1"/>
    <xf numFmtId="166" fontId="3" fillId="0" borderId="0" xfId="1" applyNumberFormat="1" applyFont="1" applyFill="1" applyAlignment="1"/>
    <xf numFmtId="167" fontId="3" fillId="0" borderId="0" xfId="1" applyNumberFormat="1" applyFont="1" applyFill="1" applyAlignment="1"/>
    <xf numFmtId="168" fontId="7" fillId="0" borderId="1" xfId="2" applyNumberFormat="1" applyFont="1" applyBorder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7" fillId="0" borderId="4" xfId="1" applyNumberFormat="1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3" fontId="9" fillId="0" borderId="4" xfId="0" applyNumberFormat="1" applyFont="1" applyBorder="1" applyAlignment="1">
      <alignment vertical="center" wrapText="1"/>
    </xf>
    <xf numFmtId="3" fontId="8" fillId="0" borderId="4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166" fontId="5" fillId="0" borderId="1" xfId="0" applyNumberFormat="1" applyFont="1" applyBorder="1"/>
    <xf numFmtId="9" fontId="5" fillId="0" borderId="2" xfId="2" applyNumberFormat="1" applyFont="1" applyBorder="1"/>
    <xf numFmtId="165" fontId="5" fillId="0" borderId="1" xfId="1" applyNumberFormat="1" applyFont="1" applyBorder="1"/>
    <xf numFmtId="43" fontId="3" fillId="0" borderId="0" xfId="1" applyNumberFormat="1" applyFont="1"/>
    <xf numFmtId="165" fontId="3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165" fontId="4" fillId="0" borderId="0" xfId="1" applyNumberFormat="1" applyFont="1"/>
    <xf numFmtId="165" fontId="2" fillId="0" borderId="0" xfId="1" applyNumberFormat="1" applyFont="1" applyAlignment="1">
      <alignment horizontal="center"/>
    </xf>
    <xf numFmtId="165" fontId="3" fillId="0" borderId="0" xfId="0" applyNumberFormat="1" applyFont="1"/>
    <xf numFmtId="166" fontId="2" fillId="0" borderId="1" xfId="1" applyNumberFormat="1" applyFont="1" applyBorder="1"/>
    <xf numFmtId="166" fontId="3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topLeftCell="A4" workbookViewId="0">
      <selection activeCell="E21" sqref="E21"/>
    </sheetView>
  </sheetViews>
  <sheetFormatPr defaultColWidth="8" defaultRowHeight="14.4" x14ac:dyDescent="0.25"/>
  <cols>
    <col min="1" max="1" width="12.88671875" style="15" bestFit="1" customWidth="1"/>
    <col min="2" max="2" width="32.109375" style="15" hidden="1" customWidth="1"/>
    <col min="3" max="3" width="80.33203125" style="15" customWidth="1"/>
    <col min="4" max="4" width="20.33203125" style="18" customWidth="1"/>
    <col min="5" max="5" width="20" style="15" customWidth="1"/>
    <col min="6" max="6" width="22.6640625" style="22" customWidth="1"/>
    <col min="7" max="16384" width="8" style="15"/>
  </cols>
  <sheetData>
    <row r="1" spans="1:6" ht="17.399999999999999" x14ac:dyDescent="0.3">
      <c r="A1" s="70" t="s">
        <v>35</v>
      </c>
    </row>
    <row r="2" spans="1:6" ht="15.6" x14ac:dyDescent="0.3">
      <c r="A2" s="57" t="s">
        <v>36</v>
      </c>
    </row>
    <row r="3" spans="1:6" ht="15.6" x14ac:dyDescent="0.3">
      <c r="A3" s="17" t="s">
        <v>37</v>
      </c>
    </row>
    <row r="4" spans="1:6" ht="17.399999999999999" x14ac:dyDescent="0.3">
      <c r="A4" s="70" t="s">
        <v>35</v>
      </c>
    </row>
    <row r="5" spans="1:6" ht="15.6" x14ac:dyDescent="0.3">
      <c r="A5" s="57" t="s">
        <v>36</v>
      </c>
    </row>
    <row r="6" spans="1:6" ht="15.6" x14ac:dyDescent="0.3">
      <c r="A6" s="17" t="s">
        <v>37</v>
      </c>
    </row>
    <row r="7" spans="1:6" s="8" customFormat="1" ht="37.5" customHeight="1" x14ac:dyDescent="0.35">
      <c r="A7" s="53" t="s">
        <v>22</v>
      </c>
      <c r="B7" s="53"/>
      <c r="C7" s="53"/>
      <c r="D7" s="53"/>
      <c r="F7" s="20"/>
    </row>
    <row r="8" spans="1:6" s="8" customFormat="1" ht="20.399999999999999" x14ac:dyDescent="0.35">
      <c r="B8" s="49"/>
      <c r="C8" s="49"/>
      <c r="D8" s="49"/>
      <c r="F8" s="20"/>
    </row>
    <row r="9" spans="1:6" s="24" customFormat="1" ht="25.5" customHeight="1" x14ac:dyDescent="0.3">
      <c r="A9" s="28" t="s">
        <v>12</v>
      </c>
      <c r="B9" s="28"/>
      <c r="C9" s="28" t="s">
        <v>13</v>
      </c>
      <c r="D9" s="44" t="s">
        <v>14</v>
      </c>
      <c r="E9" s="28" t="s">
        <v>34</v>
      </c>
      <c r="F9" s="44" t="s">
        <v>16</v>
      </c>
    </row>
    <row r="10" spans="1:6" s="25" customFormat="1" ht="30" customHeight="1" x14ac:dyDescent="0.3">
      <c r="A10" s="67"/>
      <c r="B10" s="63" t="s">
        <v>24</v>
      </c>
      <c r="C10" s="63"/>
      <c r="D10" s="45">
        <f>SUM(D11:D11)</f>
        <v>315756455</v>
      </c>
      <c r="E10" s="45">
        <f>SUM(E11:E11)</f>
        <v>272227547</v>
      </c>
      <c r="F10" s="44">
        <f>SUM(F11:F11)</f>
        <v>43528908</v>
      </c>
    </row>
    <row r="11" spans="1:6" s="25" customFormat="1" ht="63" customHeight="1" x14ac:dyDescent="0.3">
      <c r="A11" s="29" t="s">
        <v>29</v>
      </c>
      <c r="B11" s="50"/>
      <c r="C11" s="66" t="s">
        <v>30</v>
      </c>
      <c r="D11" s="59">
        <v>315756455</v>
      </c>
      <c r="E11" s="39">
        <v>272227547</v>
      </c>
      <c r="F11" s="47">
        <f>D11-E11</f>
        <v>43528908</v>
      </c>
    </row>
    <row r="12" spans="1:6" s="25" customFormat="1" ht="37.5" customHeight="1" x14ac:dyDescent="0.3">
      <c r="A12" s="64"/>
      <c r="B12" s="65" t="s">
        <v>25</v>
      </c>
      <c r="C12" s="65"/>
      <c r="D12" s="45">
        <f>+SUM(D13:D15)</f>
        <v>946876148</v>
      </c>
      <c r="E12" s="45">
        <f>+SUM(E13:E15)</f>
        <v>786482056</v>
      </c>
      <c r="F12" s="44">
        <f>+SUM(F13:F15)</f>
        <v>160394092</v>
      </c>
    </row>
    <row r="13" spans="1:6" s="17" customFormat="1" ht="48" customHeight="1" x14ac:dyDescent="0.3">
      <c r="A13" s="29" t="s">
        <v>26</v>
      </c>
      <c r="B13" s="16" t="s">
        <v>10</v>
      </c>
      <c r="C13" s="58" t="s">
        <v>31</v>
      </c>
      <c r="D13" s="59">
        <v>25000000</v>
      </c>
      <c r="E13" s="39">
        <v>0</v>
      </c>
      <c r="F13" s="47">
        <f>D13-E13</f>
        <v>25000000</v>
      </c>
    </row>
    <row r="14" spans="1:6" s="17" customFormat="1" ht="55.8" customHeight="1" x14ac:dyDescent="0.3">
      <c r="A14" s="29" t="s">
        <v>27</v>
      </c>
      <c r="B14" s="16"/>
      <c r="C14" s="60" t="s">
        <v>32</v>
      </c>
      <c r="D14" s="59">
        <v>898148148</v>
      </c>
      <c r="E14" s="39">
        <v>768065131</v>
      </c>
      <c r="F14" s="47">
        <f t="shared" ref="F14:F15" si="0">D14-E14</f>
        <v>130083017</v>
      </c>
    </row>
    <row r="15" spans="1:6" s="17" customFormat="1" ht="55.8" customHeight="1" x14ac:dyDescent="0.3">
      <c r="A15" s="29" t="s">
        <v>28</v>
      </c>
      <c r="B15" s="16"/>
      <c r="C15" s="60" t="s">
        <v>33</v>
      </c>
      <c r="D15" s="61">
        <v>23728000</v>
      </c>
      <c r="E15" s="62">
        <v>18416925</v>
      </c>
      <c r="F15" s="47">
        <f t="shared" si="0"/>
        <v>5311075</v>
      </c>
    </row>
    <row r="16" spans="1:6" s="24" customFormat="1" ht="31.5" customHeight="1" x14ac:dyDescent="0.3">
      <c r="A16" s="23"/>
      <c r="B16" s="68" t="s">
        <v>11</v>
      </c>
      <c r="C16" s="69"/>
      <c r="D16" s="46">
        <f>+D10+D12</f>
        <v>1262632603</v>
      </c>
      <c r="E16" s="46">
        <f>+E10+E12</f>
        <v>1058709603</v>
      </c>
      <c r="F16" s="46">
        <f>+F10+F12</f>
        <v>203923000</v>
      </c>
    </row>
    <row r="17" spans="3:6" s="17" customFormat="1" ht="19.5" customHeight="1" x14ac:dyDescent="0.3">
      <c r="D17" s="26"/>
      <c r="E17" s="48"/>
      <c r="F17" s="21"/>
    </row>
    <row r="18" spans="3:6" s="17" customFormat="1" ht="19.5" customHeight="1" x14ac:dyDescent="0.3">
      <c r="C18" s="54" t="s">
        <v>21</v>
      </c>
      <c r="D18" s="54"/>
      <c r="E18" s="19"/>
      <c r="F18" s="21"/>
    </row>
    <row r="19" spans="3:6" s="17" customFormat="1" ht="19.5" customHeight="1" x14ac:dyDescent="0.3">
      <c r="C19" s="52" t="s">
        <v>15</v>
      </c>
      <c r="D19" s="52"/>
      <c r="E19" s="27"/>
      <c r="F19" s="21"/>
    </row>
    <row r="20" spans="3:6" s="17" customFormat="1" ht="19.5" customHeight="1" x14ac:dyDescent="0.3">
      <c r="C20" s="6"/>
      <c r="D20" s="4"/>
      <c r="E20" s="4"/>
      <c r="F20" s="21"/>
    </row>
    <row r="21" spans="3:6" s="17" customFormat="1" ht="19.5" customHeight="1" x14ac:dyDescent="0.3">
      <c r="C21" s="6"/>
      <c r="D21" s="4"/>
      <c r="E21" s="4"/>
      <c r="F21" s="21"/>
    </row>
    <row r="22" spans="3:6" s="17" customFormat="1" ht="19.5" customHeight="1" x14ac:dyDescent="0.3">
      <c r="C22" s="6"/>
      <c r="D22" s="4"/>
      <c r="E22" s="4"/>
      <c r="F22" s="21"/>
    </row>
    <row r="23" spans="3:6" s="17" customFormat="1" ht="19.5" customHeight="1" x14ac:dyDescent="0.3">
      <c r="C23" s="6"/>
      <c r="D23" s="4"/>
      <c r="E23" s="4"/>
      <c r="F23" s="21"/>
    </row>
    <row r="24" spans="3:6" s="17" customFormat="1" ht="19.5" customHeight="1" x14ac:dyDescent="0.3">
      <c r="C24" s="6"/>
      <c r="D24" s="4"/>
      <c r="E24" s="4"/>
      <c r="F24" s="21"/>
    </row>
    <row r="25" spans="3:6" s="17" customFormat="1" ht="19.5" customHeight="1" x14ac:dyDescent="0.3">
      <c r="C25" s="6"/>
      <c r="D25" s="4"/>
      <c r="E25" s="4"/>
      <c r="F25" s="21"/>
    </row>
    <row r="26" spans="3:6" s="17" customFormat="1" ht="19.5" customHeight="1" x14ac:dyDescent="0.3">
      <c r="C26" s="52"/>
      <c r="D26" s="52"/>
      <c r="E26" s="27"/>
      <c r="F26" s="21"/>
    </row>
    <row r="27" spans="3:6" s="17" customFormat="1" ht="19.5" customHeight="1" x14ac:dyDescent="0.3">
      <c r="D27" s="26"/>
      <c r="F27" s="21"/>
    </row>
    <row r="28" spans="3:6" s="17" customFormat="1" ht="19.5" customHeight="1" x14ac:dyDescent="0.3">
      <c r="D28" s="26"/>
      <c r="F28" s="21"/>
    </row>
    <row r="29" spans="3:6" s="17" customFormat="1" ht="19.5" customHeight="1" x14ac:dyDescent="0.3">
      <c r="D29" s="26"/>
      <c r="F29" s="21"/>
    </row>
    <row r="30" spans="3:6" s="17" customFormat="1" ht="19.5" customHeight="1" x14ac:dyDescent="0.3">
      <c r="D30" s="26"/>
      <c r="F30" s="21"/>
    </row>
    <row r="31" spans="3:6" s="17" customFormat="1" ht="19.5" customHeight="1" x14ac:dyDescent="0.3">
      <c r="D31" s="26"/>
      <c r="F31" s="21"/>
    </row>
    <row r="32" spans="3:6" ht="19.5" customHeight="1" x14ac:dyDescent="0.25"/>
    <row r="33" spans="4:6" ht="19.5" customHeight="1" x14ac:dyDescent="0.25"/>
    <row r="34" spans="4:6" ht="19.5" customHeight="1" x14ac:dyDescent="0.25"/>
    <row r="35" spans="4:6" ht="19.5" customHeight="1" x14ac:dyDescent="0.25"/>
    <row r="36" spans="4:6" ht="19.5" customHeight="1" x14ac:dyDescent="0.25">
      <c r="D36" s="15"/>
      <c r="F36" s="15"/>
    </row>
    <row r="37" spans="4:6" ht="19.5" customHeight="1" x14ac:dyDescent="0.25">
      <c r="D37" s="15"/>
      <c r="F37" s="15"/>
    </row>
    <row r="38" spans="4:6" ht="19.5" customHeight="1" x14ac:dyDescent="0.25">
      <c r="D38" s="15"/>
      <c r="F38" s="15"/>
    </row>
    <row r="39" spans="4:6" ht="19.5" customHeight="1" x14ac:dyDescent="0.25">
      <c r="D39" s="15"/>
      <c r="F39" s="15"/>
    </row>
    <row r="40" spans="4:6" ht="19.5" customHeight="1" x14ac:dyDescent="0.25">
      <c r="D40" s="15"/>
      <c r="F40" s="15"/>
    </row>
    <row r="41" spans="4:6" ht="19.5" customHeight="1" x14ac:dyDescent="0.25">
      <c r="D41" s="15"/>
      <c r="F41" s="15"/>
    </row>
    <row r="42" spans="4:6" ht="19.5" customHeight="1" x14ac:dyDescent="0.25">
      <c r="D42" s="15"/>
      <c r="F42" s="15"/>
    </row>
    <row r="43" spans="4:6" ht="19.5" customHeight="1" x14ac:dyDescent="0.25">
      <c r="D43" s="15"/>
      <c r="F43" s="15"/>
    </row>
    <row r="44" spans="4:6" ht="19.5" customHeight="1" x14ac:dyDescent="0.25">
      <c r="D44" s="15"/>
      <c r="F44" s="15"/>
    </row>
    <row r="45" spans="4:6" ht="19.5" customHeight="1" x14ac:dyDescent="0.25">
      <c r="D45" s="15"/>
      <c r="F45" s="15"/>
    </row>
    <row r="46" spans="4:6" ht="19.5" customHeight="1" x14ac:dyDescent="0.25">
      <c r="D46" s="15"/>
      <c r="F46" s="15"/>
    </row>
    <row r="47" spans="4:6" ht="19.5" customHeight="1" x14ac:dyDescent="0.25">
      <c r="D47" s="15"/>
      <c r="F47" s="15"/>
    </row>
    <row r="48" spans="4:6" ht="19.5" customHeight="1" x14ac:dyDescent="0.25">
      <c r="D48" s="15"/>
      <c r="F48" s="15"/>
    </row>
    <row r="49" spans="4:6" ht="19.5" customHeight="1" x14ac:dyDescent="0.25">
      <c r="D49" s="15"/>
      <c r="F49" s="15"/>
    </row>
    <row r="50" spans="4:6" ht="19.5" customHeight="1" x14ac:dyDescent="0.25">
      <c r="D50" s="15"/>
      <c r="F50" s="15"/>
    </row>
    <row r="51" spans="4:6" ht="19.5" customHeight="1" x14ac:dyDescent="0.25">
      <c r="D51" s="15"/>
      <c r="F51" s="15"/>
    </row>
    <row r="52" spans="4:6" ht="19.5" customHeight="1" x14ac:dyDescent="0.25">
      <c r="D52" s="15"/>
      <c r="F52" s="15"/>
    </row>
    <row r="53" spans="4:6" ht="19.5" customHeight="1" x14ac:dyDescent="0.25">
      <c r="D53" s="15"/>
      <c r="F53" s="15"/>
    </row>
    <row r="54" spans="4:6" ht="19.5" customHeight="1" x14ac:dyDescent="0.25">
      <c r="D54" s="15"/>
      <c r="F54" s="15"/>
    </row>
    <row r="55" spans="4:6" ht="19.5" customHeight="1" x14ac:dyDescent="0.25">
      <c r="D55" s="15"/>
      <c r="F55" s="15"/>
    </row>
    <row r="56" spans="4:6" ht="19.5" customHeight="1" x14ac:dyDescent="0.25">
      <c r="D56" s="15"/>
      <c r="F56" s="15"/>
    </row>
    <row r="57" spans="4:6" ht="19.5" customHeight="1" x14ac:dyDescent="0.25">
      <c r="D57" s="15"/>
      <c r="F57" s="15"/>
    </row>
    <row r="58" spans="4:6" ht="19.5" customHeight="1" x14ac:dyDescent="0.25">
      <c r="D58" s="15"/>
      <c r="F58" s="15"/>
    </row>
    <row r="59" spans="4:6" ht="19.5" customHeight="1" x14ac:dyDescent="0.25">
      <c r="D59" s="15"/>
      <c r="F59" s="15"/>
    </row>
    <row r="60" spans="4:6" ht="19.5" customHeight="1" x14ac:dyDescent="0.25">
      <c r="D60" s="15"/>
      <c r="F60" s="15"/>
    </row>
    <row r="61" spans="4:6" ht="19.5" customHeight="1" x14ac:dyDescent="0.25">
      <c r="D61" s="15"/>
      <c r="F61" s="15"/>
    </row>
    <row r="62" spans="4:6" ht="19.5" customHeight="1" x14ac:dyDescent="0.25">
      <c r="D62" s="15"/>
      <c r="F62" s="15"/>
    </row>
    <row r="63" spans="4:6" ht="19.5" customHeight="1" x14ac:dyDescent="0.25">
      <c r="D63" s="15"/>
      <c r="F63" s="15"/>
    </row>
    <row r="64" spans="4:6" ht="19.5" customHeight="1" x14ac:dyDescent="0.25">
      <c r="D64" s="15"/>
      <c r="F64" s="15"/>
    </row>
    <row r="65" spans="4:6" ht="19.5" customHeight="1" x14ac:dyDescent="0.25">
      <c r="D65" s="15"/>
      <c r="F65" s="15"/>
    </row>
    <row r="66" spans="4:6" ht="19.5" customHeight="1" x14ac:dyDescent="0.25">
      <c r="D66" s="15"/>
      <c r="F66" s="15"/>
    </row>
    <row r="67" spans="4:6" ht="19.5" customHeight="1" x14ac:dyDescent="0.25">
      <c r="D67" s="15"/>
      <c r="F67" s="15"/>
    </row>
    <row r="68" spans="4:6" ht="19.5" customHeight="1" x14ac:dyDescent="0.25">
      <c r="D68" s="15"/>
      <c r="F68" s="15"/>
    </row>
    <row r="69" spans="4:6" ht="19.5" customHeight="1" x14ac:dyDescent="0.25">
      <c r="D69" s="15"/>
      <c r="F69" s="15"/>
    </row>
    <row r="70" spans="4:6" ht="19.5" customHeight="1" x14ac:dyDescent="0.25">
      <c r="D70" s="15"/>
      <c r="F70" s="15"/>
    </row>
    <row r="71" spans="4:6" ht="19.5" customHeight="1" x14ac:dyDescent="0.25">
      <c r="D71" s="15"/>
      <c r="F71" s="15"/>
    </row>
    <row r="72" spans="4:6" ht="19.5" customHeight="1" x14ac:dyDescent="0.25">
      <c r="D72" s="15"/>
      <c r="F72" s="15"/>
    </row>
    <row r="73" spans="4:6" ht="19.5" customHeight="1" x14ac:dyDescent="0.25">
      <c r="D73" s="15"/>
      <c r="F73" s="15"/>
    </row>
    <row r="74" spans="4:6" ht="19.5" customHeight="1" x14ac:dyDescent="0.25">
      <c r="D74" s="15"/>
      <c r="F74" s="15"/>
    </row>
    <row r="75" spans="4:6" ht="19.5" customHeight="1" x14ac:dyDescent="0.25">
      <c r="D75" s="15"/>
      <c r="F75" s="15"/>
    </row>
    <row r="76" spans="4:6" ht="19.5" customHeight="1" x14ac:dyDescent="0.25">
      <c r="D76" s="15"/>
      <c r="F76" s="15"/>
    </row>
    <row r="77" spans="4:6" ht="19.5" customHeight="1" x14ac:dyDescent="0.25">
      <c r="D77" s="15"/>
      <c r="F77" s="15"/>
    </row>
    <row r="78" spans="4:6" ht="19.5" customHeight="1" x14ac:dyDescent="0.25">
      <c r="D78" s="15"/>
      <c r="F78" s="15"/>
    </row>
    <row r="79" spans="4:6" ht="19.5" customHeight="1" x14ac:dyDescent="0.25">
      <c r="D79" s="15"/>
      <c r="F79" s="15"/>
    </row>
    <row r="80" spans="4:6" ht="19.5" customHeight="1" x14ac:dyDescent="0.25">
      <c r="D80" s="15"/>
      <c r="F80" s="15"/>
    </row>
    <row r="81" spans="4:6" ht="19.5" customHeight="1" x14ac:dyDescent="0.25">
      <c r="D81" s="15"/>
      <c r="F81" s="15"/>
    </row>
    <row r="82" spans="4:6" ht="19.5" customHeight="1" x14ac:dyDescent="0.25">
      <c r="D82" s="15"/>
      <c r="F82" s="15"/>
    </row>
    <row r="83" spans="4:6" ht="19.5" customHeight="1" x14ac:dyDescent="0.25">
      <c r="D83" s="15"/>
      <c r="F83" s="15"/>
    </row>
    <row r="84" spans="4:6" ht="19.5" customHeight="1" x14ac:dyDescent="0.25">
      <c r="D84" s="15"/>
      <c r="F84" s="15"/>
    </row>
    <row r="85" spans="4:6" ht="19.5" customHeight="1" x14ac:dyDescent="0.25">
      <c r="D85" s="15"/>
      <c r="F85" s="15"/>
    </row>
    <row r="86" spans="4:6" ht="19.5" customHeight="1" x14ac:dyDescent="0.25">
      <c r="D86" s="15"/>
      <c r="F86" s="15"/>
    </row>
    <row r="87" spans="4:6" ht="19.5" customHeight="1" x14ac:dyDescent="0.25">
      <c r="D87" s="15"/>
      <c r="F87" s="15"/>
    </row>
    <row r="88" spans="4:6" ht="19.5" customHeight="1" x14ac:dyDescent="0.25">
      <c r="D88" s="15"/>
      <c r="F88" s="15"/>
    </row>
    <row r="89" spans="4:6" ht="19.5" customHeight="1" x14ac:dyDescent="0.25">
      <c r="D89" s="15"/>
      <c r="F89" s="15"/>
    </row>
    <row r="90" spans="4:6" ht="19.5" customHeight="1" x14ac:dyDescent="0.25">
      <c r="D90" s="15"/>
      <c r="F90" s="15"/>
    </row>
    <row r="91" spans="4:6" ht="19.5" customHeight="1" x14ac:dyDescent="0.25">
      <c r="D91" s="15"/>
      <c r="F91" s="15"/>
    </row>
    <row r="92" spans="4:6" ht="19.5" customHeight="1" x14ac:dyDescent="0.25">
      <c r="D92" s="15"/>
      <c r="F92" s="15"/>
    </row>
    <row r="93" spans="4:6" ht="19.5" customHeight="1" x14ac:dyDescent="0.25">
      <c r="D93" s="15"/>
      <c r="F93" s="15"/>
    </row>
    <row r="94" spans="4:6" ht="19.5" customHeight="1" x14ac:dyDescent="0.25">
      <c r="D94" s="15"/>
      <c r="F94" s="15"/>
    </row>
    <row r="95" spans="4:6" ht="19.5" customHeight="1" x14ac:dyDescent="0.25">
      <c r="D95" s="15"/>
      <c r="F95" s="15"/>
    </row>
    <row r="96" spans="4:6" ht="19.5" customHeight="1" x14ac:dyDescent="0.25">
      <c r="D96" s="15"/>
      <c r="F96" s="15"/>
    </row>
    <row r="97" spans="4:6" ht="19.5" customHeight="1" x14ac:dyDescent="0.25">
      <c r="D97" s="15"/>
      <c r="F97" s="15"/>
    </row>
    <row r="98" spans="4:6" ht="19.5" customHeight="1" x14ac:dyDescent="0.25">
      <c r="D98" s="15"/>
      <c r="F98" s="15"/>
    </row>
    <row r="99" spans="4:6" ht="19.5" customHeight="1" x14ac:dyDescent="0.25">
      <c r="D99" s="15"/>
      <c r="F99" s="15"/>
    </row>
    <row r="100" spans="4:6" ht="19.5" customHeight="1" x14ac:dyDescent="0.25">
      <c r="D100" s="15"/>
      <c r="F100" s="15"/>
    </row>
    <row r="101" spans="4:6" ht="19.5" customHeight="1" x14ac:dyDescent="0.25">
      <c r="D101" s="15"/>
      <c r="F101" s="15"/>
    </row>
    <row r="102" spans="4:6" ht="19.5" customHeight="1" x14ac:dyDescent="0.25">
      <c r="D102" s="15"/>
      <c r="F102" s="15"/>
    </row>
    <row r="103" spans="4:6" ht="19.5" customHeight="1" x14ac:dyDescent="0.25">
      <c r="D103" s="15"/>
      <c r="F103" s="15"/>
    </row>
    <row r="104" spans="4:6" ht="19.5" customHeight="1" x14ac:dyDescent="0.25">
      <c r="D104" s="15"/>
      <c r="F104" s="15"/>
    </row>
    <row r="105" spans="4:6" ht="19.5" customHeight="1" x14ac:dyDescent="0.25">
      <c r="D105" s="15"/>
      <c r="F105" s="15"/>
    </row>
    <row r="106" spans="4:6" ht="19.5" customHeight="1" x14ac:dyDescent="0.25">
      <c r="D106" s="15"/>
      <c r="F106" s="15"/>
    </row>
    <row r="107" spans="4:6" ht="19.5" customHeight="1" x14ac:dyDescent="0.25">
      <c r="D107" s="15"/>
      <c r="F107" s="15"/>
    </row>
    <row r="108" spans="4:6" ht="19.5" customHeight="1" x14ac:dyDescent="0.25">
      <c r="D108" s="15"/>
      <c r="F108" s="15"/>
    </row>
    <row r="109" spans="4:6" ht="19.5" customHeight="1" x14ac:dyDescent="0.25">
      <c r="D109" s="15"/>
      <c r="F109" s="15"/>
    </row>
    <row r="110" spans="4:6" ht="19.5" customHeight="1" x14ac:dyDescent="0.25">
      <c r="D110" s="15"/>
      <c r="F110" s="15"/>
    </row>
    <row r="111" spans="4:6" ht="19.5" customHeight="1" x14ac:dyDescent="0.25">
      <c r="D111" s="15"/>
      <c r="F111" s="15"/>
    </row>
    <row r="112" spans="4:6" ht="19.5" customHeight="1" x14ac:dyDescent="0.25">
      <c r="D112" s="15"/>
      <c r="F112" s="15"/>
    </row>
    <row r="113" spans="4:6" ht="19.5" customHeight="1" x14ac:dyDescent="0.25">
      <c r="D113" s="15"/>
      <c r="F113" s="15"/>
    </row>
    <row r="114" spans="4:6" ht="19.5" customHeight="1" x14ac:dyDescent="0.25">
      <c r="D114" s="15"/>
      <c r="F114" s="15"/>
    </row>
    <row r="115" spans="4:6" ht="19.5" customHeight="1" x14ac:dyDescent="0.25">
      <c r="D115" s="15"/>
      <c r="F115" s="15"/>
    </row>
    <row r="116" spans="4:6" ht="19.5" customHeight="1" x14ac:dyDescent="0.25">
      <c r="D116" s="15"/>
      <c r="F116" s="15"/>
    </row>
    <row r="117" spans="4:6" ht="19.5" customHeight="1" x14ac:dyDescent="0.25">
      <c r="D117" s="15"/>
      <c r="F117" s="15"/>
    </row>
    <row r="118" spans="4:6" ht="19.5" customHeight="1" x14ac:dyDescent="0.25">
      <c r="D118" s="15"/>
      <c r="F118" s="15"/>
    </row>
    <row r="119" spans="4:6" ht="19.5" customHeight="1" x14ac:dyDescent="0.25">
      <c r="D119" s="15"/>
      <c r="F119" s="15"/>
    </row>
    <row r="120" spans="4:6" ht="19.5" customHeight="1" x14ac:dyDescent="0.25">
      <c r="D120" s="15"/>
      <c r="F120" s="15"/>
    </row>
    <row r="121" spans="4:6" ht="19.5" customHeight="1" x14ac:dyDescent="0.25">
      <c r="D121" s="15"/>
      <c r="F121" s="15"/>
    </row>
    <row r="122" spans="4:6" ht="19.5" customHeight="1" x14ac:dyDescent="0.25">
      <c r="D122" s="15"/>
      <c r="F122" s="15"/>
    </row>
    <row r="123" spans="4:6" ht="19.5" customHeight="1" x14ac:dyDescent="0.25">
      <c r="D123" s="15"/>
      <c r="F123" s="15"/>
    </row>
    <row r="124" spans="4:6" ht="19.5" customHeight="1" x14ac:dyDescent="0.25">
      <c r="D124" s="15"/>
      <c r="F124" s="15"/>
    </row>
    <row r="125" spans="4:6" ht="19.5" customHeight="1" x14ac:dyDescent="0.25">
      <c r="D125" s="15"/>
      <c r="F125" s="15"/>
    </row>
    <row r="126" spans="4:6" ht="19.5" customHeight="1" x14ac:dyDescent="0.25">
      <c r="D126" s="15"/>
      <c r="F126" s="15"/>
    </row>
    <row r="127" spans="4:6" ht="19.5" customHeight="1" x14ac:dyDescent="0.25">
      <c r="D127" s="15"/>
      <c r="F127" s="15"/>
    </row>
    <row r="128" spans="4:6" ht="19.5" customHeight="1" x14ac:dyDescent="0.25">
      <c r="D128" s="15"/>
      <c r="F128" s="15"/>
    </row>
    <row r="129" spans="4:6" ht="19.5" customHeight="1" x14ac:dyDescent="0.25">
      <c r="D129" s="15"/>
      <c r="F129" s="15"/>
    </row>
    <row r="130" spans="4:6" ht="19.5" customHeight="1" x14ac:dyDescent="0.25">
      <c r="D130" s="15"/>
      <c r="F130" s="15"/>
    </row>
    <row r="131" spans="4:6" ht="19.5" customHeight="1" x14ac:dyDescent="0.25">
      <c r="D131" s="15"/>
      <c r="F131" s="15"/>
    </row>
    <row r="132" spans="4:6" ht="19.5" customHeight="1" x14ac:dyDescent="0.25">
      <c r="D132" s="15"/>
      <c r="F132" s="15"/>
    </row>
    <row r="133" spans="4:6" ht="19.5" customHeight="1" x14ac:dyDescent="0.25">
      <c r="D133" s="15"/>
      <c r="F133" s="15"/>
    </row>
    <row r="134" spans="4:6" ht="19.5" customHeight="1" x14ac:dyDescent="0.25">
      <c r="D134" s="15"/>
      <c r="F134" s="15"/>
    </row>
    <row r="135" spans="4:6" ht="19.5" customHeight="1" x14ac:dyDescent="0.25">
      <c r="D135" s="15"/>
      <c r="F135" s="15"/>
    </row>
    <row r="136" spans="4:6" ht="19.5" customHeight="1" x14ac:dyDescent="0.25">
      <c r="D136" s="15"/>
      <c r="F136" s="15"/>
    </row>
    <row r="137" spans="4:6" ht="19.5" customHeight="1" x14ac:dyDescent="0.25">
      <c r="D137" s="15"/>
      <c r="F137" s="15"/>
    </row>
    <row r="138" spans="4:6" ht="19.5" customHeight="1" x14ac:dyDescent="0.25">
      <c r="D138" s="15"/>
      <c r="F138" s="15"/>
    </row>
    <row r="139" spans="4:6" ht="19.5" customHeight="1" x14ac:dyDescent="0.25">
      <c r="D139" s="15"/>
      <c r="F139" s="15"/>
    </row>
    <row r="140" spans="4:6" ht="19.5" customHeight="1" x14ac:dyDescent="0.25">
      <c r="D140" s="15"/>
      <c r="F140" s="15"/>
    </row>
    <row r="141" spans="4:6" ht="19.5" customHeight="1" x14ac:dyDescent="0.25">
      <c r="D141" s="15"/>
      <c r="F141" s="15"/>
    </row>
    <row r="142" spans="4:6" ht="19.5" customHeight="1" x14ac:dyDescent="0.25">
      <c r="D142" s="15"/>
      <c r="F142" s="15"/>
    </row>
    <row r="143" spans="4:6" ht="19.5" customHeight="1" x14ac:dyDescent="0.25">
      <c r="D143" s="15"/>
      <c r="F143" s="15"/>
    </row>
    <row r="144" spans="4:6" ht="19.5" customHeight="1" x14ac:dyDescent="0.25">
      <c r="D144" s="15"/>
      <c r="F144" s="15"/>
    </row>
    <row r="145" spans="4:6" ht="19.5" customHeight="1" x14ac:dyDescent="0.25">
      <c r="D145" s="15"/>
      <c r="F145" s="15"/>
    </row>
    <row r="146" spans="4:6" ht="19.5" customHeight="1" x14ac:dyDescent="0.25">
      <c r="D146" s="15"/>
      <c r="F146" s="15"/>
    </row>
    <row r="147" spans="4:6" ht="19.5" customHeight="1" x14ac:dyDescent="0.25">
      <c r="D147" s="15"/>
      <c r="F147" s="15"/>
    </row>
    <row r="148" spans="4:6" ht="19.5" customHeight="1" x14ac:dyDescent="0.25">
      <c r="D148" s="15"/>
      <c r="F148" s="15"/>
    </row>
    <row r="149" spans="4:6" ht="19.5" customHeight="1" x14ac:dyDescent="0.25">
      <c r="D149" s="15"/>
      <c r="F149" s="15"/>
    </row>
    <row r="150" spans="4:6" ht="19.5" customHeight="1" x14ac:dyDescent="0.25">
      <c r="D150" s="15"/>
      <c r="F150" s="15"/>
    </row>
    <row r="151" spans="4:6" ht="19.5" customHeight="1" x14ac:dyDescent="0.25">
      <c r="D151" s="15"/>
      <c r="F151" s="15"/>
    </row>
    <row r="152" spans="4:6" ht="19.5" customHeight="1" x14ac:dyDescent="0.25">
      <c r="D152" s="15"/>
      <c r="F152" s="15"/>
    </row>
    <row r="153" spans="4:6" ht="19.5" customHeight="1" x14ac:dyDescent="0.25">
      <c r="D153" s="15"/>
      <c r="F153" s="15"/>
    </row>
    <row r="154" spans="4:6" ht="19.5" customHeight="1" x14ac:dyDescent="0.25">
      <c r="D154" s="15"/>
      <c r="F154" s="15"/>
    </row>
    <row r="155" spans="4:6" ht="19.5" customHeight="1" x14ac:dyDescent="0.25">
      <c r="D155" s="15"/>
      <c r="F155" s="15"/>
    </row>
    <row r="156" spans="4:6" ht="19.5" customHeight="1" x14ac:dyDescent="0.25">
      <c r="D156" s="15"/>
      <c r="F156" s="15"/>
    </row>
    <row r="157" spans="4:6" ht="19.5" customHeight="1" x14ac:dyDescent="0.25">
      <c r="D157" s="15"/>
      <c r="F157" s="15"/>
    </row>
    <row r="158" spans="4:6" ht="19.5" customHeight="1" x14ac:dyDescent="0.25">
      <c r="D158" s="15"/>
      <c r="F158" s="15"/>
    </row>
    <row r="159" spans="4:6" ht="19.5" customHeight="1" x14ac:dyDescent="0.25">
      <c r="D159" s="15"/>
      <c r="F159" s="15"/>
    </row>
    <row r="160" spans="4:6" ht="19.5" customHeight="1" x14ac:dyDescent="0.25">
      <c r="D160" s="15"/>
      <c r="F160" s="15"/>
    </row>
    <row r="161" spans="4:6" ht="19.5" customHeight="1" x14ac:dyDescent="0.25">
      <c r="D161" s="15"/>
      <c r="F161" s="15"/>
    </row>
    <row r="162" spans="4:6" ht="19.5" customHeight="1" x14ac:dyDescent="0.25">
      <c r="D162" s="15"/>
      <c r="F162" s="15"/>
    </row>
    <row r="163" spans="4:6" ht="19.5" customHeight="1" x14ac:dyDescent="0.25">
      <c r="D163" s="15"/>
      <c r="F163" s="15"/>
    </row>
    <row r="164" spans="4:6" ht="19.5" customHeight="1" x14ac:dyDescent="0.25">
      <c r="D164" s="15"/>
      <c r="F164" s="15"/>
    </row>
    <row r="165" spans="4:6" ht="19.5" customHeight="1" x14ac:dyDescent="0.25">
      <c r="D165" s="15"/>
      <c r="F165" s="15"/>
    </row>
    <row r="166" spans="4:6" ht="19.5" customHeight="1" x14ac:dyDescent="0.25">
      <c r="D166" s="15"/>
      <c r="F166" s="15"/>
    </row>
    <row r="167" spans="4:6" ht="19.5" customHeight="1" x14ac:dyDescent="0.25">
      <c r="D167" s="15"/>
      <c r="F167" s="15"/>
    </row>
    <row r="168" spans="4:6" ht="19.5" customHeight="1" x14ac:dyDescent="0.25">
      <c r="D168" s="15"/>
      <c r="F168" s="15"/>
    </row>
    <row r="169" spans="4:6" ht="19.5" customHeight="1" x14ac:dyDescent="0.25">
      <c r="D169" s="15"/>
      <c r="F169" s="15"/>
    </row>
    <row r="170" spans="4:6" ht="19.5" customHeight="1" x14ac:dyDescent="0.25">
      <c r="D170" s="15"/>
      <c r="F170" s="15"/>
    </row>
    <row r="171" spans="4:6" ht="19.5" customHeight="1" x14ac:dyDescent="0.25">
      <c r="D171" s="15"/>
      <c r="F171" s="15"/>
    </row>
    <row r="172" spans="4:6" ht="19.5" customHeight="1" x14ac:dyDescent="0.25">
      <c r="D172" s="15"/>
      <c r="F172" s="15"/>
    </row>
    <row r="173" spans="4:6" ht="19.5" customHeight="1" x14ac:dyDescent="0.25">
      <c r="D173" s="15"/>
      <c r="F173" s="15"/>
    </row>
    <row r="174" spans="4:6" ht="19.5" customHeight="1" x14ac:dyDescent="0.25">
      <c r="D174" s="15"/>
      <c r="F174" s="15"/>
    </row>
    <row r="175" spans="4:6" ht="19.5" customHeight="1" x14ac:dyDescent="0.25">
      <c r="D175" s="15"/>
      <c r="F175" s="15"/>
    </row>
    <row r="176" spans="4:6" ht="19.5" customHeight="1" x14ac:dyDescent="0.25">
      <c r="D176" s="15"/>
      <c r="F176" s="15"/>
    </row>
    <row r="177" spans="4:6" ht="19.5" customHeight="1" x14ac:dyDescent="0.25">
      <c r="D177" s="15"/>
      <c r="F177" s="15"/>
    </row>
    <row r="178" spans="4:6" ht="19.5" customHeight="1" x14ac:dyDescent="0.25">
      <c r="D178" s="15"/>
      <c r="F178" s="15"/>
    </row>
    <row r="179" spans="4:6" ht="19.5" customHeight="1" x14ac:dyDescent="0.25">
      <c r="D179" s="15"/>
      <c r="F179" s="15"/>
    </row>
    <row r="180" spans="4:6" ht="19.5" customHeight="1" x14ac:dyDescent="0.25">
      <c r="D180" s="15"/>
      <c r="F180" s="15"/>
    </row>
    <row r="181" spans="4:6" ht="19.5" customHeight="1" x14ac:dyDescent="0.25">
      <c r="D181" s="15"/>
      <c r="F181" s="15"/>
    </row>
    <row r="182" spans="4:6" ht="19.5" customHeight="1" x14ac:dyDescent="0.25">
      <c r="D182" s="15"/>
      <c r="F182" s="15"/>
    </row>
    <row r="183" spans="4:6" ht="19.5" customHeight="1" x14ac:dyDescent="0.25">
      <c r="D183" s="15"/>
      <c r="F183" s="15"/>
    </row>
    <row r="184" spans="4:6" ht="19.5" customHeight="1" x14ac:dyDescent="0.25">
      <c r="D184" s="15"/>
      <c r="F184" s="15"/>
    </row>
    <row r="185" spans="4:6" ht="19.5" customHeight="1" x14ac:dyDescent="0.25">
      <c r="D185" s="15"/>
      <c r="F185" s="15"/>
    </row>
    <row r="186" spans="4:6" ht="19.5" customHeight="1" x14ac:dyDescent="0.25">
      <c r="D186" s="15"/>
      <c r="F186" s="15"/>
    </row>
    <row r="187" spans="4:6" ht="19.5" customHeight="1" x14ac:dyDescent="0.25">
      <c r="D187" s="15"/>
      <c r="F187" s="15"/>
    </row>
  </sheetData>
  <mergeCells count="7">
    <mergeCell ref="C26:D26"/>
    <mergeCell ref="A7:D7"/>
    <mergeCell ref="B10:C10"/>
    <mergeCell ref="B12:C12"/>
    <mergeCell ref="B16:C16"/>
    <mergeCell ref="C18:D18"/>
    <mergeCell ref="C19:D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E27" sqref="E27"/>
    </sheetView>
  </sheetViews>
  <sheetFormatPr defaultRowHeight="14.4" x14ac:dyDescent="0.3"/>
  <cols>
    <col min="1" max="1" width="39.88671875" style="4" customWidth="1"/>
    <col min="2" max="2" width="11.109375" style="5" customWidth="1"/>
    <col min="3" max="3" width="16.44140625" style="6" customWidth="1"/>
    <col min="4" max="4" width="16.21875" style="6" customWidth="1"/>
    <col min="5" max="5" width="15.33203125" style="6" customWidth="1"/>
    <col min="6" max="6" width="15.21875" style="6" customWidth="1"/>
    <col min="7" max="7" width="16.5546875" style="4" bestFit="1" customWidth="1"/>
    <col min="8" max="8" width="15.44140625" style="4" customWidth="1"/>
    <col min="9" max="9" width="6.88671875" style="5" customWidth="1"/>
    <col min="10" max="10" width="16.77734375" style="6" customWidth="1"/>
    <col min="11" max="11" width="14.109375" style="4" customWidth="1"/>
    <col min="12" max="12" width="20.44140625" style="4" customWidth="1"/>
    <col min="13" max="13" width="15.6640625" style="6" customWidth="1"/>
    <col min="14" max="14" width="16.88671875" style="4" customWidth="1"/>
    <col min="15" max="15" width="14.21875" style="77" bestFit="1" customWidth="1"/>
    <col min="16" max="257" width="8.88671875" style="4"/>
    <col min="258" max="258" width="28.88671875" style="4" customWidth="1"/>
    <col min="259" max="259" width="11" style="4" customWidth="1"/>
    <col min="260" max="260" width="18.77734375" style="4" customWidth="1"/>
    <col min="261" max="261" width="20.88671875" style="4" customWidth="1"/>
    <col min="262" max="262" width="0" style="4" hidden="1" customWidth="1"/>
    <col min="263" max="263" width="17" style="4" customWidth="1"/>
    <col min="264" max="264" width="15.77734375" style="4" customWidth="1"/>
    <col min="265" max="265" width="6.88671875" style="4" customWidth="1"/>
    <col min="266" max="267" width="15.21875" style="4" customWidth="1"/>
    <col min="268" max="268" width="18.33203125" style="4" customWidth="1"/>
    <col min="269" max="269" width="0" style="4" hidden="1" customWidth="1"/>
    <col min="270" max="513" width="8.88671875" style="4"/>
    <col min="514" max="514" width="28.88671875" style="4" customWidth="1"/>
    <col min="515" max="515" width="11" style="4" customWidth="1"/>
    <col min="516" max="516" width="18.77734375" style="4" customWidth="1"/>
    <col min="517" max="517" width="20.88671875" style="4" customWidth="1"/>
    <col min="518" max="518" width="0" style="4" hidden="1" customWidth="1"/>
    <col min="519" max="519" width="17" style="4" customWidth="1"/>
    <col min="520" max="520" width="15.77734375" style="4" customWidth="1"/>
    <col min="521" max="521" width="6.88671875" style="4" customWidth="1"/>
    <col min="522" max="523" width="15.21875" style="4" customWidth="1"/>
    <col min="524" max="524" width="18.33203125" style="4" customWidth="1"/>
    <col min="525" max="525" width="0" style="4" hidden="1" customWidth="1"/>
    <col min="526" max="769" width="8.88671875" style="4"/>
    <col min="770" max="770" width="28.88671875" style="4" customWidth="1"/>
    <col min="771" max="771" width="11" style="4" customWidth="1"/>
    <col min="772" max="772" width="18.77734375" style="4" customWidth="1"/>
    <col min="773" max="773" width="20.88671875" style="4" customWidth="1"/>
    <col min="774" max="774" width="0" style="4" hidden="1" customWidth="1"/>
    <col min="775" max="775" width="17" style="4" customWidth="1"/>
    <col min="776" max="776" width="15.77734375" style="4" customWidth="1"/>
    <col min="777" max="777" width="6.88671875" style="4" customWidth="1"/>
    <col min="778" max="779" width="15.21875" style="4" customWidth="1"/>
    <col min="780" max="780" width="18.33203125" style="4" customWidth="1"/>
    <col min="781" max="781" width="0" style="4" hidden="1" customWidth="1"/>
    <col min="782" max="1025" width="8.88671875" style="4"/>
    <col min="1026" max="1026" width="28.88671875" style="4" customWidth="1"/>
    <col min="1027" max="1027" width="11" style="4" customWidth="1"/>
    <col min="1028" max="1028" width="18.77734375" style="4" customWidth="1"/>
    <col min="1029" max="1029" width="20.88671875" style="4" customWidth="1"/>
    <col min="1030" max="1030" width="0" style="4" hidden="1" customWidth="1"/>
    <col min="1031" max="1031" width="17" style="4" customWidth="1"/>
    <col min="1032" max="1032" width="15.77734375" style="4" customWidth="1"/>
    <col min="1033" max="1033" width="6.88671875" style="4" customWidth="1"/>
    <col min="1034" max="1035" width="15.21875" style="4" customWidth="1"/>
    <col min="1036" max="1036" width="18.33203125" style="4" customWidth="1"/>
    <col min="1037" max="1037" width="0" style="4" hidden="1" customWidth="1"/>
    <col min="1038" max="1281" width="8.88671875" style="4"/>
    <col min="1282" max="1282" width="28.88671875" style="4" customWidth="1"/>
    <col min="1283" max="1283" width="11" style="4" customWidth="1"/>
    <col min="1284" max="1284" width="18.77734375" style="4" customWidth="1"/>
    <col min="1285" max="1285" width="20.88671875" style="4" customWidth="1"/>
    <col min="1286" max="1286" width="0" style="4" hidden="1" customWidth="1"/>
    <col min="1287" max="1287" width="17" style="4" customWidth="1"/>
    <col min="1288" max="1288" width="15.77734375" style="4" customWidth="1"/>
    <col min="1289" max="1289" width="6.88671875" style="4" customWidth="1"/>
    <col min="1290" max="1291" width="15.21875" style="4" customWidth="1"/>
    <col min="1292" max="1292" width="18.33203125" style="4" customWidth="1"/>
    <col min="1293" max="1293" width="0" style="4" hidden="1" customWidth="1"/>
    <col min="1294" max="1537" width="8.88671875" style="4"/>
    <col min="1538" max="1538" width="28.88671875" style="4" customWidth="1"/>
    <col min="1539" max="1539" width="11" style="4" customWidth="1"/>
    <col min="1540" max="1540" width="18.77734375" style="4" customWidth="1"/>
    <col min="1541" max="1541" width="20.88671875" style="4" customWidth="1"/>
    <col min="1542" max="1542" width="0" style="4" hidden="1" customWidth="1"/>
    <col min="1543" max="1543" width="17" style="4" customWidth="1"/>
    <col min="1544" max="1544" width="15.77734375" style="4" customWidth="1"/>
    <col min="1545" max="1545" width="6.88671875" style="4" customWidth="1"/>
    <col min="1546" max="1547" width="15.21875" style="4" customWidth="1"/>
    <col min="1548" max="1548" width="18.33203125" style="4" customWidth="1"/>
    <col min="1549" max="1549" width="0" style="4" hidden="1" customWidth="1"/>
    <col min="1550" max="1793" width="8.88671875" style="4"/>
    <col min="1794" max="1794" width="28.88671875" style="4" customWidth="1"/>
    <col min="1795" max="1795" width="11" style="4" customWidth="1"/>
    <col min="1796" max="1796" width="18.77734375" style="4" customWidth="1"/>
    <col min="1797" max="1797" width="20.88671875" style="4" customWidth="1"/>
    <col min="1798" max="1798" width="0" style="4" hidden="1" customWidth="1"/>
    <col min="1799" max="1799" width="17" style="4" customWidth="1"/>
    <col min="1800" max="1800" width="15.77734375" style="4" customWidth="1"/>
    <col min="1801" max="1801" width="6.88671875" style="4" customWidth="1"/>
    <col min="1802" max="1803" width="15.21875" style="4" customWidth="1"/>
    <col min="1804" max="1804" width="18.33203125" style="4" customWidth="1"/>
    <col min="1805" max="1805" width="0" style="4" hidden="1" customWidth="1"/>
    <col min="1806" max="2049" width="8.88671875" style="4"/>
    <col min="2050" max="2050" width="28.88671875" style="4" customWidth="1"/>
    <col min="2051" max="2051" width="11" style="4" customWidth="1"/>
    <col min="2052" max="2052" width="18.77734375" style="4" customWidth="1"/>
    <col min="2053" max="2053" width="20.88671875" style="4" customWidth="1"/>
    <col min="2054" max="2054" width="0" style="4" hidden="1" customWidth="1"/>
    <col min="2055" max="2055" width="17" style="4" customWidth="1"/>
    <col min="2056" max="2056" width="15.77734375" style="4" customWidth="1"/>
    <col min="2057" max="2057" width="6.88671875" style="4" customWidth="1"/>
    <col min="2058" max="2059" width="15.21875" style="4" customWidth="1"/>
    <col min="2060" max="2060" width="18.33203125" style="4" customWidth="1"/>
    <col min="2061" max="2061" width="0" style="4" hidden="1" customWidth="1"/>
    <col min="2062" max="2305" width="8.88671875" style="4"/>
    <col min="2306" max="2306" width="28.88671875" style="4" customWidth="1"/>
    <col min="2307" max="2307" width="11" style="4" customWidth="1"/>
    <col min="2308" max="2308" width="18.77734375" style="4" customWidth="1"/>
    <col min="2309" max="2309" width="20.88671875" style="4" customWidth="1"/>
    <col min="2310" max="2310" width="0" style="4" hidden="1" customWidth="1"/>
    <col min="2311" max="2311" width="17" style="4" customWidth="1"/>
    <col min="2312" max="2312" width="15.77734375" style="4" customWidth="1"/>
    <col min="2313" max="2313" width="6.88671875" style="4" customWidth="1"/>
    <col min="2314" max="2315" width="15.21875" style="4" customWidth="1"/>
    <col min="2316" max="2316" width="18.33203125" style="4" customWidth="1"/>
    <col min="2317" max="2317" width="0" style="4" hidden="1" customWidth="1"/>
    <col min="2318" max="2561" width="8.88671875" style="4"/>
    <col min="2562" max="2562" width="28.88671875" style="4" customWidth="1"/>
    <col min="2563" max="2563" width="11" style="4" customWidth="1"/>
    <col min="2564" max="2564" width="18.77734375" style="4" customWidth="1"/>
    <col min="2565" max="2565" width="20.88671875" style="4" customWidth="1"/>
    <col min="2566" max="2566" width="0" style="4" hidden="1" customWidth="1"/>
    <col min="2567" max="2567" width="17" style="4" customWidth="1"/>
    <col min="2568" max="2568" width="15.77734375" style="4" customWidth="1"/>
    <col min="2569" max="2569" width="6.88671875" style="4" customWidth="1"/>
    <col min="2570" max="2571" width="15.21875" style="4" customWidth="1"/>
    <col min="2572" max="2572" width="18.33203125" style="4" customWidth="1"/>
    <col min="2573" max="2573" width="0" style="4" hidden="1" customWidth="1"/>
    <col min="2574" max="2817" width="8.88671875" style="4"/>
    <col min="2818" max="2818" width="28.88671875" style="4" customWidth="1"/>
    <col min="2819" max="2819" width="11" style="4" customWidth="1"/>
    <col min="2820" max="2820" width="18.77734375" style="4" customWidth="1"/>
    <col min="2821" max="2821" width="20.88671875" style="4" customWidth="1"/>
    <col min="2822" max="2822" width="0" style="4" hidden="1" customWidth="1"/>
    <col min="2823" max="2823" width="17" style="4" customWidth="1"/>
    <col min="2824" max="2824" width="15.77734375" style="4" customWidth="1"/>
    <col min="2825" max="2825" width="6.88671875" style="4" customWidth="1"/>
    <col min="2826" max="2827" width="15.21875" style="4" customWidth="1"/>
    <col min="2828" max="2828" width="18.33203125" style="4" customWidth="1"/>
    <col min="2829" max="2829" width="0" style="4" hidden="1" customWidth="1"/>
    <col min="2830" max="3073" width="8.88671875" style="4"/>
    <col min="3074" max="3074" width="28.88671875" style="4" customWidth="1"/>
    <col min="3075" max="3075" width="11" style="4" customWidth="1"/>
    <col min="3076" max="3076" width="18.77734375" style="4" customWidth="1"/>
    <col min="3077" max="3077" width="20.88671875" style="4" customWidth="1"/>
    <col min="3078" max="3078" width="0" style="4" hidden="1" customWidth="1"/>
    <col min="3079" max="3079" width="17" style="4" customWidth="1"/>
    <col min="3080" max="3080" width="15.77734375" style="4" customWidth="1"/>
    <col min="3081" max="3081" width="6.88671875" style="4" customWidth="1"/>
    <col min="3082" max="3083" width="15.21875" style="4" customWidth="1"/>
    <col min="3084" max="3084" width="18.33203125" style="4" customWidth="1"/>
    <col min="3085" max="3085" width="0" style="4" hidden="1" customWidth="1"/>
    <col min="3086" max="3329" width="8.88671875" style="4"/>
    <col min="3330" max="3330" width="28.88671875" style="4" customWidth="1"/>
    <col min="3331" max="3331" width="11" style="4" customWidth="1"/>
    <col min="3332" max="3332" width="18.77734375" style="4" customWidth="1"/>
    <col min="3333" max="3333" width="20.88671875" style="4" customWidth="1"/>
    <col min="3334" max="3334" width="0" style="4" hidden="1" customWidth="1"/>
    <col min="3335" max="3335" width="17" style="4" customWidth="1"/>
    <col min="3336" max="3336" width="15.77734375" style="4" customWidth="1"/>
    <col min="3337" max="3337" width="6.88671875" style="4" customWidth="1"/>
    <col min="3338" max="3339" width="15.21875" style="4" customWidth="1"/>
    <col min="3340" max="3340" width="18.33203125" style="4" customWidth="1"/>
    <col min="3341" max="3341" width="0" style="4" hidden="1" customWidth="1"/>
    <col min="3342" max="3585" width="8.88671875" style="4"/>
    <col min="3586" max="3586" width="28.88671875" style="4" customWidth="1"/>
    <col min="3587" max="3587" width="11" style="4" customWidth="1"/>
    <col min="3588" max="3588" width="18.77734375" style="4" customWidth="1"/>
    <col min="3589" max="3589" width="20.88671875" style="4" customWidth="1"/>
    <col min="3590" max="3590" width="0" style="4" hidden="1" customWidth="1"/>
    <col min="3591" max="3591" width="17" style="4" customWidth="1"/>
    <col min="3592" max="3592" width="15.77734375" style="4" customWidth="1"/>
    <col min="3593" max="3593" width="6.88671875" style="4" customWidth="1"/>
    <col min="3594" max="3595" width="15.21875" style="4" customWidth="1"/>
    <col min="3596" max="3596" width="18.33203125" style="4" customWidth="1"/>
    <col min="3597" max="3597" width="0" style="4" hidden="1" customWidth="1"/>
    <col min="3598" max="3841" width="8.88671875" style="4"/>
    <col min="3842" max="3842" width="28.88671875" style="4" customWidth="1"/>
    <col min="3843" max="3843" width="11" style="4" customWidth="1"/>
    <col min="3844" max="3844" width="18.77734375" style="4" customWidth="1"/>
    <col min="3845" max="3845" width="20.88671875" style="4" customWidth="1"/>
    <col min="3846" max="3846" width="0" style="4" hidden="1" customWidth="1"/>
    <col min="3847" max="3847" width="17" style="4" customWidth="1"/>
    <col min="3848" max="3848" width="15.77734375" style="4" customWidth="1"/>
    <col min="3849" max="3849" width="6.88671875" style="4" customWidth="1"/>
    <col min="3850" max="3851" width="15.21875" style="4" customWidth="1"/>
    <col min="3852" max="3852" width="18.33203125" style="4" customWidth="1"/>
    <col min="3853" max="3853" width="0" style="4" hidden="1" customWidth="1"/>
    <col min="3854" max="4097" width="8.88671875" style="4"/>
    <col min="4098" max="4098" width="28.88671875" style="4" customWidth="1"/>
    <col min="4099" max="4099" width="11" style="4" customWidth="1"/>
    <col min="4100" max="4100" width="18.77734375" style="4" customWidth="1"/>
    <col min="4101" max="4101" width="20.88671875" style="4" customWidth="1"/>
    <col min="4102" max="4102" width="0" style="4" hidden="1" customWidth="1"/>
    <col min="4103" max="4103" width="17" style="4" customWidth="1"/>
    <col min="4104" max="4104" width="15.77734375" style="4" customWidth="1"/>
    <col min="4105" max="4105" width="6.88671875" style="4" customWidth="1"/>
    <col min="4106" max="4107" width="15.21875" style="4" customWidth="1"/>
    <col min="4108" max="4108" width="18.33203125" style="4" customWidth="1"/>
    <col min="4109" max="4109" width="0" style="4" hidden="1" customWidth="1"/>
    <col min="4110" max="4353" width="8.88671875" style="4"/>
    <col min="4354" max="4354" width="28.88671875" style="4" customWidth="1"/>
    <col min="4355" max="4355" width="11" style="4" customWidth="1"/>
    <col min="4356" max="4356" width="18.77734375" style="4" customWidth="1"/>
    <col min="4357" max="4357" width="20.88671875" style="4" customWidth="1"/>
    <col min="4358" max="4358" width="0" style="4" hidden="1" customWidth="1"/>
    <col min="4359" max="4359" width="17" style="4" customWidth="1"/>
    <col min="4360" max="4360" width="15.77734375" style="4" customWidth="1"/>
    <col min="4361" max="4361" width="6.88671875" style="4" customWidth="1"/>
    <col min="4362" max="4363" width="15.21875" style="4" customWidth="1"/>
    <col min="4364" max="4364" width="18.33203125" style="4" customWidth="1"/>
    <col min="4365" max="4365" width="0" style="4" hidden="1" customWidth="1"/>
    <col min="4366" max="4609" width="8.88671875" style="4"/>
    <col min="4610" max="4610" width="28.88671875" style="4" customWidth="1"/>
    <col min="4611" max="4611" width="11" style="4" customWidth="1"/>
    <col min="4612" max="4612" width="18.77734375" style="4" customWidth="1"/>
    <col min="4613" max="4613" width="20.88671875" style="4" customWidth="1"/>
    <col min="4614" max="4614" width="0" style="4" hidden="1" customWidth="1"/>
    <col min="4615" max="4615" width="17" style="4" customWidth="1"/>
    <col min="4616" max="4616" width="15.77734375" style="4" customWidth="1"/>
    <col min="4617" max="4617" width="6.88671875" style="4" customWidth="1"/>
    <col min="4618" max="4619" width="15.21875" style="4" customWidth="1"/>
    <col min="4620" max="4620" width="18.33203125" style="4" customWidth="1"/>
    <col min="4621" max="4621" width="0" style="4" hidden="1" customWidth="1"/>
    <col min="4622" max="4865" width="8.88671875" style="4"/>
    <col min="4866" max="4866" width="28.88671875" style="4" customWidth="1"/>
    <col min="4867" max="4867" width="11" style="4" customWidth="1"/>
    <col min="4868" max="4868" width="18.77734375" style="4" customWidth="1"/>
    <col min="4869" max="4869" width="20.88671875" style="4" customWidth="1"/>
    <col min="4870" max="4870" width="0" style="4" hidden="1" customWidth="1"/>
    <col min="4871" max="4871" width="17" style="4" customWidth="1"/>
    <col min="4872" max="4872" width="15.77734375" style="4" customWidth="1"/>
    <col min="4873" max="4873" width="6.88671875" style="4" customWidth="1"/>
    <col min="4874" max="4875" width="15.21875" style="4" customWidth="1"/>
    <col min="4876" max="4876" width="18.33203125" style="4" customWidth="1"/>
    <col min="4877" max="4877" width="0" style="4" hidden="1" customWidth="1"/>
    <col min="4878" max="5121" width="8.88671875" style="4"/>
    <col min="5122" max="5122" width="28.88671875" style="4" customWidth="1"/>
    <col min="5123" max="5123" width="11" style="4" customWidth="1"/>
    <col min="5124" max="5124" width="18.77734375" style="4" customWidth="1"/>
    <col min="5125" max="5125" width="20.88671875" style="4" customWidth="1"/>
    <col min="5126" max="5126" width="0" style="4" hidden="1" customWidth="1"/>
    <col min="5127" max="5127" width="17" style="4" customWidth="1"/>
    <col min="5128" max="5128" width="15.77734375" style="4" customWidth="1"/>
    <col min="5129" max="5129" width="6.88671875" style="4" customWidth="1"/>
    <col min="5130" max="5131" width="15.21875" style="4" customWidth="1"/>
    <col min="5132" max="5132" width="18.33203125" style="4" customWidth="1"/>
    <col min="5133" max="5133" width="0" style="4" hidden="1" customWidth="1"/>
    <col min="5134" max="5377" width="8.88671875" style="4"/>
    <col min="5378" max="5378" width="28.88671875" style="4" customWidth="1"/>
    <col min="5379" max="5379" width="11" style="4" customWidth="1"/>
    <col min="5380" max="5380" width="18.77734375" style="4" customWidth="1"/>
    <col min="5381" max="5381" width="20.88671875" style="4" customWidth="1"/>
    <col min="5382" max="5382" width="0" style="4" hidden="1" customWidth="1"/>
    <col min="5383" max="5383" width="17" style="4" customWidth="1"/>
    <col min="5384" max="5384" width="15.77734375" style="4" customWidth="1"/>
    <col min="5385" max="5385" width="6.88671875" style="4" customWidth="1"/>
    <col min="5386" max="5387" width="15.21875" style="4" customWidth="1"/>
    <col min="5388" max="5388" width="18.33203125" style="4" customWidth="1"/>
    <col min="5389" max="5389" width="0" style="4" hidden="1" customWidth="1"/>
    <col min="5390" max="5633" width="8.88671875" style="4"/>
    <col min="5634" max="5634" width="28.88671875" style="4" customWidth="1"/>
    <col min="5635" max="5635" width="11" style="4" customWidth="1"/>
    <col min="5636" max="5636" width="18.77734375" style="4" customWidth="1"/>
    <col min="5637" max="5637" width="20.88671875" style="4" customWidth="1"/>
    <col min="5638" max="5638" width="0" style="4" hidden="1" customWidth="1"/>
    <col min="5639" max="5639" width="17" style="4" customWidth="1"/>
    <col min="5640" max="5640" width="15.77734375" style="4" customWidth="1"/>
    <col min="5641" max="5641" width="6.88671875" style="4" customWidth="1"/>
    <col min="5642" max="5643" width="15.21875" style="4" customWidth="1"/>
    <col min="5644" max="5644" width="18.33203125" style="4" customWidth="1"/>
    <col min="5645" max="5645" width="0" style="4" hidden="1" customWidth="1"/>
    <col min="5646" max="5889" width="8.88671875" style="4"/>
    <col min="5890" max="5890" width="28.88671875" style="4" customWidth="1"/>
    <col min="5891" max="5891" width="11" style="4" customWidth="1"/>
    <col min="5892" max="5892" width="18.77734375" style="4" customWidth="1"/>
    <col min="5893" max="5893" width="20.88671875" style="4" customWidth="1"/>
    <col min="5894" max="5894" width="0" style="4" hidden="1" customWidth="1"/>
    <col min="5895" max="5895" width="17" style="4" customWidth="1"/>
    <col min="5896" max="5896" width="15.77734375" style="4" customWidth="1"/>
    <col min="5897" max="5897" width="6.88671875" style="4" customWidth="1"/>
    <col min="5898" max="5899" width="15.21875" style="4" customWidth="1"/>
    <col min="5900" max="5900" width="18.33203125" style="4" customWidth="1"/>
    <col min="5901" max="5901" width="0" style="4" hidden="1" customWidth="1"/>
    <col min="5902" max="6145" width="8.88671875" style="4"/>
    <col min="6146" max="6146" width="28.88671875" style="4" customWidth="1"/>
    <col min="6147" max="6147" width="11" style="4" customWidth="1"/>
    <col min="6148" max="6148" width="18.77734375" style="4" customWidth="1"/>
    <col min="6149" max="6149" width="20.88671875" style="4" customWidth="1"/>
    <col min="6150" max="6150" width="0" style="4" hidden="1" customWidth="1"/>
    <col min="6151" max="6151" width="17" style="4" customWidth="1"/>
    <col min="6152" max="6152" width="15.77734375" style="4" customWidth="1"/>
    <col min="6153" max="6153" width="6.88671875" style="4" customWidth="1"/>
    <col min="6154" max="6155" width="15.21875" style="4" customWidth="1"/>
    <col min="6156" max="6156" width="18.33203125" style="4" customWidth="1"/>
    <col min="6157" max="6157" width="0" style="4" hidden="1" customWidth="1"/>
    <col min="6158" max="6401" width="8.88671875" style="4"/>
    <col min="6402" max="6402" width="28.88671875" style="4" customWidth="1"/>
    <col min="6403" max="6403" width="11" style="4" customWidth="1"/>
    <col min="6404" max="6404" width="18.77734375" style="4" customWidth="1"/>
    <col min="6405" max="6405" width="20.88671875" style="4" customWidth="1"/>
    <col min="6406" max="6406" width="0" style="4" hidden="1" customWidth="1"/>
    <col min="6407" max="6407" width="17" style="4" customWidth="1"/>
    <col min="6408" max="6408" width="15.77734375" style="4" customWidth="1"/>
    <col min="6409" max="6409" width="6.88671875" style="4" customWidth="1"/>
    <col min="6410" max="6411" width="15.21875" style="4" customWidth="1"/>
    <col min="6412" max="6412" width="18.33203125" style="4" customWidth="1"/>
    <col min="6413" max="6413" width="0" style="4" hidden="1" customWidth="1"/>
    <col min="6414" max="6657" width="8.88671875" style="4"/>
    <col min="6658" max="6658" width="28.88671875" style="4" customWidth="1"/>
    <col min="6659" max="6659" width="11" style="4" customWidth="1"/>
    <col min="6660" max="6660" width="18.77734375" style="4" customWidth="1"/>
    <col min="6661" max="6661" width="20.88671875" style="4" customWidth="1"/>
    <col min="6662" max="6662" width="0" style="4" hidden="1" customWidth="1"/>
    <col min="6663" max="6663" width="17" style="4" customWidth="1"/>
    <col min="6664" max="6664" width="15.77734375" style="4" customWidth="1"/>
    <col min="6665" max="6665" width="6.88671875" style="4" customWidth="1"/>
    <col min="6666" max="6667" width="15.21875" style="4" customWidth="1"/>
    <col min="6668" max="6668" width="18.33203125" style="4" customWidth="1"/>
    <col min="6669" max="6669" width="0" style="4" hidden="1" customWidth="1"/>
    <col min="6670" max="6913" width="8.88671875" style="4"/>
    <col min="6914" max="6914" width="28.88671875" style="4" customWidth="1"/>
    <col min="6915" max="6915" width="11" style="4" customWidth="1"/>
    <col min="6916" max="6916" width="18.77734375" style="4" customWidth="1"/>
    <col min="6917" max="6917" width="20.88671875" style="4" customWidth="1"/>
    <col min="6918" max="6918" width="0" style="4" hidden="1" customWidth="1"/>
    <col min="6919" max="6919" width="17" style="4" customWidth="1"/>
    <col min="6920" max="6920" width="15.77734375" style="4" customWidth="1"/>
    <col min="6921" max="6921" width="6.88671875" style="4" customWidth="1"/>
    <col min="6922" max="6923" width="15.21875" style="4" customWidth="1"/>
    <col min="6924" max="6924" width="18.33203125" style="4" customWidth="1"/>
    <col min="6925" max="6925" width="0" style="4" hidden="1" customWidth="1"/>
    <col min="6926" max="7169" width="8.88671875" style="4"/>
    <col min="7170" max="7170" width="28.88671875" style="4" customWidth="1"/>
    <col min="7171" max="7171" width="11" style="4" customWidth="1"/>
    <col min="7172" max="7172" width="18.77734375" style="4" customWidth="1"/>
    <col min="7173" max="7173" width="20.88671875" style="4" customWidth="1"/>
    <col min="7174" max="7174" width="0" style="4" hidden="1" customWidth="1"/>
    <col min="7175" max="7175" width="17" style="4" customWidth="1"/>
    <col min="7176" max="7176" width="15.77734375" style="4" customWidth="1"/>
    <col min="7177" max="7177" width="6.88671875" style="4" customWidth="1"/>
    <col min="7178" max="7179" width="15.21875" style="4" customWidth="1"/>
    <col min="7180" max="7180" width="18.33203125" style="4" customWidth="1"/>
    <col min="7181" max="7181" width="0" style="4" hidden="1" customWidth="1"/>
    <col min="7182" max="7425" width="8.88671875" style="4"/>
    <col min="7426" max="7426" width="28.88671875" style="4" customWidth="1"/>
    <col min="7427" max="7427" width="11" style="4" customWidth="1"/>
    <col min="7428" max="7428" width="18.77734375" style="4" customWidth="1"/>
    <col min="7429" max="7429" width="20.88671875" style="4" customWidth="1"/>
    <col min="7430" max="7430" width="0" style="4" hidden="1" customWidth="1"/>
    <col min="7431" max="7431" width="17" style="4" customWidth="1"/>
    <col min="7432" max="7432" width="15.77734375" style="4" customWidth="1"/>
    <col min="7433" max="7433" width="6.88671875" style="4" customWidth="1"/>
    <col min="7434" max="7435" width="15.21875" style="4" customWidth="1"/>
    <col min="7436" max="7436" width="18.33203125" style="4" customWidth="1"/>
    <col min="7437" max="7437" width="0" style="4" hidden="1" customWidth="1"/>
    <col min="7438" max="7681" width="8.88671875" style="4"/>
    <col min="7682" max="7682" width="28.88671875" style="4" customWidth="1"/>
    <col min="7683" max="7683" width="11" style="4" customWidth="1"/>
    <col min="7684" max="7684" width="18.77734375" style="4" customWidth="1"/>
    <col min="7685" max="7685" width="20.88671875" style="4" customWidth="1"/>
    <col min="7686" max="7686" width="0" style="4" hidden="1" customWidth="1"/>
    <col min="7687" max="7687" width="17" style="4" customWidth="1"/>
    <col min="7688" max="7688" width="15.77734375" style="4" customWidth="1"/>
    <col min="7689" max="7689" width="6.88671875" style="4" customWidth="1"/>
    <col min="7690" max="7691" width="15.21875" style="4" customWidth="1"/>
    <col min="7692" max="7692" width="18.33203125" style="4" customWidth="1"/>
    <col min="7693" max="7693" width="0" style="4" hidden="1" customWidth="1"/>
    <col min="7694" max="7937" width="8.88671875" style="4"/>
    <col min="7938" max="7938" width="28.88671875" style="4" customWidth="1"/>
    <col min="7939" max="7939" width="11" style="4" customWidth="1"/>
    <col min="7940" max="7940" width="18.77734375" style="4" customWidth="1"/>
    <col min="7941" max="7941" width="20.88671875" style="4" customWidth="1"/>
    <col min="7942" max="7942" width="0" style="4" hidden="1" customWidth="1"/>
    <col min="7943" max="7943" width="17" style="4" customWidth="1"/>
    <col min="7944" max="7944" width="15.77734375" style="4" customWidth="1"/>
    <col min="7945" max="7945" width="6.88671875" style="4" customWidth="1"/>
    <col min="7946" max="7947" width="15.21875" style="4" customWidth="1"/>
    <col min="7948" max="7948" width="18.33203125" style="4" customWidth="1"/>
    <col min="7949" max="7949" width="0" style="4" hidden="1" customWidth="1"/>
    <col min="7950" max="8193" width="8.88671875" style="4"/>
    <col min="8194" max="8194" width="28.88671875" style="4" customWidth="1"/>
    <col min="8195" max="8195" width="11" style="4" customWidth="1"/>
    <col min="8196" max="8196" width="18.77734375" style="4" customWidth="1"/>
    <col min="8197" max="8197" width="20.88671875" style="4" customWidth="1"/>
    <col min="8198" max="8198" width="0" style="4" hidden="1" customWidth="1"/>
    <col min="8199" max="8199" width="17" style="4" customWidth="1"/>
    <col min="8200" max="8200" width="15.77734375" style="4" customWidth="1"/>
    <col min="8201" max="8201" width="6.88671875" style="4" customWidth="1"/>
    <col min="8202" max="8203" width="15.21875" style="4" customWidth="1"/>
    <col min="8204" max="8204" width="18.33203125" style="4" customWidth="1"/>
    <col min="8205" max="8205" width="0" style="4" hidden="1" customWidth="1"/>
    <col min="8206" max="8449" width="8.88671875" style="4"/>
    <col min="8450" max="8450" width="28.88671875" style="4" customWidth="1"/>
    <col min="8451" max="8451" width="11" style="4" customWidth="1"/>
    <col min="8452" max="8452" width="18.77734375" style="4" customWidth="1"/>
    <col min="8453" max="8453" width="20.88671875" style="4" customWidth="1"/>
    <col min="8454" max="8454" width="0" style="4" hidden="1" customWidth="1"/>
    <col min="8455" max="8455" width="17" style="4" customWidth="1"/>
    <col min="8456" max="8456" width="15.77734375" style="4" customWidth="1"/>
    <col min="8457" max="8457" width="6.88671875" style="4" customWidth="1"/>
    <col min="8458" max="8459" width="15.21875" style="4" customWidth="1"/>
    <col min="8460" max="8460" width="18.33203125" style="4" customWidth="1"/>
    <col min="8461" max="8461" width="0" style="4" hidden="1" customWidth="1"/>
    <col min="8462" max="8705" width="8.88671875" style="4"/>
    <col min="8706" max="8706" width="28.88671875" style="4" customWidth="1"/>
    <col min="8707" max="8707" width="11" style="4" customWidth="1"/>
    <col min="8708" max="8708" width="18.77734375" style="4" customWidth="1"/>
    <col min="8709" max="8709" width="20.88671875" style="4" customWidth="1"/>
    <col min="8710" max="8710" width="0" style="4" hidden="1" customWidth="1"/>
    <col min="8711" max="8711" width="17" style="4" customWidth="1"/>
    <col min="8712" max="8712" width="15.77734375" style="4" customWidth="1"/>
    <col min="8713" max="8713" width="6.88671875" style="4" customWidth="1"/>
    <col min="8714" max="8715" width="15.21875" style="4" customWidth="1"/>
    <col min="8716" max="8716" width="18.33203125" style="4" customWidth="1"/>
    <col min="8717" max="8717" width="0" style="4" hidden="1" customWidth="1"/>
    <col min="8718" max="8961" width="8.88671875" style="4"/>
    <col min="8962" max="8962" width="28.88671875" style="4" customWidth="1"/>
    <col min="8963" max="8963" width="11" style="4" customWidth="1"/>
    <col min="8964" max="8964" width="18.77734375" style="4" customWidth="1"/>
    <col min="8965" max="8965" width="20.88671875" style="4" customWidth="1"/>
    <col min="8966" max="8966" width="0" style="4" hidden="1" customWidth="1"/>
    <col min="8967" max="8967" width="17" style="4" customWidth="1"/>
    <col min="8968" max="8968" width="15.77734375" style="4" customWidth="1"/>
    <col min="8969" max="8969" width="6.88671875" style="4" customWidth="1"/>
    <col min="8970" max="8971" width="15.21875" style="4" customWidth="1"/>
    <col min="8972" max="8972" width="18.33203125" style="4" customWidth="1"/>
    <col min="8973" max="8973" width="0" style="4" hidden="1" customWidth="1"/>
    <col min="8974" max="9217" width="8.88671875" style="4"/>
    <col min="9218" max="9218" width="28.88671875" style="4" customWidth="1"/>
    <col min="9219" max="9219" width="11" style="4" customWidth="1"/>
    <col min="9220" max="9220" width="18.77734375" style="4" customWidth="1"/>
    <col min="9221" max="9221" width="20.88671875" style="4" customWidth="1"/>
    <col min="9222" max="9222" width="0" style="4" hidden="1" customWidth="1"/>
    <col min="9223" max="9223" width="17" style="4" customWidth="1"/>
    <col min="9224" max="9224" width="15.77734375" style="4" customWidth="1"/>
    <col min="9225" max="9225" width="6.88671875" style="4" customWidth="1"/>
    <col min="9226" max="9227" width="15.21875" style="4" customWidth="1"/>
    <col min="9228" max="9228" width="18.33203125" style="4" customWidth="1"/>
    <col min="9229" max="9229" width="0" style="4" hidden="1" customWidth="1"/>
    <col min="9230" max="9473" width="8.88671875" style="4"/>
    <col min="9474" max="9474" width="28.88671875" style="4" customWidth="1"/>
    <col min="9475" max="9475" width="11" style="4" customWidth="1"/>
    <col min="9476" max="9476" width="18.77734375" style="4" customWidth="1"/>
    <col min="9477" max="9477" width="20.88671875" style="4" customWidth="1"/>
    <col min="9478" max="9478" width="0" style="4" hidden="1" customWidth="1"/>
    <col min="9479" max="9479" width="17" style="4" customWidth="1"/>
    <col min="9480" max="9480" width="15.77734375" style="4" customWidth="1"/>
    <col min="9481" max="9481" width="6.88671875" style="4" customWidth="1"/>
    <col min="9482" max="9483" width="15.21875" style="4" customWidth="1"/>
    <col min="9484" max="9484" width="18.33203125" style="4" customWidth="1"/>
    <col min="9485" max="9485" width="0" style="4" hidden="1" customWidth="1"/>
    <col min="9486" max="9729" width="8.88671875" style="4"/>
    <col min="9730" max="9730" width="28.88671875" style="4" customWidth="1"/>
    <col min="9731" max="9731" width="11" style="4" customWidth="1"/>
    <col min="9732" max="9732" width="18.77734375" style="4" customWidth="1"/>
    <col min="9733" max="9733" width="20.88671875" style="4" customWidth="1"/>
    <col min="9734" max="9734" width="0" style="4" hidden="1" customWidth="1"/>
    <col min="9735" max="9735" width="17" style="4" customWidth="1"/>
    <col min="9736" max="9736" width="15.77734375" style="4" customWidth="1"/>
    <col min="9737" max="9737" width="6.88671875" style="4" customWidth="1"/>
    <col min="9738" max="9739" width="15.21875" style="4" customWidth="1"/>
    <col min="9740" max="9740" width="18.33203125" style="4" customWidth="1"/>
    <col min="9741" max="9741" width="0" style="4" hidden="1" customWidth="1"/>
    <col min="9742" max="9985" width="8.88671875" style="4"/>
    <col min="9986" max="9986" width="28.88671875" style="4" customWidth="1"/>
    <col min="9987" max="9987" width="11" style="4" customWidth="1"/>
    <col min="9988" max="9988" width="18.77734375" style="4" customWidth="1"/>
    <col min="9989" max="9989" width="20.88671875" style="4" customWidth="1"/>
    <col min="9990" max="9990" width="0" style="4" hidden="1" customWidth="1"/>
    <col min="9991" max="9991" width="17" style="4" customWidth="1"/>
    <col min="9992" max="9992" width="15.77734375" style="4" customWidth="1"/>
    <col min="9993" max="9993" width="6.88671875" style="4" customWidth="1"/>
    <col min="9994" max="9995" width="15.21875" style="4" customWidth="1"/>
    <col min="9996" max="9996" width="18.33203125" style="4" customWidth="1"/>
    <col min="9997" max="9997" width="0" style="4" hidden="1" customWidth="1"/>
    <col min="9998" max="10241" width="8.88671875" style="4"/>
    <col min="10242" max="10242" width="28.88671875" style="4" customWidth="1"/>
    <col min="10243" max="10243" width="11" style="4" customWidth="1"/>
    <col min="10244" max="10244" width="18.77734375" style="4" customWidth="1"/>
    <col min="10245" max="10245" width="20.88671875" style="4" customWidth="1"/>
    <col min="10246" max="10246" width="0" style="4" hidden="1" customWidth="1"/>
    <col min="10247" max="10247" width="17" style="4" customWidth="1"/>
    <col min="10248" max="10248" width="15.77734375" style="4" customWidth="1"/>
    <col min="10249" max="10249" width="6.88671875" style="4" customWidth="1"/>
    <col min="10250" max="10251" width="15.21875" style="4" customWidth="1"/>
    <col min="10252" max="10252" width="18.33203125" style="4" customWidth="1"/>
    <col min="10253" max="10253" width="0" style="4" hidden="1" customWidth="1"/>
    <col min="10254" max="10497" width="8.88671875" style="4"/>
    <col min="10498" max="10498" width="28.88671875" style="4" customWidth="1"/>
    <col min="10499" max="10499" width="11" style="4" customWidth="1"/>
    <col min="10500" max="10500" width="18.77734375" style="4" customWidth="1"/>
    <col min="10501" max="10501" width="20.88671875" style="4" customWidth="1"/>
    <col min="10502" max="10502" width="0" style="4" hidden="1" customWidth="1"/>
    <col min="10503" max="10503" width="17" style="4" customWidth="1"/>
    <col min="10504" max="10504" width="15.77734375" style="4" customWidth="1"/>
    <col min="10505" max="10505" width="6.88671875" style="4" customWidth="1"/>
    <col min="10506" max="10507" width="15.21875" style="4" customWidth="1"/>
    <col min="10508" max="10508" width="18.33203125" style="4" customWidth="1"/>
    <col min="10509" max="10509" width="0" style="4" hidden="1" customWidth="1"/>
    <col min="10510" max="10753" width="8.88671875" style="4"/>
    <col min="10754" max="10754" width="28.88671875" style="4" customWidth="1"/>
    <col min="10755" max="10755" width="11" style="4" customWidth="1"/>
    <col min="10756" max="10756" width="18.77734375" style="4" customWidth="1"/>
    <col min="10757" max="10757" width="20.88671875" style="4" customWidth="1"/>
    <col min="10758" max="10758" width="0" style="4" hidden="1" customWidth="1"/>
    <col min="10759" max="10759" width="17" style="4" customWidth="1"/>
    <col min="10760" max="10760" width="15.77734375" style="4" customWidth="1"/>
    <col min="10761" max="10761" width="6.88671875" style="4" customWidth="1"/>
    <col min="10762" max="10763" width="15.21875" style="4" customWidth="1"/>
    <col min="10764" max="10764" width="18.33203125" style="4" customWidth="1"/>
    <col min="10765" max="10765" width="0" style="4" hidden="1" customWidth="1"/>
    <col min="10766" max="11009" width="8.88671875" style="4"/>
    <col min="11010" max="11010" width="28.88671875" style="4" customWidth="1"/>
    <col min="11011" max="11011" width="11" style="4" customWidth="1"/>
    <col min="11012" max="11012" width="18.77734375" style="4" customWidth="1"/>
    <col min="11013" max="11013" width="20.88671875" style="4" customWidth="1"/>
    <col min="11014" max="11014" width="0" style="4" hidden="1" customWidth="1"/>
    <col min="11015" max="11015" width="17" style="4" customWidth="1"/>
    <col min="11016" max="11016" width="15.77734375" style="4" customWidth="1"/>
    <col min="11017" max="11017" width="6.88671875" style="4" customWidth="1"/>
    <col min="11018" max="11019" width="15.21875" style="4" customWidth="1"/>
    <col min="11020" max="11020" width="18.33203125" style="4" customWidth="1"/>
    <col min="11021" max="11021" width="0" style="4" hidden="1" customWidth="1"/>
    <col min="11022" max="11265" width="8.88671875" style="4"/>
    <col min="11266" max="11266" width="28.88671875" style="4" customWidth="1"/>
    <col min="11267" max="11267" width="11" style="4" customWidth="1"/>
    <col min="11268" max="11268" width="18.77734375" style="4" customWidth="1"/>
    <col min="11269" max="11269" width="20.88671875" style="4" customWidth="1"/>
    <col min="11270" max="11270" width="0" style="4" hidden="1" customWidth="1"/>
    <col min="11271" max="11271" width="17" style="4" customWidth="1"/>
    <col min="11272" max="11272" width="15.77734375" style="4" customWidth="1"/>
    <col min="11273" max="11273" width="6.88671875" style="4" customWidth="1"/>
    <col min="11274" max="11275" width="15.21875" style="4" customWidth="1"/>
    <col min="11276" max="11276" width="18.33203125" style="4" customWidth="1"/>
    <col min="11277" max="11277" width="0" style="4" hidden="1" customWidth="1"/>
    <col min="11278" max="11521" width="8.88671875" style="4"/>
    <col min="11522" max="11522" width="28.88671875" style="4" customWidth="1"/>
    <col min="11523" max="11523" width="11" style="4" customWidth="1"/>
    <col min="11524" max="11524" width="18.77734375" style="4" customWidth="1"/>
    <col min="11525" max="11525" width="20.88671875" style="4" customWidth="1"/>
    <col min="11526" max="11526" width="0" style="4" hidden="1" customWidth="1"/>
    <col min="11527" max="11527" width="17" style="4" customWidth="1"/>
    <col min="11528" max="11528" width="15.77734375" style="4" customWidth="1"/>
    <col min="11529" max="11529" width="6.88671875" style="4" customWidth="1"/>
    <col min="11530" max="11531" width="15.21875" style="4" customWidth="1"/>
    <col min="11532" max="11532" width="18.33203125" style="4" customWidth="1"/>
    <col min="11533" max="11533" width="0" style="4" hidden="1" customWidth="1"/>
    <col min="11534" max="11777" width="8.88671875" style="4"/>
    <col min="11778" max="11778" width="28.88671875" style="4" customWidth="1"/>
    <col min="11779" max="11779" width="11" style="4" customWidth="1"/>
    <col min="11780" max="11780" width="18.77734375" style="4" customWidth="1"/>
    <col min="11781" max="11781" width="20.88671875" style="4" customWidth="1"/>
    <col min="11782" max="11782" width="0" style="4" hidden="1" customWidth="1"/>
    <col min="11783" max="11783" width="17" style="4" customWidth="1"/>
    <col min="11784" max="11784" width="15.77734375" style="4" customWidth="1"/>
    <col min="11785" max="11785" width="6.88671875" style="4" customWidth="1"/>
    <col min="11786" max="11787" width="15.21875" style="4" customWidth="1"/>
    <col min="11788" max="11788" width="18.33203125" style="4" customWidth="1"/>
    <col min="11789" max="11789" width="0" style="4" hidden="1" customWidth="1"/>
    <col min="11790" max="12033" width="8.88671875" style="4"/>
    <col min="12034" max="12034" width="28.88671875" style="4" customWidth="1"/>
    <col min="12035" max="12035" width="11" style="4" customWidth="1"/>
    <col min="12036" max="12036" width="18.77734375" style="4" customWidth="1"/>
    <col min="12037" max="12037" width="20.88671875" style="4" customWidth="1"/>
    <col min="12038" max="12038" width="0" style="4" hidden="1" customWidth="1"/>
    <col min="12039" max="12039" width="17" style="4" customWidth="1"/>
    <col min="12040" max="12040" width="15.77734375" style="4" customWidth="1"/>
    <col min="12041" max="12041" width="6.88671875" style="4" customWidth="1"/>
    <col min="12042" max="12043" width="15.21875" style="4" customWidth="1"/>
    <col min="12044" max="12044" width="18.33203125" style="4" customWidth="1"/>
    <col min="12045" max="12045" width="0" style="4" hidden="1" customWidth="1"/>
    <col min="12046" max="12289" width="8.88671875" style="4"/>
    <col min="12290" max="12290" width="28.88671875" style="4" customWidth="1"/>
    <col min="12291" max="12291" width="11" style="4" customWidth="1"/>
    <col min="12292" max="12292" width="18.77734375" style="4" customWidth="1"/>
    <col min="12293" max="12293" width="20.88671875" style="4" customWidth="1"/>
    <col min="12294" max="12294" width="0" style="4" hidden="1" customWidth="1"/>
    <col min="12295" max="12295" width="17" style="4" customWidth="1"/>
    <col min="12296" max="12296" width="15.77734375" style="4" customWidth="1"/>
    <col min="12297" max="12297" width="6.88671875" style="4" customWidth="1"/>
    <col min="12298" max="12299" width="15.21875" style="4" customWidth="1"/>
    <col min="12300" max="12300" width="18.33203125" style="4" customWidth="1"/>
    <col min="12301" max="12301" width="0" style="4" hidden="1" customWidth="1"/>
    <col min="12302" max="12545" width="8.88671875" style="4"/>
    <col min="12546" max="12546" width="28.88671875" style="4" customWidth="1"/>
    <col min="12547" max="12547" width="11" style="4" customWidth="1"/>
    <col min="12548" max="12548" width="18.77734375" style="4" customWidth="1"/>
    <col min="12549" max="12549" width="20.88671875" style="4" customWidth="1"/>
    <col min="12550" max="12550" width="0" style="4" hidden="1" customWidth="1"/>
    <col min="12551" max="12551" width="17" style="4" customWidth="1"/>
    <col min="12552" max="12552" width="15.77734375" style="4" customWidth="1"/>
    <col min="12553" max="12553" width="6.88671875" style="4" customWidth="1"/>
    <col min="12554" max="12555" width="15.21875" style="4" customWidth="1"/>
    <col min="12556" max="12556" width="18.33203125" style="4" customWidth="1"/>
    <col min="12557" max="12557" width="0" style="4" hidden="1" customWidth="1"/>
    <col min="12558" max="12801" width="8.88671875" style="4"/>
    <col min="12802" max="12802" width="28.88671875" style="4" customWidth="1"/>
    <col min="12803" max="12803" width="11" style="4" customWidth="1"/>
    <col min="12804" max="12804" width="18.77734375" style="4" customWidth="1"/>
    <col min="12805" max="12805" width="20.88671875" style="4" customWidth="1"/>
    <col min="12806" max="12806" width="0" style="4" hidden="1" customWidth="1"/>
    <col min="12807" max="12807" width="17" style="4" customWidth="1"/>
    <col min="12808" max="12808" width="15.77734375" style="4" customWidth="1"/>
    <col min="12809" max="12809" width="6.88671875" style="4" customWidth="1"/>
    <col min="12810" max="12811" width="15.21875" style="4" customWidth="1"/>
    <col min="12812" max="12812" width="18.33203125" style="4" customWidth="1"/>
    <col min="12813" max="12813" width="0" style="4" hidden="1" customWidth="1"/>
    <col min="12814" max="13057" width="8.88671875" style="4"/>
    <col min="13058" max="13058" width="28.88671875" style="4" customWidth="1"/>
    <col min="13059" max="13059" width="11" style="4" customWidth="1"/>
    <col min="13060" max="13060" width="18.77734375" style="4" customWidth="1"/>
    <col min="13061" max="13061" width="20.88671875" style="4" customWidth="1"/>
    <col min="13062" max="13062" width="0" style="4" hidden="1" customWidth="1"/>
    <col min="13063" max="13063" width="17" style="4" customWidth="1"/>
    <col min="13064" max="13064" width="15.77734375" style="4" customWidth="1"/>
    <col min="13065" max="13065" width="6.88671875" style="4" customWidth="1"/>
    <col min="13066" max="13067" width="15.21875" style="4" customWidth="1"/>
    <col min="13068" max="13068" width="18.33203125" style="4" customWidth="1"/>
    <col min="13069" max="13069" width="0" style="4" hidden="1" customWidth="1"/>
    <col min="13070" max="13313" width="8.88671875" style="4"/>
    <col min="13314" max="13314" width="28.88671875" style="4" customWidth="1"/>
    <col min="13315" max="13315" width="11" style="4" customWidth="1"/>
    <col min="13316" max="13316" width="18.77734375" style="4" customWidth="1"/>
    <col min="13317" max="13317" width="20.88671875" style="4" customWidth="1"/>
    <col min="13318" max="13318" width="0" style="4" hidden="1" customWidth="1"/>
    <col min="13319" max="13319" width="17" style="4" customWidth="1"/>
    <col min="13320" max="13320" width="15.77734375" style="4" customWidth="1"/>
    <col min="13321" max="13321" width="6.88671875" style="4" customWidth="1"/>
    <col min="13322" max="13323" width="15.21875" style="4" customWidth="1"/>
    <col min="13324" max="13324" width="18.33203125" style="4" customWidth="1"/>
    <col min="13325" max="13325" width="0" style="4" hidden="1" customWidth="1"/>
    <col min="13326" max="13569" width="8.88671875" style="4"/>
    <col min="13570" max="13570" width="28.88671875" style="4" customWidth="1"/>
    <col min="13571" max="13571" width="11" style="4" customWidth="1"/>
    <col min="13572" max="13572" width="18.77734375" style="4" customWidth="1"/>
    <col min="13573" max="13573" width="20.88671875" style="4" customWidth="1"/>
    <col min="13574" max="13574" width="0" style="4" hidden="1" customWidth="1"/>
    <col min="13575" max="13575" width="17" style="4" customWidth="1"/>
    <col min="13576" max="13576" width="15.77734375" style="4" customWidth="1"/>
    <col min="13577" max="13577" width="6.88671875" style="4" customWidth="1"/>
    <col min="13578" max="13579" width="15.21875" style="4" customWidth="1"/>
    <col min="13580" max="13580" width="18.33203125" style="4" customWidth="1"/>
    <col min="13581" max="13581" width="0" style="4" hidden="1" customWidth="1"/>
    <col min="13582" max="13825" width="8.88671875" style="4"/>
    <col min="13826" max="13826" width="28.88671875" style="4" customWidth="1"/>
    <col min="13827" max="13827" width="11" style="4" customWidth="1"/>
    <col min="13828" max="13828" width="18.77734375" style="4" customWidth="1"/>
    <col min="13829" max="13829" width="20.88671875" style="4" customWidth="1"/>
    <col min="13830" max="13830" width="0" style="4" hidden="1" customWidth="1"/>
    <col min="13831" max="13831" width="17" style="4" customWidth="1"/>
    <col min="13832" max="13832" width="15.77734375" style="4" customWidth="1"/>
    <col min="13833" max="13833" width="6.88671875" style="4" customWidth="1"/>
    <col min="13834" max="13835" width="15.21875" style="4" customWidth="1"/>
    <col min="13836" max="13836" width="18.33203125" style="4" customWidth="1"/>
    <col min="13837" max="13837" width="0" style="4" hidden="1" customWidth="1"/>
    <col min="13838" max="14081" width="8.88671875" style="4"/>
    <col min="14082" max="14082" width="28.88671875" style="4" customWidth="1"/>
    <col min="14083" max="14083" width="11" style="4" customWidth="1"/>
    <col min="14084" max="14084" width="18.77734375" style="4" customWidth="1"/>
    <col min="14085" max="14085" width="20.88671875" style="4" customWidth="1"/>
    <col min="14086" max="14086" width="0" style="4" hidden="1" customWidth="1"/>
    <col min="14087" max="14087" width="17" style="4" customWidth="1"/>
    <col min="14088" max="14088" width="15.77734375" style="4" customWidth="1"/>
    <col min="14089" max="14089" width="6.88671875" style="4" customWidth="1"/>
    <col min="14090" max="14091" width="15.21875" style="4" customWidth="1"/>
    <col min="14092" max="14092" width="18.33203125" style="4" customWidth="1"/>
    <col min="14093" max="14093" width="0" style="4" hidden="1" customWidth="1"/>
    <col min="14094" max="14337" width="8.88671875" style="4"/>
    <col min="14338" max="14338" width="28.88671875" style="4" customWidth="1"/>
    <col min="14339" max="14339" width="11" style="4" customWidth="1"/>
    <col min="14340" max="14340" width="18.77734375" style="4" customWidth="1"/>
    <col min="14341" max="14341" width="20.88671875" style="4" customWidth="1"/>
    <col min="14342" max="14342" width="0" style="4" hidden="1" customWidth="1"/>
    <col min="14343" max="14343" width="17" style="4" customWidth="1"/>
    <col min="14344" max="14344" width="15.77734375" style="4" customWidth="1"/>
    <col min="14345" max="14345" width="6.88671875" style="4" customWidth="1"/>
    <col min="14346" max="14347" width="15.21875" style="4" customWidth="1"/>
    <col min="14348" max="14348" width="18.33203125" style="4" customWidth="1"/>
    <col min="14349" max="14349" width="0" style="4" hidden="1" customWidth="1"/>
    <col min="14350" max="14593" width="8.88671875" style="4"/>
    <col min="14594" max="14594" width="28.88671875" style="4" customWidth="1"/>
    <col min="14595" max="14595" width="11" style="4" customWidth="1"/>
    <col min="14596" max="14596" width="18.77734375" style="4" customWidth="1"/>
    <col min="14597" max="14597" width="20.88671875" style="4" customWidth="1"/>
    <col min="14598" max="14598" width="0" style="4" hidden="1" customWidth="1"/>
    <col min="14599" max="14599" width="17" style="4" customWidth="1"/>
    <col min="14600" max="14600" width="15.77734375" style="4" customWidth="1"/>
    <col min="14601" max="14601" width="6.88671875" style="4" customWidth="1"/>
    <col min="14602" max="14603" width="15.21875" style="4" customWidth="1"/>
    <col min="14604" max="14604" width="18.33203125" style="4" customWidth="1"/>
    <col min="14605" max="14605" width="0" style="4" hidden="1" customWidth="1"/>
    <col min="14606" max="14849" width="8.88671875" style="4"/>
    <col min="14850" max="14850" width="28.88671875" style="4" customWidth="1"/>
    <col min="14851" max="14851" width="11" style="4" customWidth="1"/>
    <col min="14852" max="14852" width="18.77734375" style="4" customWidth="1"/>
    <col min="14853" max="14853" width="20.88671875" style="4" customWidth="1"/>
    <col min="14854" max="14854" width="0" style="4" hidden="1" customWidth="1"/>
    <col min="14855" max="14855" width="17" style="4" customWidth="1"/>
    <col min="14856" max="14856" width="15.77734375" style="4" customWidth="1"/>
    <col min="14857" max="14857" width="6.88671875" style="4" customWidth="1"/>
    <col min="14858" max="14859" width="15.21875" style="4" customWidth="1"/>
    <col min="14860" max="14860" width="18.33203125" style="4" customWidth="1"/>
    <col min="14861" max="14861" width="0" style="4" hidden="1" customWidth="1"/>
    <col min="14862" max="15105" width="8.88671875" style="4"/>
    <col min="15106" max="15106" width="28.88671875" style="4" customWidth="1"/>
    <col min="15107" max="15107" width="11" style="4" customWidth="1"/>
    <col min="15108" max="15108" width="18.77734375" style="4" customWidth="1"/>
    <col min="15109" max="15109" width="20.88671875" style="4" customWidth="1"/>
    <col min="15110" max="15110" width="0" style="4" hidden="1" customWidth="1"/>
    <col min="15111" max="15111" width="17" style="4" customWidth="1"/>
    <col min="15112" max="15112" width="15.77734375" style="4" customWidth="1"/>
    <col min="15113" max="15113" width="6.88671875" style="4" customWidth="1"/>
    <col min="15114" max="15115" width="15.21875" style="4" customWidth="1"/>
    <col min="15116" max="15116" width="18.33203125" style="4" customWidth="1"/>
    <col min="15117" max="15117" width="0" style="4" hidden="1" customWidth="1"/>
    <col min="15118" max="15361" width="8.88671875" style="4"/>
    <col min="15362" max="15362" width="28.88671875" style="4" customWidth="1"/>
    <col min="15363" max="15363" width="11" style="4" customWidth="1"/>
    <col min="15364" max="15364" width="18.77734375" style="4" customWidth="1"/>
    <col min="15365" max="15365" width="20.88671875" style="4" customWidth="1"/>
    <col min="15366" max="15366" width="0" style="4" hidden="1" customWidth="1"/>
    <col min="15367" max="15367" width="17" style="4" customWidth="1"/>
    <col min="15368" max="15368" width="15.77734375" style="4" customWidth="1"/>
    <col min="15369" max="15369" width="6.88671875" style="4" customWidth="1"/>
    <col min="15370" max="15371" width="15.21875" style="4" customWidth="1"/>
    <col min="15372" max="15372" width="18.33203125" style="4" customWidth="1"/>
    <col min="15373" max="15373" width="0" style="4" hidden="1" customWidth="1"/>
    <col min="15374" max="15617" width="8.88671875" style="4"/>
    <col min="15618" max="15618" width="28.88671875" style="4" customWidth="1"/>
    <col min="15619" max="15619" width="11" style="4" customWidth="1"/>
    <col min="15620" max="15620" width="18.77734375" style="4" customWidth="1"/>
    <col min="15621" max="15621" width="20.88671875" style="4" customWidth="1"/>
    <col min="15622" max="15622" width="0" style="4" hidden="1" customWidth="1"/>
    <col min="15623" max="15623" width="17" style="4" customWidth="1"/>
    <col min="15624" max="15624" width="15.77734375" style="4" customWidth="1"/>
    <col min="15625" max="15625" width="6.88671875" style="4" customWidth="1"/>
    <col min="15626" max="15627" width="15.21875" style="4" customWidth="1"/>
    <col min="15628" max="15628" width="18.33203125" style="4" customWidth="1"/>
    <col min="15629" max="15629" width="0" style="4" hidden="1" customWidth="1"/>
    <col min="15630" max="15873" width="8.88671875" style="4"/>
    <col min="15874" max="15874" width="28.88671875" style="4" customWidth="1"/>
    <col min="15875" max="15875" width="11" style="4" customWidth="1"/>
    <col min="15876" max="15876" width="18.77734375" style="4" customWidth="1"/>
    <col min="15877" max="15877" width="20.88671875" style="4" customWidth="1"/>
    <col min="15878" max="15878" width="0" style="4" hidden="1" customWidth="1"/>
    <col min="15879" max="15879" width="17" style="4" customWidth="1"/>
    <col min="15880" max="15880" width="15.77734375" style="4" customWidth="1"/>
    <col min="15881" max="15881" width="6.88671875" style="4" customWidth="1"/>
    <col min="15882" max="15883" width="15.21875" style="4" customWidth="1"/>
    <col min="15884" max="15884" width="18.33203125" style="4" customWidth="1"/>
    <col min="15885" max="15885" width="0" style="4" hidden="1" customWidth="1"/>
    <col min="15886" max="16129" width="8.88671875" style="4"/>
    <col min="16130" max="16130" width="28.88671875" style="4" customWidth="1"/>
    <col min="16131" max="16131" width="11" style="4" customWidth="1"/>
    <col min="16132" max="16132" width="18.77734375" style="4" customWidth="1"/>
    <col min="16133" max="16133" width="20.88671875" style="4" customWidth="1"/>
    <col min="16134" max="16134" width="0" style="4" hidden="1" customWidth="1"/>
    <col min="16135" max="16135" width="17" style="4" customWidth="1"/>
    <col min="16136" max="16136" width="15.77734375" style="4" customWidth="1"/>
    <col min="16137" max="16137" width="6.88671875" style="4" customWidth="1"/>
    <col min="16138" max="16139" width="15.21875" style="4" customWidth="1"/>
    <col min="16140" max="16140" width="18.33203125" style="4" customWidth="1"/>
    <col min="16141" max="16141" width="0" style="4" hidden="1" customWidth="1"/>
    <col min="16142" max="16384" width="8.88671875" style="4"/>
  </cols>
  <sheetData>
    <row r="1" spans="1:15" s="1" customFormat="1" ht="17.399999999999999" x14ac:dyDescent="0.3">
      <c r="A1" s="70" t="s">
        <v>35</v>
      </c>
      <c r="B1" s="2"/>
      <c r="C1" s="3"/>
      <c r="D1" s="3"/>
      <c r="E1" s="3"/>
      <c r="F1" s="3"/>
      <c r="I1" s="2"/>
      <c r="J1" s="3"/>
      <c r="M1" s="3"/>
      <c r="O1" s="79"/>
    </row>
    <row r="2" spans="1:15" s="1" customFormat="1" ht="16.8" x14ac:dyDescent="0.3">
      <c r="A2" s="57" t="s">
        <v>36</v>
      </c>
      <c r="B2" s="2"/>
      <c r="C2" s="3"/>
      <c r="D2" s="3"/>
      <c r="E2" s="3"/>
      <c r="F2" s="3"/>
      <c r="I2" s="2"/>
      <c r="J2" s="3"/>
      <c r="M2" s="3"/>
      <c r="O2" s="79"/>
    </row>
    <row r="3" spans="1:15" ht="16.8" x14ac:dyDescent="0.3">
      <c r="A3" s="17" t="s">
        <v>37</v>
      </c>
    </row>
    <row r="4" spans="1:15" s="8" customFormat="1" ht="20.399999999999999" x14ac:dyDescent="0.35">
      <c r="A4" s="53" t="s">
        <v>20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7"/>
      <c r="O4" s="80"/>
    </row>
    <row r="5" spans="1:15" ht="16.8" x14ac:dyDescent="0.3"/>
    <row r="6" spans="1:15" s="51" customFormat="1" ht="41.25" customHeight="1" x14ac:dyDescent="0.3">
      <c r="A6" s="9" t="s">
        <v>1</v>
      </c>
      <c r="B6" s="10" t="s">
        <v>2</v>
      </c>
      <c r="C6" s="11" t="s">
        <v>0</v>
      </c>
      <c r="D6" s="11" t="s">
        <v>17</v>
      </c>
      <c r="E6" s="11" t="s">
        <v>18</v>
      </c>
      <c r="F6" s="11" t="s">
        <v>19</v>
      </c>
      <c r="G6" s="9" t="s">
        <v>3</v>
      </c>
      <c r="H6" s="9" t="s">
        <v>40</v>
      </c>
      <c r="I6" s="10" t="s">
        <v>4</v>
      </c>
      <c r="J6" s="11" t="s">
        <v>5</v>
      </c>
      <c r="K6" s="9" t="s">
        <v>39</v>
      </c>
      <c r="L6" s="9" t="s">
        <v>6</v>
      </c>
      <c r="M6" s="10" t="s">
        <v>41</v>
      </c>
      <c r="O6" s="81"/>
    </row>
    <row r="7" spans="1:15" s="1" customFormat="1" ht="30.75" customHeight="1" x14ac:dyDescent="0.3">
      <c r="A7" s="71" t="s">
        <v>23</v>
      </c>
      <c r="B7" s="43">
        <f>C7/C14</f>
        <v>0.67963460009617316</v>
      </c>
      <c r="C7" s="31">
        <f>SUM(C8:C9)</f>
        <v>2008871622</v>
      </c>
      <c r="D7" s="31">
        <f t="shared" ref="D7:F7" si="0">SUM(D8:D9)</f>
        <v>1948494051</v>
      </c>
      <c r="E7" s="31">
        <f t="shared" si="0"/>
        <v>9613953.3048951495</v>
      </c>
      <c r="F7" s="31">
        <f t="shared" si="0"/>
        <v>0</v>
      </c>
      <c r="G7" s="31">
        <f>SUM(G8:G9)</f>
        <v>50763617.695104852</v>
      </c>
      <c r="H7" s="31">
        <f t="shared" ref="H7" si="1">SUM(H8:H9)</f>
        <v>14657654.953428565</v>
      </c>
      <c r="I7" s="30">
        <v>0.1</v>
      </c>
      <c r="J7" s="31">
        <f>J8+J9</f>
        <v>3610596.274167629</v>
      </c>
      <c r="K7" s="32">
        <f>+J7*100%</f>
        <v>3610596.274167629</v>
      </c>
      <c r="L7" s="32">
        <f>+J7-K7</f>
        <v>0</v>
      </c>
      <c r="M7" s="83">
        <f>((G7-H7)*0.2)-J7</f>
        <v>3610596.274167629</v>
      </c>
      <c r="O7" s="79"/>
    </row>
    <row r="8" spans="1:15" ht="21.75" customHeight="1" x14ac:dyDescent="0.3">
      <c r="A8" s="13">
        <v>5112</v>
      </c>
      <c r="B8" s="30">
        <f>C8/C14</f>
        <v>0.10682564762802464</v>
      </c>
      <c r="C8" s="33">
        <f>'DOANH THU 2024'!D10</f>
        <v>315756455</v>
      </c>
      <c r="D8" s="33">
        <f>'DOANH THU 2024'!E10</f>
        <v>272227547</v>
      </c>
      <c r="E8" s="34">
        <f>B8*E14</f>
        <v>9613953.3048951495</v>
      </c>
      <c r="F8" s="34"/>
      <c r="G8" s="73">
        <f>C8-D8-E8-F8</f>
        <v>33914954.695104852</v>
      </c>
      <c r="H8" s="73">
        <f>$H$14*B8</f>
        <v>2303904.8966702931</v>
      </c>
      <c r="I8" s="35"/>
      <c r="J8" s="34">
        <f>(G8-H8)*$I$7</f>
        <v>3161104.9798434563</v>
      </c>
      <c r="K8" s="32"/>
      <c r="L8" s="32"/>
      <c r="M8" s="84"/>
    </row>
    <row r="9" spans="1:15" ht="21.75" customHeight="1" x14ac:dyDescent="0.3">
      <c r="A9" s="13">
        <v>5111</v>
      </c>
      <c r="B9" s="30">
        <f>C9/C14</f>
        <v>0.57280895246814856</v>
      </c>
      <c r="C9" s="33">
        <v>1693115167</v>
      </c>
      <c r="D9" s="33">
        <v>1676266504</v>
      </c>
      <c r="E9" s="34"/>
      <c r="F9" s="34"/>
      <c r="G9" s="73">
        <f>C9-D9-E9-F9</f>
        <v>16848663</v>
      </c>
      <c r="H9" s="73">
        <f>$H$14*B9</f>
        <v>12353750.056758272</v>
      </c>
      <c r="I9" s="35"/>
      <c r="J9" s="34">
        <f>(G9-H9)*$I$7</f>
        <v>449491.29432417289</v>
      </c>
      <c r="K9" s="32"/>
      <c r="L9" s="32"/>
      <c r="M9" s="84"/>
    </row>
    <row r="10" spans="1:15" s="1" customFormat="1" ht="16.8" x14ac:dyDescent="0.3">
      <c r="A10" s="72" t="s">
        <v>38</v>
      </c>
      <c r="B10" s="43">
        <f>C10/C14</f>
        <v>0.32036539990382679</v>
      </c>
      <c r="C10" s="31">
        <f>SUM(C11:C13)</f>
        <v>946939665</v>
      </c>
      <c r="D10" s="31">
        <f>SUM(D11:D13)</f>
        <v>786482056</v>
      </c>
      <c r="E10" s="31">
        <f>SUM(E11:E13)</f>
        <v>80382723.695104852</v>
      </c>
      <c r="F10" s="31"/>
      <c r="G10" s="32">
        <f>SUM(G11:G13)</f>
        <v>80074885.304895148</v>
      </c>
      <c r="H10" s="32">
        <f>SUM(H11:H13)</f>
        <v>6909309.0465714354</v>
      </c>
      <c r="I10" s="30">
        <v>0.17</v>
      </c>
      <c r="J10" s="31">
        <f>(G10-H10)*$I$10</f>
        <v>12438147.963915031</v>
      </c>
      <c r="K10" s="32">
        <f>J10*100%</f>
        <v>12438147.963915031</v>
      </c>
      <c r="L10" s="32">
        <f>+J10-K10</f>
        <v>0</v>
      </c>
      <c r="M10" s="83">
        <f>((G10-H10)*0.2)-J10</f>
        <v>2194967.2877497114</v>
      </c>
      <c r="O10" s="79"/>
    </row>
    <row r="11" spans="1:15" ht="16.8" x14ac:dyDescent="0.3">
      <c r="A11" s="13">
        <v>5112</v>
      </c>
      <c r="B11" s="36">
        <f>C11/C14</f>
        <v>0.32034391104887883</v>
      </c>
      <c r="C11" s="34">
        <f>'DOANH THU 2024'!D12</f>
        <v>946876148</v>
      </c>
      <c r="D11" s="34">
        <f>'DOANH THU 2024'!E12</f>
        <v>786482056</v>
      </c>
      <c r="E11" s="34">
        <f>E14-E8</f>
        <v>80382723.695104852</v>
      </c>
      <c r="F11" s="34"/>
      <c r="G11" s="73">
        <f>C11-D11-E11-F11</f>
        <v>80011368.304895148</v>
      </c>
      <c r="H11" s="73">
        <f>H14-H7</f>
        <v>6909309.0465714354</v>
      </c>
      <c r="I11" s="35"/>
      <c r="J11" s="75">
        <f>(G10-H10)*$I$10</f>
        <v>12438147.963915031</v>
      </c>
      <c r="K11" s="16"/>
      <c r="L11" s="16"/>
      <c r="M11" s="84"/>
    </row>
    <row r="12" spans="1:15" ht="16.8" x14ac:dyDescent="0.3">
      <c r="A12" s="13">
        <v>5151</v>
      </c>
      <c r="B12" s="74">
        <f>C12/C14</f>
        <v>2.1488854947998581E-5</v>
      </c>
      <c r="C12" s="33">
        <v>63517</v>
      </c>
      <c r="D12" s="34"/>
      <c r="E12" s="34"/>
      <c r="F12" s="34"/>
      <c r="G12" s="75">
        <v>63517</v>
      </c>
      <c r="H12" s="16"/>
      <c r="I12" s="35"/>
      <c r="J12" s="34"/>
      <c r="K12" s="16"/>
      <c r="L12" s="16"/>
      <c r="M12" s="84"/>
    </row>
    <row r="13" spans="1:15" ht="16.8" x14ac:dyDescent="0.3">
      <c r="A13" s="13"/>
      <c r="B13" s="36"/>
      <c r="C13" s="33"/>
      <c r="D13" s="34"/>
      <c r="E13" s="34"/>
      <c r="F13" s="34"/>
      <c r="G13" s="16"/>
      <c r="H13" s="16"/>
      <c r="I13" s="35"/>
      <c r="J13" s="34"/>
      <c r="K13" s="16"/>
      <c r="L13" s="16"/>
      <c r="M13" s="84"/>
    </row>
    <row r="14" spans="1:15" s="1" customFormat="1" ht="16.8" x14ac:dyDescent="0.3">
      <c r="A14" s="12" t="s">
        <v>7</v>
      </c>
      <c r="B14" s="30"/>
      <c r="C14" s="38">
        <f>+C10+C7</f>
        <v>2955811287</v>
      </c>
      <c r="D14" s="38">
        <f>+D10+D7</f>
        <v>2734976107</v>
      </c>
      <c r="E14" s="37">
        <v>89996677</v>
      </c>
      <c r="F14" s="37">
        <v>0</v>
      </c>
      <c r="G14" s="31">
        <f>G7+G10</f>
        <v>130838503</v>
      </c>
      <c r="H14" s="31">
        <v>21566964</v>
      </c>
      <c r="I14" s="31"/>
      <c r="J14" s="31">
        <f>J10+J7</f>
        <v>16048744.23808266</v>
      </c>
      <c r="K14" s="31">
        <f t="shared" ref="K14:L14" si="2">K10+K7</f>
        <v>16048744.23808266</v>
      </c>
      <c r="L14" s="31">
        <f t="shared" si="2"/>
        <v>0</v>
      </c>
      <c r="M14" s="83">
        <f>M7+M10</f>
        <v>5805563.5619173404</v>
      </c>
      <c r="O14" s="79"/>
    </row>
    <row r="15" spans="1:15" ht="16.8" hidden="1" x14ac:dyDescent="0.3">
      <c r="G15" s="14" t="e">
        <f>+C14-#REF!-#REF!-#REF!</f>
        <v>#REF!</v>
      </c>
      <c r="H15" s="14"/>
    </row>
    <row r="16" spans="1:15" ht="16.8" hidden="1" x14ac:dyDescent="0.3">
      <c r="C16" s="6">
        <v>10793007946</v>
      </c>
      <c r="G16" s="6">
        <v>720227155</v>
      </c>
      <c r="H16" s="6"/>
      <c r="K16" s="4">
        <v>74441349</v>
      </c>
    </row>
    <row r="17" spans="1:15" ht="16.8" hidden="1" x14ac:dyDescent="0.3">
      <c r="C17" s="6">
        <v>454939007</v>
      </c>
      <c r="G17" s="14">
        <f>G16-G14</f>
        <v>589388652</v>
      </c>
      <c r="H17" s="14"/>
      <c r="K17" s="14">
        <f>+K16-L14</f>
        <v>74441349</v>
      </c>
    </row>
    <row r="18" spans="1:15" ht="16.8" hidden="1" x14ac:dyDescent="0.3">
      <c r="C18" s="6">
        <v>781954</v>
      </c>
      <c r="J18" s="6">
        <v>54680132</v>
      </c>
    </row>
    <row r="19" spans="1:15" ht="16.8" hidden="1" x14ac:dyDescent="0.3">
      <c r="C19" s="6">
        <f>+C18+C17+C16</f>
        <v>11248728907</v>
      </c>
      <c r="G19" s="6"/>
      <c r="H19" s="6"/>
      <c r="J19" s="6" t="e">
        <f>+J18-#REF!</f>
        <v>#REF!</v>
      </c>
    </row>
    <row r="20" spans="1:15" ht="29.25" customHeight="1" x14ac:dyDescent="0.3">
      <c r="G20" s="14"/>
      <c r="H20" s="14"/>
      <c r="I20" s="19"/>
      <c r="J20" s="55" t="s">
        <v>21</v>
      </c>
      <c r="K20" s="55"/>
      <c r="L20" s="55"/>
    </row>
    <row r="21" spans="1:15" ht="16.8" x14ac:dyDescent="0.3">
      <c r="A21" s="56" t="s">
        <v>8</v>
      </c>
      <c r="B21" s="56"/>
      <c r="G21" s="14"/>
      <c r="H21" s="14"/>
      <c r="J21" s="52" t="s">
        <v>9</v>
      </c>
      <c r="K21" s="52"/>
      <c r="L21" s="52"/>
    </row>
    <row r="22" spans="1:15" ht="16.8" x14ac:dyDescent="0.3">
      <c r="C22" s="41"/>
      <c r="D22" s="41"/>
      <c r="E22" s="41"/>
      <c r="F22" s="42"/>
      <c r="G22" s="6"/>
      <c r="H22" s="6"/>
    </row>
    <row r="23" spans="1:15" ht="16.8" x14ac:dyDescent="0.3">
      <c r="C23" s="40"/>
      <c r="D23" s="40"/>
      <c r="E23" s="40"/>
      <c r="F23" s="40"/>
      <c r="G23" s="6"/>
      <c r="H23" s="6"/>
      <c r="K23" s="14"/>
      <c r="N23" s="14"/>
    </row>
    <row r="24" spans="1:15" ht="16.8" x14ac:dyDescent="0.3">
      <c r="D24" s="76"/>
      <c r="G24" s="6"/>
      <c r="H24" s="6"/>
      <c r="K24" s="14"/>
      <c r="N24" s="77"/>
    </row>
    <row r="25" spans="1:15" ht="16.8" x14ac:dyDescent="0.3">
      <c r="D25" s="76"/>
      <c r="G25" s="6"/>
      <c r="H25" s="6"/>
      <c r="K25" s="14"/>
      <c r="L25" s="77"/>
      <c r="M25" s="77"/>
      <c r="N25" s="77"/>
    </row>
    <row r="26" spans="1:15" ht="16.8" x14ac:dyDescent="0.3">
      <c r="L26" s="77"/>
      <c r="N26" s="77"/>
    </row>
    <row r="27" spans="1:15" ht="16.8" x14ac:dyDescent="0.3">
      <c r="G27" s="6"/>
      <c r="H27" s="6"/>
    </row>
    <row r="28" spans="1:15" s="1" customFormat="1" ht="16.8" x14ac:dyDescent="0.3">
      <c r="B28" s="2"/>
      <c r="C28" s="3"/>
      <c r="D28" s="3"/>
      <c r="E28" s="3"/>
      <c r="F28" s="3"/>
      <c r="G28" s="3"/>
      <c r="H28" s="3"/>
      <c r="I28" s="2"/>
      <c r="J28" s="52"/>
      <c r="K28" s="52"/>
      <c r="L28" s="52"/>
      <c r="M28" s="3"/>
      <c r="N28" s="78"/>
      <c r="O28" s="79"/>
    </row>
    <row r="29" spans="1:15" ht="16.8" x14ac:dyDescent="0.3">
      <c r="G29" s="14"/>
      <c r="H29" s="14"/>
    </row>
    <row r="30" spans="1:15" ht="16.8" x14ac:dyDescent="0.3">
      <c r="N30" s="77"/>
    </row>
    <row r="31" spans="1:15" ht="16.8" x14ac:dyDescent="0.3">
      <c r="N31" s="77"/>
    </row>
    <row r="32" spans="1:15" ht="16.8" x14ac:dyDescent="0.3">
      <c r="N32" s="82"/>
    </row>
    <row r="33" spans="3:6" s="4" customFormat="1" ht="16.8" x14ac:dyDescent="0.3">
      <c r="C33" s="6"/>
      <c r="D33" s="6"/>
      <c r="E33" s="6"/>
      <c r="F33" s="6"/>
    </row>
    <row r="34" spans="3:6" s="4" customFormat="1" ht="16.8" x14ac:dyDescent="0.3">
      <c r="C34" s="6"/>
      <c r="D34" s="6"/>
      <c r="E34" s="6"/>
      <c r="F34" s="6"/>
    </row>
    <row r="35" spans="3:6" s="4" customFormat="1" ht="16.8" x14ac:dyDescent="0.3">
      <c r="C35" s="6"/>
      <c r="D35" s="6"/>
      <c r="E35" s="6"/>
      <c r="F35" s="6"/>
    </row>
    <row r="36" spans="3:6" s="4" customFormat="1" ht="16.8" x14ac:dyDescent="0.3">
      <c r="C36" s="6"/>
      <c r="D36" s="6"/>
      <c r="E36" s="6"/>
      <c r="F36" s="6"/>
    </row>
    <row r="37" spans="3:6" s="4" customFormat="1" ht="16.8" x14ac:dyDescent="0.3">
      <c r="C37" s="6"/>
      <c r="D37" s="6"/>
      <c r="E37" s="6"/>
      <c r="F37" s="6"/>
    </row>
  </sheetData>
  <mergeCells count="5">
    <mergeCell ref="A4:L4"/>
    <mergeCell ref="J20:L20"/>
    <mergeCell ref="A21:B21"/>
    <mergeCell ref="J21:L21"/>
    <mergeCell ref="J28:L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DOANH THU 2024</vt:lpstr>
      <vt:lpstr>TNDN 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2025-03-25T07:37:09Z</dcterms:modified>
</cp:coreProperties>
</file>