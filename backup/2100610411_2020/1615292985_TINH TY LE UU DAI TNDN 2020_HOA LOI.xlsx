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activeTab="1"/>
  </bookViews>
  <sheets>
    <sheet name="BANG KE DOANH THU CT 2019" sheetId="1" r:id="rId1"/>
    <sheet name="TINH THUE TNDN" sheetId="3" r:id="rId2"/>
    <sheet name="Sheet1" sheetId="4" r:id="rId3"/>
    <sheet name="Sheet2" sheetId="5" r:id="rId4"/>
  </sheets>
  <calcPr calcId="144525" iterate="1"/>
</workbook>
</file>

<file path=xl/calcChain.xml><?xml version="1.0" encoding="utf-8"?>
<calcChain xmlns="http://schemas.openxmlformats.org/spreadsheetml/2006/main">
  <c r="J22" i="3" l="1"/>
  <c r="D23" i="3"/>
  <c r="D22" i="3"/>
  <c r="J8" i="3"/>
  <c r="J10" i="3"/>
  <c r="J12" i="3"/>
  <c r="J13" i="3"/>
  <c r="J14" i="3"/>
  <c r="I8" i="3"/>
  <c r="I10" i="3"/>
  <c r="I12" i="3"/>
  <c r="I13" i="3"/>
  <c r="I14" i="3"/>
  <c r="C12" i="3"/>
  <c r="C8" i="3"/>
  <c r="C7" i="3" s="1"/>
  <c r="C26" i="1"/>
  <c r="C21" i="1"/>
  <c r="C6" i="1"/>
  <c r="C12" i="1" l="1"/>
  <c r="C7" i="5" l="1"/>
  <c r="I5" i="5"/>
  <c r="C12" i="5"/>
  <c r="C11" i="5" s="1"/>
  <c r="C10" i="5" l="1"/>
  <c r="C9" i="5" s="1"/>
  <c r="C15" i="5" s="1"/>
  <c r="C13" i="4"/>
  <c r="C18" i="4"/>
  <c r="D22" i="4"/>
  <c r="C12" i="4"/>
  <c r="C10" i="4"/>
  <c r="C9" i="4" s="1"/>
  <c r="C7" i="4"/>
  <c r="I5" i="4"/>
  <c r="B7" i="5" l="1"/>
  <c r="D7" i="5" s="1"/>
  <c r="B9" i="5"/>
  <c r="D9" i="5" s="1"/>
  <c r="F9" i="5" s="1"/>
  <c r="B11" i="5"/>
  <c r="D11" i="5" s="1"/>
  <c r="F11" i="5" s="1"/>
  <c r="C11" i="4"/>
  <c r="C15" i="4" s="1"/>
  <c r="C10" i="3"/>
  <c r="C9" i="3" s="1"/>
  <c r="G11" i="5" l="1"/>
  <c r="G9" i="5"/>
  <c r="H9" i="5" s="1"/>
  <c r="I4" i="5"/>
  <c r="F7" i="5"/>
  <c r="B11" i="4"/>
  <c r="D11" i="4" s="1"/>
  <c r="F11" i="4" s="1"/>
  <c r="G11" i="4" s="1"/>
  <c r="H11" i="4" s="1"/>
  <c r="B7" i="4"/>
  <c r="D7" i="4" s="1"/>
  <c r="B9" i="4"/>
  <c r="D9" i="4" s="1"/>
  <c r="F9" i="4" s="1"/>
  <c r="C11" i="3"/>
  <c r="C15" i="3" s="1"/>
  <c r="G15" i="5" l="1"/>
  <c r="H7" i="5"/>
  <c r="F15" i="5"/>
  <c r="H11" i="5"/>
  <c r="G9" i="4"/>
  <c r="H9" i="4" s="1"/>
  <c r="D25" i="4"/>
  <c r="F7" i="4"/>
  <c r="I4" i="4"/>
  <c r="C20" i="3"/>
  <c r="H15" i="5" l="1"/>
  <c r="H7" i="4"/>
  <c r="H15" i="4" s="1"/>
  <c r="F15" i="4"/>
  <c r="D23" i="4" s="1"/>
  <c r="G15" i="4"/>
  <c r="B11" i="3"/>
  <c r="D11" i="3" s="1"/>
  <c r="B7" i="3" l="1"/>
  <c r="D7" i="3" s="1"/>
  <c r="B9" i="3"/>
  <c r="D9" i="3" s="1"/>
  <c r="D16" i="3"/>
  <c r="F9" i="3" l="1"/>
  <c r="G9" i="3" s="1"/>
  <c r="H9" i="3" l="1"/>
  <c r="I9" i="3" l="1"/>
  <c r="J9" i="3" s="1"/>
  <c r="F11" i="3"/>
  <c r="G11" i="3" s="1"/>
  <c r="F7" i="3"/>
  <c r="G15" i="3" l="1"/>
  <c r="D18" i="3"/>
  <c r="F15" i="3"/>
  <c r="H7" i="3"/>
  <c r="F20" i="3"/>
  <c r="J7" i="3" l="1"/>
  <c r="I7" i="3"/>
  <c r="H11" i="3"/>
  <c r="H15" i="3" l="1"/>
  <c r="G18" i="3" s="1"/>
  <c r="I11" i="3"/>
  <c r="I15" i="3" s="1"/>
  <c r="H16" i="4"/>
  <c r="J11" i="3" l="1"/>
  <c r="J15" i="3" s="1"/>
</calcChain>
</file>

<file path=xl/sharedStrings.xml><?xml version="1.0" encoding="utf-8"?>
<sst xmlns="http://schemas.openxmlformats.org/spreadsheetml/2006/main" count="93" uniqueCount="55">
  <si>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</si>
  <si>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</si>
  <si>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</si>
  <si>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</si>
  <si>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</si>
  <si>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</si>
  <si>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</si>
  <si>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</si>
  <si>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</si>
  <si>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</si>
  <si>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</si>
  <si>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</si>
  <si>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</si>
  <si>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</si>
  <si>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BẢNG XÁC ĐỊNH THU NHẬP CHỊU THUẾ TNDN NĂM 2018</t>
  </si>
  <si>
    <t>Châu Thành, ngày 31 tháng 12 năm 2018</t>
  </si>
  <si>
    <t>CÔNG TY TNHH XD TM DV HOÀ LỢI</t>
  </si>
  <si>
    <t>MST: 2100610411</t>
  </si>
  <si>
    <t>TS 20%</t>
  </si>
  <si>
    <t>Chênh lệch</t>
  </si>
  <si>
    <t>Lâm Thị Nhi</t>
  </si>
  <si>
    <t xml:space="preserve">DT HL 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</si>
  <si>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</si>
  <si>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</si>
  <si>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</si>
  <si>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</si>
  <si>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 xml:space="preserve">                                                                                                             Lâm Thị Nhi</t>
  </si>
  <si>
    <t>CÔNG TRÌNH THUỘC ĐỊA BÀN ĐẶC BIỆT KHÓ KHĂN
(CHÂU THÀNH, TRÀ CÚ, KHU KINH TẾ ĐỊNH AN)</t>
  </si>
  <si>
    <t>CÔNG TRÌNH THUỘC ĐỊA BÀN KHÓ KHĂN
(TP. TRÀ VINH, TIỂU CẦN, CẦU KÈ, CẦU NGANG)</t>
  </si>
  <si>
    <t>BẢNG KÊ DOANH THU CÁC CÔNG TRÌNH NĂM 2020</t>
  </si>
  <si>
    <t>CÔNG TY TNHH XD-TM-DV HOÀ LỢI</t>
  </si>
  <si>
    <t>MST:2100610411</t>
  </si>
  <si>
    <t>Châu Thành, ngày 31 tháng 12 năm 2020</t>
  </si>
  <si>
    <t>CÔNG TRÌNH ĐỊA BÀN KHÔNG ƯU ĐÃI</t>
  </si>
  <si>
    <t>KS, lập BC: Di dời đường dây điện TT văn hoá - thông tin H. Cầu Kè</t>
  </si>
  <si>
    <t>DT GT01 TV KS, Lập BC KTKT: XD Hệ thống chiếu sáng tỉnh 914</t>
  </si>
  <si>
    <t>KS, lập BC KTKT: Đường dây 22Kv và TBA 3x25KvA Trung tâm hành chính xã Long Toàn</t>
  </si>
  <si>
    <t>GT01 TV KS, Lập BC KTKT: lắp đặt HTCS QL53 đến trung tâm hành chính xã Long Toàn</t>
  </si>
  <si>
    <t>Doanh thu đỗ cống</t>
  </si>
  <si>
    <t xml:space="preserve"> Di dời trụ BTLT 8,5m _ Cty TV Pharm</t>
  </si>
  <si>
    <t>CT tuyến đường N6 Tp. Trà Vinh. HM: di dời hệ thống điện hạ thế Phường 5, Tp. TV</t>
  </si>
  <si>
    <t>Di dời trụ và sang dây _ Cty Cấp Thoát Nước TV</t>
  </si>
  <si>
    <t>Khoan giếng phi 60 _ Cty CT Đô Thị Trà Vinh</t>
  </si>
  <si>
    <t>GS Thi công lắp đặt thiết bị CT Hạ Tầng phục vụ nuôi trồng thuỷ sản xã Kim Hòa - Vnih Kim, H. Cầu Ngang</t>
  </si>
  <si>
    <t>GS Thi công điện CT: Hạ tầng phục vụ NTTS xã Kim Hòa - Vinh Kim, H. Cầu Ngang</t>
  </si>
  <si>
    <t>GS Nâng cấp đường dây điện trung hạ thế Ấp Hòa Hưng, X. Mỹ Hòa, H. CN</t>
  </si>
  <si>
    <t>GS Nâng cấp đường dây điện phục vụ sản xuất ấp Bến Kinh - Mỹ Thập, Xã Long Bắc, H. Cầu Ngang</t>
  </si>
  <si>
    <t xml:space="preserve"> Điện chiếu sáng nội ô TT. Long Thành</t>
  </si>
  <si>
    <t>Thi công di dời, công trình công viên văn hóa khóm 5, TT. long Thành</t>
  </si>
  <si>
    <t>Sửa chữa HTSC từ khóm 3 đến khóm 5 TT. Long Thành</t>
  </si>
  <si>
    <t xml:space="preserve"> Thi công di dời, lắp dựng trụ chiếu sáng và trồng lại cây xanh HTTN cặp QL53</t>
  </si>
  <si>
    <t>Giảm 30%</t>
  </si>
  <si>
    <t xml:space="preserve">Số thuế </t>
  </si>
  <si>
    <t>Thuế TNDN phải nộp</t>
  </si>
  <si>
    <t>BẢNG XÁC ĐỊNH THU NHẬP CHỊU THUẾ TNDN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</si>
</sst>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5" fontId="6" fillId="0" borderId="0" xfId="1" applyNumberFormat="1" applyFont="1" applyFill="1" applyAlignment="1"/>
    <xf numFmtId="165" fontId="5" fillId="0" borderId="1" xfId="1" applyNumberFormat="1" applyFont="1" applyFill="1" applyBorder="1" applyAlignment="1"/>
    <xf numFmtId="166" fontId="3" fillId="0" borderId="0" xfId="1" applyNumberFormat="1" applyFont="1" applyAlignment="1"/>
    <xf numFmtId="0" fontId="2" fillId="0" borderId="0" xfId="0" applyFont="1" applyAlignment="1">
      <alignment horizontal="center"/>
    </xf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0" fontId="7" fillId="0" borderId="0" xfId="0" applyFont="1" applyFill="1"/>
    <xf numFmtId="165" fontId="7" fillId="0" borderId="0" xfId="1" applyNumberFormat="1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165" fontId="7" fillId="0" borderId="0" xfId="1" applyNumberFormat="1" applyFont="1" applyFill="1" applyAlignment="1">
      <alignment horizontal="left"/>
    </xf>
    <xf numFmtId="165" fontId="5" fillId="0" borderId="0" xfId="1" applyNumberFormat="1" applyFont="1" applyFill="1" applyAlignment="1"/>
    <xf numFmtId="166" fontId="2" fillId="0" borderId="0" xfId="1" applyNumberFormat="1" applyFont="1" applyAlignment="1"/>
    <xf numFmtId="0" fontId="5" fillId="0" borderId="2" xfId="0" applyFont="1" applyFill="1" applyBorder="1"/>
    <xf numFmtId="165" fontId="3" fillId="0" borderId="0" xfId="1" applyNumberFormat="1" applyFont="1"/>
    <xf numFmtId="0" fontId="7" fillId="0" borderId="2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8" fillId="0" borderId="0" xfId="0" applyFont="1" applyFill="1"/>
    <xf numFmtId="165" fontId="8" fillId="0" borderId="0" xfId="1" applyNumberFormat="1" applyFont="1" applyFill="1" applyAlignment="1"/>
    <xf numFmtId="165" fontId="8" fillId="0" borderId="0" xfId="1" applyNumberFormat="1" applyFont="1" applyFill="1"/>
    <xf numFmtId="0" fontId="7" fillId="0" borderId="2" xfId="0" applyFont="1" applyFill="1" applyBorder="1" applyAlignment="1">
      <alignment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165" fontId="7" fillId="0" borderId="1" xfId="1" applyNumberFormat="1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65" fontId="7" fillId="0" borderId="0" xfId="1" applyNumberFormat="1" applyFont="1" applyFill="1" applyAlignment="1">
      <alignment horizontal="left" vertical="center"/>
    </xf>
    <xf numFmtId="0" fontId="9" fillId="0" borderId="0" xfId="0" applyFont="1" applyFill="1" applyAlignment="1">
      <alignment horizontal="center"/>
    </xf>
    <xf numFmtId="165" fontId="2" fillId="0" borderId="0" xfId="1" applyNumberFormat="1" applyFont="1"/>
    <xf numFmtId="165" fontId="4" fillId="0" borderId="0" xfId="1" applyNumberFormat="1" applyFont="1"/>
    <xf numFmtId="165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/>
    <xf numFmtId="165" fontId="2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opLeftCell="A4" workbookViewId="0">
      <selection activeCell="E20" sqref="E20"/>
    </sheetView>
  </sheetViews>
  <sheetFormatPr defaultColWidth="8" defaultRowHeight="15" x14ac:dyDescent="0.25"/>
  <cols>
    <col min="1" max="1" width="8" style="28"/>
    <col min="2" max="2" width="84.5703125" style="28" customWidth="1"/>
    <col min="3" max="3" width="20.42578125" style="31" customWidth="1"/>
    <col min="4" max="4" width="20" style="28" customWidth="1"/>
    <col min="5" max="5" width="22.5703125" style="37" customWidth="1"/>
    <col min="6" max="16384" width="8" style="28"/>
  </cols>
  <sheetData>
    <row r="1" spans="1:5" s="57" customFormat="1" ht="14.25" x14ac:dyDescent="0.2">
      <c r="A1" s="61" t="s">
        <v>30</v>
      </c>
      <c r="B1" s="62"/>
      <c r="C1" s="62"/>
      <c r="E1" s="59"/>
    </row>
    <row r="2" spans="1:5" s="57" customFormat="1" ht="14.25" x14ac:dyDescent="0.2">
      <c r="A2" s="57" t="s">
        <v>31</v>
      </c>
      <c r="C2" s="58"/>
      <c r="E2" s="59"/>
    </row>
    <row r="3" spans="1:5" s="27" customFormat="1" ht="22.5" x14ac:dyDescent="0.3">
      <c r="A3" s="68" t="s">
        <v>29</v>
      </c>
      <c r="B3" s="68"/>
      <c r="C3" s="68"/>
      <c r="E3" s="35"/>
    </row>
    <row r="4" spans="1:5" s="27" customFormat="1" ht="20.25" x14ac:dyDescent="0.3">
      <c r="B4" s="38"/>
      <c r="C4" s="38"/>
      <c r="E4" s="35"/>
    </row>
    <row r="5" spans="1:5" s="42" customFormat="1" ht="25.5" customHeight="1" x14ac:dyDescent="0.25">
      <c r="A5" s="40" t="s">
        <v>22</v>
      </c>
      <c r="B5" s="40" t="s">
        <v>23</v>
      </c>
      <c r="C5" s="41" t="s">
        <v>24</v>
      </c>
      <c r="E5" s="43"/>
    </row>
    <row r="6" spans="1:5" s="45" customFormat="1" ht="35.25" customHeight="1" x14ac:dyDescent="0.25">
      <c r="A6" s="44"/>
      <c r="B6" s="60" t="s">
        <v>27</v>
      </c>
      <c r="C6" s="41">
        <f>+SUM(C7:C11)</f>
        <v>1060382583</v>
      </c>
      <c r="E6" s="46"/>
    </row>
    <row r="7" spans="1:5" s="30" customFormat="1" ht="19.5" customHeight="1" x14ac:dyDescent="0.25">
      <c r="A7" s="29">
        <v>1</v>
      </c>
      <c r="B7" s="29" t="s">
        <v>38</v>
      </c>
      <c r="C7" s="32">
        <v>843753492</v>
      </c>
      <c r="E7" s="36"/>
    </row>
    <row r="8" spans="1:5" s="30" customFormat="1" ht="19.5" customHeight="1" x14ac:dyDescent="0.25">
      <c r="A8" s="29">
        <v>2</v>
      </c>
      <c r="B8" s="29" t="s">
        <v>34</v>
      </c>
      <c r="C8" s="32">
        <v>5720000</v>
      </c>
      <c r="E8" s="36"/>
    </row>
    <row r="9" spans="1:5" s="30" customFormat="1" ht="19.5" customHeight="1" x14ac:dyDescent="0.25">
      <c r="A9" s="29">
        <v>3</v>
      </c>
      <c r="B9" s="29" t="s">
        <v>35</v>
      </c>
      <c r="C9" s="32">
        <v>163636364</v>
      </c>
      <c r="E9" s="36"/>
    </row>
    <row r="10" spans="1:5" s="30" customFormat="1" ht="19.5" customHeight="1" x14ac:dyDescent="0.25">
      <c r="A10" s="29">
        <v>4</v>
      </c>
      <c r="B10" s="29" t="s">
        <v>36</v>
      </c>
      <c r="C10" s="32">
        <v>28181818</v>
      </c>
      <c r="E10" s="36"/>
    </row>
    <row r="11" spans="1:5" s="30" customFormat="1" ht="19.5" customHeight="1" x14ac:dyDescent="0.25">
      <c r="A11" s="29">
        <v>5</v>
      </c>
      <c r="B11" s="29" t="s">
        <v>37</v>
      </c>
      <c r="C11" s="32">
        <v>19090909</v>
      </c>
      <c r="E11" s="36"/>
    </row>
    <row r="12" spans="1:5" s="45" customFormat="1" ht="35.25" customHeight="1" x14ac:dyDescent="0.25">
      <c r="A12" s="44"/>
      <c r="B12" s="60" t="s">
        <v>28</v>
      </c>
      <c r="C12" s="41">
        <f>+SUM(C13:C20)</f>
        <v>208218182</v>
      </c>
      <c r="E12" s="36"/>
    </row>
    <row r="13" spans="1:5" s="30" customFormat="1" ht="19.5" customHeight="1" x14ac:dyDescent="0.25">
      <c r="A13" s="29">
        <v>6</v>
      </c>
      <c r="B13" s="29" t="s">
        <v>39</v>
      </c>
      <c r="C13" s="32">
        <v>7260000</v>
      </c>
      <c r="E13" s="36"/>
    </row>
    <row r="14" spans="1:5" s="30" customFormat="1" ht="19.5" customHeight="1" x14ac:dyDescent="0.25">
      <c r="A14" s="29">
        <v>7</v>
      </c>
      <c r="B14" s="49" t="s">
        <v>40</v>
      </c>
      <c r="C14" s="32">
        <v>85454545</v>
      </c>
      <c r="E14" s="36"/>
    </row>
    <row r="15" spans="1:5" s="30" customFormat="1" ht="19.5" customHeight="1" x14ac:dyDescent="0.25">
      <c r="A15" s="29">
        <v>8</v>
      </c>
      <c r="B15" s="49" t="s">
        <v>41</v>
      </c>
      <c r="C15" s="32">
        <v>3181818</v>
      </c>
      <c r="E15" s="36"/>
    </row>
    <row r="16" spans="1:5" s="30" customFormat="1" ht="19.5" customHeight="1" x14ac:dyDescent="0.25">
      <c r="A16" s="29">
        <v>9</v>
      </c>
      <c r="B16" s="49" t="s">
        <v>42</v>
      </c>
      <c r="C16" s="32">
        <v>25500000</v>
      </c>
      <c r="E16" s="36"/>
    </row>
    <row r="17" spans="1:5" s="30" customFormat="1" ht="19.5" customHeight="1" x14ac:dyDescent="0.25">
      <c r="A17" s="29">
        <v>10</v>
      </c>
      <c r="B17" s="49" t="s">
        <v>43</v>
      </c>
      <c r="C17" s="32">
        <v>7479091</v>
      </c>
      <c r="E17" s="36"/>
    </row>
    <row r="18" spans="1:5" s="30" customFormat="1" ht="19.5" customHeight="1" x14ac:dyDescent="0.25">
      <c r="A18" s="29">
        <v>11</v>
      </c>
      <c r="B18" s="49" t="s">
        <v>44</v>
      </c>
      <c r="C18" s="32">
        <v>31785455</v>
      </c>
      <c r="E18" s="36"/>
    </row>
    <row r="19" spans="1:5" s="30" customFormat="1" ht="19.5" customHeight="1" x14ac:dyDescent="0.25">
      <c r="A19" s="29">
        <v>12</v>
      </c>
      <c r="B19" s="49" t="s">
        <v>45</v>
      </c>
      <c r="C19" s="32">
        <v>23290909</v>
      </c>
      <c r="E19" s="36"/>
    </row>
    <row r="20" spans="1:5" s="30" customFormat="1" ht="19.5" customHeight="1" x14ac:dyDescent="0.25">
      <c r="A20" s="29">
        <v>13</v>
      </c>
      <c r="B20" s="49" t="s">
        <v>46</v>
      </c>
      <c r="C20" s="32">
        <v>24266364</v>
      </c>
      <c r="E20" s="36"/>
    </row>
    <row r="21" spans="1:5" s="66" customFormat="1" ht="27.75" customHeight="1" x14ac:dyDescent="0.25">
      <c r="A21" s="63"/>
      <c r="B21" s="64" t="s">
        <v>33</v>
      </c>
      <c r="C21" s="65">
        <f>+SUM(C22:C25)</f>
        <v>372527273</v>
      </c>
      <c r="E21" s="67"/>
    </row>
    <row r="22" spans="1:5" s="30" customFormat="1" ht="19.5" customHeight="1" x14ac:dyDescent="0.25">
      <c r="A22" s="29">
        <v>14</v>
      </c>
      <c r="B22" s="49" t="s">
        <v>47</v>
      </c>
      <c r="C22" s="32">
        <v>283636364</v>
      </c>
      <c r="E22" s="36"/>
    </row>
    <row r="23" spans="1:5" s="30" customFormat="1" ht="19.5" customHeight="1" x14ac:dyDescent="0.25">
      <c r="A23" s="29">
        <v>15</v>
      </c>
      <c r="B23" s="49" t="s">
        <v>48</v>
      </c>
      <c r="C23" s="32">
        <v>9090909</v>
      </c>
      <c r="E23" s="36"/>
    </row>
    <row r="24" spans="1:5" s="30" customFormat="1" ht="19.5" customHeight="1" x14ac:dyDescent="0.25">
      <c r="A24" s="29">
        <v>16</v>
      </c>
      <c r="B24" s="49" t="s">
        <v>49</v>
      </c>
      <c r="C24" s="32">
        <v>59800000</v>
      </c>
      <c r="E24" s="36"/>
    </row>
    <row r="25" spans="1:5" s="30" customFormat="1" ht="19.5" customHeight="1" x14ac:dyDescent="0.25">
      <c r="A25" s="29">
        <v>17</v>
      </c>
      <c r="B25" s="49" t="s">
        <v>50</v>
      </c>
      <c r="C25" s="32">
        <v>20000000</v>
      </c>
      <c r="E25" s="36"/>
    </row>
    <row r="26" spans="1:5" s="42" customFormat="1" ht="19.5" customHeight="1" x14ac:dyDescent="0.25">
      <c r="A26" s="40"/>
      <c r="B26" s="51"/>
      <c r="C26" s="41">
        <f>+C21+C12+C6</f>
        <v>1641128038</v>
      </c>
      <c r="E26" s="43"/>
    </row>
    <row r="27" spans="1:5" s="30" customFormat="1" ht="19.5" customHeight="1" x14ac:dyDescent="0.25">
      <c r="C27" s="47"/>
      <c r="E27" s="36"/>
    </row>
    <row r="28" spans="1:5" s="30" customFormat="1" ht="19.5" customHeight="1" x14ac:dyDescent="0.25">
      <c r="B28" s="52" t="s">
        <v>32</v>
      </c>
      <c r="C28" s="52"/>
      <c r="D28" s="33"/>
      <c r="E28" s="36"/>
    </row>
    <row r="29" spans="1:5" s="30" customFormat="1" ht="19.5" customHeight="1" x14ac:dyDescent="0.25">
      <c r="B29" s="53" t="s">
        <v>25</v>
      </c>
      <c r="C29" s="53"/>
      <c r="D29" s="48"/>
      <c r="E29" s="36"/>
    </row>
    <row r="30" spans="1:5" s="30" customFormat="1" ht="19.5" customHeight="1" x14ac:dyDescent="0.25">
      <c r="B30" s="6"/>
      <c r="C30" s="4"/>
      <c r="D30" s="4"/>
      <c r="E30" s="36"/>
    </row>
    <row r="31" spans="1:5" s="30" customFormat="1" ht="19.5" customHeight="1" x14ac:dyDescent="0.25">
      <c r="B31" s="6"/>
      <c r="C31" s="4"/>
      <c r="D31" s="4"/>
      <c r="E31" s="36"/>
    </row>
    <row r="32" spans="1:5" s="30" customFormat="1" ht="19.5" customHeight="1" x14ac:dyDescent="0.25">
      <c r="B32" s="6"/>
      <c r="C32" s="4"/>
      <c r="D32" s="4"/>
      <c r="E32" s="36"/>
    </row>
    <row r="33" spans="2:5" s="30" customFormat="1" ht="19.5" customHeight="1" x14ac:dyDescent="0.25">
      <c r="B33" s="6"/>
      <c r="C33" s="4"/>
      <c r="D33" s="4"/>
      <c r="E33" s="36"/>
    </row>
    <row r="34" spans="2:5" s="30" customFormat="1" ht="19.5" customHeight="1" x14ac:dyDescent="0.25">
      <c r="B34" s="6"/>
      <c r="C34" s="4"/>
      <c r="D34" s="4"/>
      <c r="E34" s="36"/>
    </row>
    <row r="35" spans="2:5" s="30" customFormat="1" ht="19.5" customHeight="1" x14ac:dyDescent="0.25">
      <c r="B35" s="6"/>
      <c r="C35" s="4"/>
      <c r="D35" s="4"/>
      <c r="E35" s="36"/>
    </row>
    <row r="36" spans="2:5" s="30" customFormat="1" ht="19.5" customHeight="1" x14ac:dyDescent="0.25">
      <c r="B36" s="53" t="s">
        <v>26</v>
      </c>
      <c r="C36" s="53"/>
      <c r="D36" s="48"/>
      <c r="E36" s="36"/>
    </row>
    <row r="37" spans="2:5" s="30" customFormat="1" ht="19.5" customHeight="1" x14ac:dyDescent="0.25">
      <c r="C37" s="47"/>
      <c r="E37" s="36"/>
    </row>
    <row r="38" spans="2:5" s="30" customFormat="1" ht="19.5" customHeight="1" x14ac:dyDescent="0.25">
      <c r="C38" s="47"/>
      <c r="E38" s="36"/>
    </row>
    <row r="39" spans="2:5" s="30" customFormat="1" ht="19.5" customHeight="1" x14ac:dyDescent="0.25">
      <c r="C39" s="47"/>
      <c r="E39" s="36"/>
    </row>
    <row r="40" spans="2:5" s="30" customFormat="1" ht="19.5" customHeight="1" x14ac:dyDescent="0.25">
      <c r="C40" s="47"/>
      <c r="E40" s="36"/>
    </row>
    <row r="41" spans="2:5" s="30" customFormat="1" ht="19.5" customHeight="1" x14ac:dyDescent="0.25">
      <c r="C41" s="47"/>
      <c r="E41" s="36"/>
    </row>
    <row r="42" spans="2:5" ht="19.5" customHeight="1" x14ac:dyDescent="0.25"/>
    <row r="43" spans="2:5" ht="19.5" customHeight="1" x14ac:dyDescent="0.25"/>
    <row r="44" spans="2:5" ht="19.5" customHeight="1" x14ac:dyDescent="0.25"/>
    <row r="45" spans="2:5" ht="19.5" customHeight="1" x14ac:dyDescent="0.25"/>
    <row r="46" spans="2:5" ht="19.5" customHeight="1" x14ac:dyDescent="0.25"/>
    <row r="47" spans="2:5" ht="19.5" customHeight="1" x14ac:dyDescent="0.25"/>
    <row r="48" spans="2:5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</sheetData>
  <mergeCells count="5">
    <mergeCell ref="A1:C1"/>
    <mergeCell ref="A3:C3"/>
    <mergeCell ref="B28:C28"/>
    <mergeCell ref="B29:C29"/>
    <mergeCell ref="B36:C36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0"/>
  <sheetViews>
    <sheetView tabSelected="1" workbookViewId="0">
      <selection activeCell="F23" sqref="F23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4.140625" style="50" customWidth="1"/>
    <col min="10" max="10" width="25.85546875" style="4" customWidth="1"/>
    <col min="11" max="252" width="9.140625" style="4"/>
    <col min="253" max="253" width="28.85546875" style="4" customWidth="1"/>
    <col min="254" max="254" width="11" style="4" customWidth="1"/>
    <col min="255" max="255" width="18.7109375" style="4" customWidth="1"/>
    <col min="256" max="256" width="20.85546875" style="4" customWidth="1"/>
    <col min="257" max="257" width="0" style="4" hidden="1" customWidth="1"/>
    <col min="258" max="258" width="17" style="4" customWidth="1"/>
    <col min="259" max="259" width="15.7109375" style="4" customWidth="1"/>
    <col min="260" max="260" width="6.85546875" style="4" customWidth="1"/>
    <col min="261" max="262" width="15.28515625" style="4" customWidth="1"/>
    <col min="263" max="263" width="18.42578125" style="4" customWidth="1"/>
    <col min="264" max="264" width="0" style="4" hidden="1" customWidth="1"/>
    <col min="265" max="508" width="9.140625" style="4"/>
    <col min="509" max="509" width="28.85546875" style="4" customWidth="1"/>
    <col min="510" max="510" width="11" style="4" customWidth="1"/>
    <col min="511" max="511" width="18.7109375" style="4" customWidth="1"/>
    <col min="512" max="512" width="20.85546875" style="4" customWidth="1"/>
    <col min="513" max="513" width="0" style="4" hidden="1" customWidth="1"/>
    <col min="514" max="514" width="17" style="4" customWidth="1"/>
    <col min="515" max="515" width="15.7109375" style="4" customWidth="1"/>
    <col min="516" max="516" width="6.85546875" style="4" customWidth="1"/>
    <col min="517" max="518" width="15.28515625" style="4" customWidth="1"/>
    <col min="519" max="519" width="18.42578125" style="4" customWidth="1"/>
    <col min="520" max="520" width="0" style="4" hidden="1" customWidth="1"/>
    <col min="521" max="764" width="9.140625" style="4"/>
    <col min="765" max="765" width="28.85546875" style="4" customWidth="1"/>
    <col min="766" max="766" width="11" style="4" customWidth="1"/>
    <col min="767" max="767" width="18.7109375" style="4" customWidth="1"/>
    <col min="768" max="768" width="20.85546875" style="4" customWidth="1"/>
    <col min="769" max="769" width="0" style="4" hidden="1" customWidth="1"/>
    <col min="770" max="770" width="17" style="4" customWidth="1"/>
    <col min="771" max="771" width="15.7109375" style="4" customWidth="1"/>
    <col min="772" max="772" width="6.85546875" style="4" customWidth="1"/>
    <col min="773" max="774" width="15.28515625" style="4" customWidth="1"/>
    <col min="775" max="775" width="18.42578125" style="4" customWidth="1"/>
    <col min="776" max="776" width="0" style="4" hidden="1" customWidth="1"/>
    <col min="777" max="1020" width="9.140625" style="4"/>
    <col min="1021" max="1021" width="28.85546875" style="4" customWidth="1"/>
    <col min="1022" max="1022" width="11" style="4" customWidth="1"/>
    <col min="1023" max="1023" width="18.7109375" style="4" customWidth="1"/>
    <col min="1024" max="1024" width="20.85546875" style="4" customWidth="1"/>
    <col min="1025" max="1025" width="0" style="4" hidden="1" customWidth="1"/>
    <col min="1026" max="1026" width="17" style="4" customWidth="1"/>
    <col min="1027" max="1027" width="15.7109375" style="4" customWidth="1"/>
    <col min="1028" max="1028" width="6.85546875" style="4" customWidth="1"/>
    <col min="1029" max="1030" width="15.28515625" style="4" customWidth="1"/>
    <col min="1031" max="1031" width="18.42578125" style="4" customWidth="1"/>
    <col min="1032" max="1032" width="0" style="4" hidden="1" customWidth="1"/>
    <col min="1033" max="1276" width="9.140625" style="4"/>
    <col min="1277" max="1277" width="28.85546875" style="4" customWidth="1"/>
    <col min="1278" max="1278" width="11" style="4" customWidth="1"/>
    <col min="1279" max="1279" width="18.7109375" style="4" customWidth="1"/>
    <col min="1280" max="1280" width="20.85546875" style="4" customWidth="1"/>
    <col min="1281" max="1281" width="0" style="4" hidden="1" customWidth="1"/>
    <col min="1282" max="1282" width="17" style="4" customWidth="1"/>
    <col min="1283" max="1283" width="15.7109375" style="4" customWidth="1"/>
    <col min="1284" max="1284" width="6.85546875" style="4" customWidth="1"/>
    <col min="1285" max="1286" width="15.28515625" style="4" customWidth="1"/>
    <col min="1287" max="1287" width="18.42578125" style="4" customWidth="1"/>
    <col min="1288" max="1288" width="0" style="4" hidden="1" customWidth="1"/>
    <col min="1289" max="1532" width="9.140625" style="4"/>
    <col min="1533" max="1533" width="28.85546875" style="4" customWidth="1"/>
    <col min="1534" max="1534" width="11" style="4" customWidth="1"/>
    <col min="1535" max="1535" width="18.7109375" style="4" customWidth="1"/>
    <col min="1536" max="1536" width="20.85546875" style="4" customWidth="1"/>
    <col min="1537" max="1537" width="0" style="4" hidden="1" customWidth="1"/>
    <col min="1538" max="1538" width="17" style="4" customWidth="1"/>
    <col min="1539" max="1539" width="15.7109375" style="4" customWidth="1"/>
    <col min="1540" max="1540" width="6.85546875" style="4" customWidth="1"/>
    <col min="1541" max="1542" width="15.28515625" style="4" customWidth="1"/>
    <col min="1543" max="1543" width="18.42578125" style="4" customWidth="1"/>
    <col min="1544" max="1544" width="0" style="4" hidden="1" customWidth="1"/>
    <col min="1545" max="1788" width="9.140625" style="4"/>
    <col min="1789" max="1789" width="28.85546875" style="4" customWidth="1"/>
    <col min="1790" max="1790" width="11" style="4" customWidth="1"/>
    <col min="1791" max="1791" width="18.7109375" style="4" customWidth="1"/>
    <col min="1792" max="1792" width="20.85546875" style="4" customWidth="1"/>
    <col min="1793" max="1793" width="0" style="4" hidden="1" customWidth="1"/>
    <col min="1794" max="1794" width="17" style="4" customWidth="1"/>
    <col min="1795" max="1795" width="15.7109375" style="4" customWidth="1"/>
    <col min="1796" max="1796" width="6.85546875" style="4" customWidth="1"/>
    <col min="1797" max="1798" width="15.28515625" style="4" customWidth="1"/>
    <col min="1799" max="1799" width="18.42578125" style="4" customWidth="1"/>
    <col min="1800" max="1800" width="0" style="4" hidden="1" customWidth="1"/>
    <col min="1801" max="2044" width="9.140625" style="4"/>
    <col min="2045" max="2045" width="28.85546875" style="4" customWidth="1"/>
    <col min="2046" max="2046" width="11" style="4" customWidth="1"/>
    <col min="2047" max="2047" width="18.7109375" style="4" customWidth="1"/>
    <col min="2048" max="2048" width="20.85546875" style="4" customWidth="1"/>
    <col min="2049" max="2049" width="0" style="4" hidden="1" customWidth="1"/>
    <col min="2050" max="2050" width="17" style="4" customWidth="1"/>
    <col min="2051" max="2051" width="15.7109375" style="4" customWidth="1"/>
    <col min="2052" max="2052" width="6.85546875" style="4" customWidth="1"/>
    <col min="2053" max="2054" width="15.28515625" style="4" customWidth="1"/>
    <col min="2055" max="2055" width="18.42578125" style="4" customWidth="1"/>
    <col min="2056" max="2056" width="0" style="4" hidden="1" customWidth="1"/>
    <col min="2057" max="2300" width="9.140625" style="4"/>
    <col min="2301" max="2301" width="28.85546875" style="4" customWidth="1"/>
    <col min="2302" max="2302" width="11" style="4" customWidth="1"/>
    <col min="2303" max="2303" width="18.7109375" style="4" customWidth="1"/>
    <col min="2304" max="2304" width="20.85546875" style="4" customWidth="1"/>
    <col min="2305" max="2305" width="0" style="4" hidden="1" customWidth="1"/>
    <col min="2306" max="2306" width="17" style="4" customWidth="1"/>
    <col min="2307" max="2307" width="15.7109375" style="4" customWidth="1"/>
    <col min="2308" max="2308" width="6.85546875" style="4" customWidth="1"/>
    <col min="2309" max="2310" width="15.28515625" style="4" customWidth="1"/>
    <col min="2311" max="2311" width="18.42578125" style="4" customWidth="1"/>
    <col min="2312" max="2312" width="0" style="4" hidden="1" customWidth="1"/>
    <col min="2313" max="2556" width="9.140625" style="4"/>
    <col min="2557" max="2557" width="28.85546875" style="4" customWidth="1"/>
    <col min="2558" max="2558" width="11" style="4" customWidth="1"/>
    <col min="2559" max="2559" width="18.7109375" style="4" customWidth="1"/>
    <col min="2560" max="2560" width="20.85546875" style="4" customWidth="1"/>
    <col min="2561" max="2561" width="0" style="4" hidden="1" customWidth="1"/>
    <col min="2562" max="2562" width="17" style="4" customWidth="1"/>
    <col min="2563" max="2563" width="15.7109375" style="4" customWidth="1"/>
    <col min="2564" max="2564" width="6.85546875" style="4" customWidth="1"/>
    <col min="2565" max="2566" width="15.28515625" style="4" customWidth="1"/>
    <col min="2567" max="2567" width="18.42578125" style="4" customWidth="1"/>
    <col min="2568" max="2568" width="0" style="4" hidden="1" customWidth="1"/>
    <col min="2569" max="2812" width="9.140625" style="4"/>
    <col min="2813" max="2813" width="28.85546875" style="4" customWidth="1"/>
    <col min="2814" max="2814" width="11" style="4" customWidth="1"/>
    <col min="2815" max="2815" width="18.7109375" style="4" customWidth="1"/>
    <col min="2816" max="2816" width="20.85546875" style="4" customWidth="1"/>
    <col min="2817" max="2817" width="0" style="4" hidden="1" customWidth="1"/>
    <col min="2818" max="2818" width="17" style="4" customWidth="1"/>
    <col min="2819" max="2819" width="15.7109375" style="4" customWidth="1"/>
    <col min="2820" max="2820" width="6.85546875" style="4" customWidth="1"/>
    <col min="2821" max="2822" width="15.28515625" style="4" customWidth="1"/>
    <col min="2823" max="2823" width="18.42578125" style="4" customWidth="1"/>
    <col min="2824" max="2824" width="0" style="4" hidden="1" customWidth="1"/>
    <col min="2825" max="3068" width="9.140625" style="4"/>
    <col min="3069" max="3069" width="28.85546875" style="4" customWidth="1"/>
    <col min="3070" max="3070" width="11" style="4" customWidth="1"/>
    <col min="3071" max="3071" width="18.7109375" style="4" customWidth="1"/>
    <col min="3072" max="3072" width="20.85546875" style="4" customWidth="1"/>
    <col min="3073" max="3073" width="0" style="4" hidden="1" customWidth="1"/>
    <col min="3074" max="3074" width="17" style="4" customWidth="1"/>
    <col min="3075" max="3075" width="15.7109375" style="4" customWidth="1"/>
    <col min="3076" max="3076" width="6.85546875" style="4" customWidth="1"/>
    <col min="3077" max="3078" width="15.28515625" style="4" customWidth="1"/>
    <col min="3079" max="3079" width="18.42578125" style="4" customWidth="1"/>
    <col min="3080" max="3080" width="0" style="4" hidden="1" customWidth="1"/>
    <col min="3081" max="3324" width="9.140625" style="4"/>
    <col min="3325" max="3325" width="28.85546875" style="4" customWidth="1"/>
    <col min="3326" max="3326" width="11" style="4" customWidth="1"/>
    <col min="3327" max="3327" width="18.7109375" style="4" customWidth="1"/>
    <col min="3328" max="3328" width="20.85546875" style="4" customWidth="1"/>
    <col min="3329" max="3329" width="0" style="4" hidden="1" customWidth="1"/>
    <col min="3330" max="3330" width="17" style="4" customWidth="1"/>
    <col min="3331" max="3331" width="15.7109375" style="4" customWidth="1"/>
    <col min="3332" max="3332" width="6.85546875" style="4" customWidth="1"/>
    <col min="3333" max="3334" width="15.28515625" style="4" customWidth="1"/>
    <col min="3335" max="3335" width="18.42578125" style="4" customWidth="1"/>
    <col min="3336" max="3336" width="0" style="4" hidden="1" customWidth="1"/>
    <col min="3337" max="3580" width="9.140625" style="4"/>
    <col min="3581" max="3581" width="28.85546875" style="4" customWidth="1"/>
    <col min="3582" max="3582" width="11" style="4" customWidth="1"/>
    <col min="3583" max="3583" width="18.7109375" style="4" customWidth="1"/>
    <col min="3584" max="3584" width="20.85546875" style="4" customWidth="1"/>
    <col min="3585" max="3585" width="0" style="4" hidden="1" customWidth="1"/>
    <col min="3586" max="3586" width="17" style="4" customWidth="1"/>
    <col min="3587" max="3587" width="15.7109375" style="4" customWidth="1"/>
    <col min="3588" max="3588" width="6.85546875" style="4" customWidth="1"/>
    <col min="3589" max="3590" width="15.28515625" style="4" customWidth="1"/>
    <col min="3591" max="3591" width="18.42578125" style="4" customWidth="1"/>
    <col min="3592" max="3592" width="0" style="4" hidden="1" customWidth="1"/>
    <col min="3593" max="3836" width="9.140625" style="4"/>
    <col min="3837" max="3837" width="28.85546875" style="4" customWidth="1"/>
    <col min="3838" max="3838" width="11" style="4" customWidth="1"/>
    <col min="3839" max="3839" width="18.7109375" style="4" customWidth="1"/>
    <col min="3840" max="3840" width="20.85546875" style="4" customWidth="1"/>
    <col min="3841" max="3841" width="0" style="4" hidden="1" customWidth="1"/>
    <col min="3842" max="3842" width="17" style="4" customWidth="1"/>
    <col min="3843" max="3843" width="15.7109375" style="4" customWidth="1"/>
    <col min="3844" max="3844" width="6.85546875" style="4" customWidth="1"/>
    <col min="3845" max="3846" width="15.28515625" style="4" customWidth="1"/>
    <col min="3847" max="3847" width="18.42578125" style="4" customWidth="1"/>
    <col min="3848" max="3848" width="0" style="4" hidden="1" customWidth="1"/>
    <col min="3849" max="4092" width="9.140625" style="4"/>
    <col min="4093" max="4093" width="28.85546875" style="4" customWidth="1"/>
    <col min="4094" max="4094" width="11" style="4" customWidth="1"/>
    <col min="4095" max="4095" width="18.7109375" style="4" customWidth="1"/>
    <col min="4096" max="4096" width="20.85546875" style="4" customWidth="1"/>
    <col min="4097" max="4097" width="0" style="4" hidden="1" customWidth="1"/>
    <col min="4098" max="4098" width="17" style="4" customWidth="1"/>
    <col min="4099" max="4099" width="15.7109375" style="4" customWidth="1"/>
    <col min="4100" max="4100" width="6.85546875" style="4" customWidth="1"/>
    <col min="4101" max="4102" width="15.28515625" style="4" customWidth="1"/>
    <col min="4103" max="4103" width="18.42578125" style="4" customWidth="1"/>
    <col min="4104" max="4104" width="0" style="4" hidden="1" customWidth="1"/>
    <col min="4105" max="4348" width="9.140625" style="4"/>
    <col min="4349" max="4349" width="28.85546875" style="4" customWidth="1"/>
    <col min="4350" max="4350" width="11" style="4" customWidth="1"/>
    <col min="4351" max="4351" width="18.7109375" style="4" customWidth="1"/>
    <col min="4352" max="4352" width="20.85546875" style="4" customWidth="1"/>
    <col min="4353" max="4353" width="0" style="4" hidden="1" customWidth="1"/>
    <col min="4354" max="4354" width="17" style="4" customWidth="1"/>
    <col min="4355" max="4355" width="15.7109375" style="4" customWidth="1"/>
    <col min="4356" max="4356" width="6.85546875" style="4" customWidth="1"/>
    <col min="4357" max="4358" width="15.28515625" style="4" customWidth="1"/>
    <col min="4359" max="4359" width="18.42578125" style="4" customWidth="1"/>
    <col min="4360" max="4360" width="0" style="4" hidden="1" customWidth="1"/>
    <col min="4361" max="4604" width="9.140625" style="4"/>
    <col min="4605" max="4605" width="28.85546875" style="4" customWidth="1"/>
    <col min="4606" max="4606" width="11" style="4" customWidth="1"/>
    <col min="4607" max="4607" width="18.7109375" style="4" customWidth="1"/>
    <col min="4608" max="4608" width="20.85546875" style="4" customWidth="1"/>
    <col min="4609" max="4609" width="0" style="4" hidden="1" customWidth="1"/>
    <col min="4610" max="4610" width="17" style="4" customWidth="1"/>
    <col min="4611" max="4611" width="15.7109375" style="4" customWidth="1"/>
    <col min="4612" max="4612" width="6.85546875" style="4" customWidth="1"/>
    <col min="4613" max="4614" width="15.28515625" style="4" customWidth="1"/>
    <col min="4615" max="4615" width="18.42578125" style="4" customWidth="1"/>
    <col min="4616" max="4616" width="0" style="4" hidden="1" customWidth="1"/>
    <col min="4617" max="4860" width="9.140625" style="4"/>
    <col min="4861" max="4861" width="28.85546875" style="4" customWidth="1"/>
    <col min="4862" max="4862" width="11" style="4" customWidth="1"/>
    <col min="4863" max="4863" width="18.7109375" style="4" customWidth="1"/>
    <col min="4864" max="4864" width="20.85546875" style="4" customWidth="1"/>
    <col min="4865" max="4865" width="0" style="4" hidden="1" customWidth="1"/>
    <col min="4866" max="4866" width="17" style="4" customWidth="1"/>
    <col min="4867" max="4867" width="15.7109375" style="4" customWidth="1"/>
    <col min="4868" max="4868" width="6.85546875" style="4" customWidth="1"/>
    <col min="4869" max="4870" width="15.28515625" style="4" customWidth="1"/>
    <col min="4871" max="4871" width="18.42578125" style="4" customWidth="1"/>
    <col min="4872" max="4872" width="0" style="4" hidden="1" customWidth="1"/>
    <col min="4873" max="5116" width="9.140625" style="4"/>
    <col min="5117" max="5117" width="28.85546875" style="4" customWidth="1"/>
    <col min="5118" max="5118" width="11" style="4" customWidth="1"/>
    <col min="5119" max="5119" width="18.7109375" style="4" customWidth="1"/>
    <col min="5120" max="5120" width="20.85546875" style="4" customWidth="1"/>
    <col min="5121" max="5121" width="0" style="4" hidden="1" customWidth="1"/>
    <col min="5122" max="5122" width="17" style="4" customWidth="1"/>
    <col min="5123" max="5123" width="15.7109375" style="4" customWidth="1"/>
    <col min="5124" max="5124" width="6.85546875" style="4" customWidth="1"/>
    <col min="5125" max="5126" width="15.28515625" style="4" customWidth="1"/>
    <col min="5127" max="5127" width="18.42578125" style="4" customWidth="1"/>
    <col min="5128" max="5128" width="0" style="4" hidden="1" customWidth="1"/>
    <col min="5129" max="5372" width="9.140625" style="4"/>
    <col min="5373" max="5373" width="28.85546875" style="4" customWidth="1"/>
    <col min="5374" max="5374" width="11" style="4" customWidth="1"/>
    <col min="5375" max="5375" width="18.7109375" style="4" customWidth="1"/>
    <col min="5376" max="5376" width="20.85546875" style="4" customWidth="1"/>
    <col min="5377" max="5377" width="0" style="4" hidden="1" customWidth="1"/>
    <col min="5378" max="5378" width="17" style="4" customWidth="1"/>
    <col min="5379" max="5379" width="15.7109375" style="4" customWidth="1"/>
    <col min="5380" max="5380" width="6.85546875" style="4" customWidth="1"/>
    <col min="5381" max="5382" width="15.28515625" style="4" customWidth="1"/>
    <col min="5383" max="5383" width="18.42578125" style="4" customWidth="1"/>
    <col min="5384" max="5384" width="0" style="4" hidden="1" customWidth="1"/>
    <col min="5385" max="5628" width="9.140625" style="4"/>
    <col min="5629" max="5629" width="28.85546875" style="4" customWidth="1"/>
    <col min="5630" max="5630" width="11" style="4" customWidth="1"/>
    <col min="5631" max="5631" width="18.7109375" style="4" customWidth="1"/>
    <col min="5632" max="5632" width="20.85546875" style="4" customWidth="1"/>
    <col min="5633" max="5633" width="0" style="4" hidden="1" customWidth="1"/>
    <col min="5634" max="5634" width="17" style="4" customWidth="1"/>
    <col min="5635" max="5635" width="15.7109375" style="4" customWidth="1"/>
    <col min="5636" max="5636" width="6.85546875" style="4" customWidth="1"/>
    <col min="5637" max="5638" width="15.28515625" style="4" customWidth="1"/>
    <col min="5639" max="5639" width="18.42578125" style="4" customWidth="1"/>
    <col min="5640" max="5640" width="0" style="4" hidden="1" customWidth="1"/>
    <col min="5641" max="5884" width="9.140625" style="4"/>
    <col min="5885" max="5885" width="28.85546875" style="4" customWidth="1"/>
    <col min="5886" max="5886" width="11" style="4" customWidth="1"/>
    <col min="5887" max="5887" width="18.7109375" style="4" customWidth="1"/>
    <col min="5888" max="5888" width="20.85546875" style="4" customWidth="1"/>
    <col min="5889" max="5889" width="0" style="4" hidden="1" customWidth="1"/>
    <col min="5890" max="5890" width="17" style="4" customWidth="1"/>
    <col min="5891" max="5891" width="15.7109375" style="4" customWidth="1"/>
    <col min="5892" max="5892" width="6.85546875" style="4" customWidth="1"/>
    <col min="5893" max="5894" width="15.28515625" style="4" customWidth="1"/>
    <col min="5895" max="5895" width="18.42578125" style="4" customWidth="1"/>
    <col min="5896" max="5896" width="0" style="4" hidden="1" customWidth="1"/>
    <col min="5897" max="6140" width="9.140625" style="4"/>
    <col min="6141" max="6141" width="28.85546875" style="4" customWidth="1"/>
    <col min="6142" max="6142" width="11" style="4" customWidth="1"/>
    <col min="6143" max="6143" width="18.7109375" style="4" customWidth="1"/>
    <col min="6144" max="6144" width="20.85546875" style="4" customWidth="1"/>
    <col min="6145" max="6145" width="0" style="4" hidden="1" customWidth="1"/>
    <col min="6146" max="6146" width="17" style="4" customWidth="1"/>
    <col min="6147" max="6147" width="15.7109375" style="4" customWidth="1"/>
    <col min="6148" max="6148" width="6.85546875" style="4" customWidth="1"/>
    <col min="6149" max="6150" width="15.28515625" style="4" customWidth="1"/>
    <col min="6151" max="6151" width="18.42578125" style="4" customWidth="1"/>
    <col min="6152" max="6152" width="0" style="4" hidden="1" customWidth="1"/>
    <col min="6153" max="6396" width="9.140625" style="4"/>
    <col min="6397" max="6397" width="28.85546875" style="4" customWidth="1"/>
    <col min="6398" max="6398" width="11" style="4" customWidth="1"/>
    <col min="6399" max="6399" width="18.7109375" style="4" customWidth="1"/>
    <col min="6400" max="6400" width="20.85546875" style="4" customWidth="1"/>
    <col min="6401" max="6401" width="0" style="4" hidden="1" customWidth="1"/>
    <col min="6402" max="6402" width="17" style="4" customWidth="1"/>
    <col min="6403" max="6403" width="15.7109375" style="4" customWidth="1"/>
    <col min="6404" max="6404" width="6.85546875" style="4" customWidth="1"/>
    <col min="6405" max="6406" width="15.28515625" style="4" customWidth="1"/>
    <col min="6407" max="6407" width="18.42578125" style="4" customWidth="1"/>
    <col min="6408" max="6408" width="0" style="4" hidden="1" customWidth="1"/>
    <col min="6409" max="6652" width="9.140625" style="4"/>
    <col min="6653" max="6653" width="28.85546875" style="4" customWidth="1"/>
    <col min="6654" max="6654" width="11" style="4" customWidth="1"/>
    <col min="6655" max="6655" width="18.7109375" style="4" customWidth="1"/>
    <col min="6656" max="6656" width="20.85546875" style="4" customWidth="1"/>
    <col min="6657" max="6657" width="0" style="4" hidden="1" customWidth="1"/>
    <col min="6658" max="6658" width="17" style="4" customWidth="1"/>
    <col min="6659" max="6659" width="15.7109375" style="4" customWidth="1"/>
    <col min="6660" max="6660" width="6.85546875" style="4" customWidth="1"/>
    <col min="6661" max="6662" width="15.28515625" style="4" customWidth="1"/>
    <col min="6663" max="6663" width="18.42578125" style="4" customWidth="1"/>
    <col min="6664" max="6664" width="0" style="4" hidden="1" customWidth="1"/>
    <col min="6665" max="6908" width="9.140625" style="4"/>
    <col min="6909" max="6909" width="28.85546875" style="4" customWidth="1"/>
    <col min="6910" max="6910" width="11" style="4" customWidth="1"/>
    <col min="6911" max="6911" width="18.7109375" style="4" customWidth="1"/>
    <col min="6912" max="6912" width="20.85546875" style="4" customWidth="1"/>
    <col min="6913" max="6913" width="0" style="4" hidden="1" customWidth="1"/>
    <col min="6914" max="6914" width="17" style="4" customWidth="1"/>
    <col min="6915" max="6915" width="15.7109375" style="4" customWidth="1"/>
    <col min="6916" max="6916" width="6.85546875" style="4" customWidth="1"/>
    <col min="6917" max="6918" width="15.28515625" style="4" customWidth="1"/>
    <col min="6919" max="6919" width="18.42578125" style="4" customWidth="1"/>
    <col min="6920" max="6920" width="0" style="4" hidden="1" customWidth="1"/>
    <col min="6921" max="7164" width="9.140625" style="4"/>
    <col min="7165" max="7165" width="28.85546875" style="4" customWidth="1"/>
    <col min="7166" max="7166" width="11" style="4" customWidth="1"/>
    <col min="7167" max="7167" width="18.7109375" style="4" customWidth="1"/>
    <col min="7168" max="7168" width="20.85546875" style="4" customWidth="1"/>
    <col min="7169" max="7169" width="0" style="4" hidden="1" customWidth="1"/>
    <col min="7170" max="7170" width="17" style="4" customWidth="1"/>
    <col min="7171" max="7171" width="15.7109375" style="4" customWidth="1"/>
    <col min="7172" max="7172" width="6.85546875" style="4" customWidth="1"/>
    <col min="7173" max="7174" width="15.28515625" style="4" customWidth="1"/>
    <col min="7175" max="7175" width="18.42578125" style="4" customWidth="1"/>
    <col min="7176" max="7176" width="0" style="4" hidden="1" customWidth="1"/>
    <col min="7177" max="7420" width="9.140625" style="4"/>
    <col min="7421" max="7421" width="28.85546875" style="4" customWidth="1"/>
    <col min="7422" max="7422" width="11" style="4" customWidth="1"/>
    <col min="7423" max="7423" width="18.7109375" style="4" customWidth="1"/>
    <col min="7424" max="7424" width="20.85546875" style="4" customWidth="1"/>
    <col min="7425" max="7425" width="0" style="4" hidden="1" customWidth="1"/>
    <col min="7426" max="7426" width="17" style="4" customWidth="1"/>
    <col min="7427" max="7427" width="15.7109375" style="4" customWidth="1"/>
    <col min="7428" max="7428" width="6.85546875" style="4" customWidth="1"/>
    <col min="7429" max="7430" width="15.28515625" style="4" customWidth="1"/>
    <col min="7431" max="7431" width="18.42578125" style="4" customWidth="1"/>
    <col min="7432" max="7432" width="0" style="4" hidden="1" customWidth="1"/>
    <col min="7433" max="7676" width="9.140625" style="4"/>
    <col min="7677" max="7677" width="28.85546875" style="4" customWidth="1"/>
    <col min="7678" max="7678" width="11" style="4" customWidth="1"/>
    <col min="7679" max="7679" width="18.7109375" style="4" customWidth="1"/>
    <col min="7680" max="7680" width="20.85546875" style="4" customWidth="1"/>
    <col min="7681" max="7681" width="0" style="4" hidden="1" customWidth="1"/>
    <col min="7682" max="7682" width="17" style="4" customWidth="1"/>
    <col min="7683" max="7683" width="15.7109375" style="4" customWidth="1"/>
    <col min="7684" max="7684" width="6.85546875" style="4" customWidth="1"/>
    <col min="7685" max="7686" width="15.28515625" style="4" customWidth="1"/>
    <col min="7687" max="7687" width="18.42578125" style="4" customWidth="1"/>
    <col min="7688" max="7688" width="0" style="4" hidden="1" customWidth="1"/>
    <col min="7689" max="7932" width="9.140625" style="4"/>
    <col min="7933" max="7933" width="28.85546875" style="4" customWidth="1"/>
    <col min="7934" max="7934" width="11" style="4" customWidth="1"/>
    <col min="7935" max="7935" width="18.7109375" style="4" customWidth="1"/>
    <col min="7936" max="7936" width="20.85546875" style="4" customWidth="1"/>
    <col min="7937" max="7937" width="0" style="4" hidden="1" customWidth="1"/>
    <col min="7938" max="7938" width="17" style="4" customWidth="1"/>
    <col min="7939" max="7939" width="15.7109375" style="4" customWidth="1"/>
    <col min="7940" max="7940" width="6.85546875" style="4" customWidth="1"/>
    <col min="7941" max="7942" width="15.28515625" style="4" customWidth="1"/>
    <col min="7943" max="7943" width="18.42578125" style="4" customWidth="1"/>
    <col min="7944" max="7944" width="0" style="4" hidden="1" customWidth="1"/>
    <col min="7945" max="8188" width="9.140625" style="4"/>
    <col min="8189" max="8189" width="28.85546875" style="4" customWidth="1"/>
    <col min="8190" max="8190" width="11" style="4" customWidth="1"/>
    <col min="8191" max="8191" width="18.7109375" style="4" customWidth="1"/>
    <col min="8192" max="8192" width="20.85546875" style="4" customWidth="1"/>
    <col min="8193" max="8193" width="0" style="4" hidden="1" customWidth="1"/>
    <col min="8194" max="8194" width="17" style="4" customWidth="1"/>
    <col min="8195" max="8195" width="15.7109375" style="4" customWidth="1"/>
    <col min="8196" max="8196" width="6.85546875" style="4" customWidth="1"/>
    <col min="8197" max="8198" width="15.28515625" style="4" customWidth="1"/>
    <col min="8199" max="8199" width="18.42578125" style="4" customWidth="1"/>
    <col min="8200" max="8200" width="0" style="4" hidden="1" customWidth="1"/>
    <col min="8201" max="8444" width="9.140625" style="4"/>
    <col min="8445" max="8445" width="28.85546875" style="4" customWidth="1"/>
    <col min="8446" max="8446" width="11" style="4" customWidth="1"/>
    <col min="8447" max="8447" width="18.7109375" style="4" customWidth="1"/>
    <col min="8448" max="8448" width="20.85546875" style="4" customWidth="1"/>
    <col min="8449" max="8449" width="0" style="4" hidden="1" customWidth="1"/>
    <col min="8450" max="8450" width="17" style="4" customWidth="1"/>
    <col min="8451" max="8451" width="15.7109375" style="4" customWidth="1"/>
    <col min="8452" max="8452" width="6.85546875" style="4" customWidth="1"/>
    <col min="8453" max="8454" width="15.28515625" style="4" customWidth="1"/>
    <col min="8455" max="8455" width="18.42578125" style="4" customWidth="1"/>
    <col min="8456" max="8456" width="0" style="4" hidden="1" customWidth="1"/>
    <col min="8457" max="8700" width="9.140625" style="4"/>
    <col min="8701" max="8701" width="28.85546875" style="4" customWidth="1"/>
    <col min="8702" max="8702" width="11" style="4" customWidth="1"/>
    <col min="8703" max="8703" width="18.7109375" style="4" customWidth="1"/>
    <col min="8704" max="8704" width="20.85546875" style="4" customWidth="1"/>
    <col min="8705" max="8705" width="0" style="4" hidden="1" customWidth="1"/>
    <col min="8706" max="8706" width="17" style="4" customWidth="1"/>
    <col min="8707" max="8707" width="15.7109375" style="4" customWidth="1"/>
    <col min="8708" max="8708" width="6.85546875" style="4" customWidth="1"/>
    <col min="8709" max="8710" width="15.28515625" style="4" customWidth="1"/>
    <col min="8711" max="8711" width="18.42578125" style="4" customWidth="1"/>
    <col min="8712" max="8712" width="0" style="4" hidden="1" customWidth="1"/>
    <col min="8713" max="8956" width="9.140625" style="4"/>
    <col min="8957" max="8957" width="28.85546875" style="4" customWidth="1"/>
    <col min="8958" max="8958" width="11" style="4" customWidth="1"/>
    <col min="8959" max="8959" width="18.7109375" style="4" customWidth="1"/>
    <col min="8960" max="8960" width="20.85546875" style="4" customWidth="1"/>
    <col min="8961" max="8961" width="0" style="4" hidden="1" customWidth="1"/>
    <col min="8962" max="8962" width="17" style="4" customWidth="1"/>
    <col min="8963" max="8963" width="15.7109375" style="4" customWidth="1"/>
    <col min="8964" max="8964" width="6.85546875" style="4" customWidth="1"/>
    <col min="8965" max="8966" width="15.28515625" style="4" customWidth="1"/>
    <col min="8967" max="8967" width="18.42578125" style="4" customWidth="1"/>
    <col min="8968" max="8968" width="0" style="4" hidden="1" customWidth="1"/>
    <col min="8969" max="9212" width="9.140625" style="4"/>
    <col min="9213" max="9213" width="28.85546875" style="4" customWidth="1"/>
    <col min="9214" max="9214" width="11" style="4" customWidth="1"/>
    <col min="9215" max="9215" width="18.7109375" style="4" customWidth="1"/>
    <col min="9216" max="9216" width="20.85546875" style="4" customWidth="1"/>
    <col min="9217" max="9217" width="0" style="4" hidden="1" customWidth="1"/>
    <col min="9218" max="9218" width="17" style="4" customWidth="1"/>
    <col min="9219" max="9219" width="15.7109375" style="4" customWidth="1"/>
    <col min="9220" max="9220" width="6.85546875" style="4" customWidth="1"/>
    <col min="9221" max="9222" width="15.28515625" style="4" customWidth="1"/>
    <col min="9223" max="9223" width="18.42578125" style="4" customWidth="1"/>
    <col min="9224" max="9224" width="0" style="4" hidden="1" customWidth="1"/>
    <col min="9225" max="9468" width="9.140625" style="4"/>
    <col min="9469" max="9469" width="28.85546875" style="4" customWidth="1"/>
    <col min="9470" max="9470" width="11" style="4" customWidth="1"/>
    <col min="9471" max="9471" width="18.7109375" style="4" customWidth="1"/>
    <col min="9472" max="9472" width="20.85546875" style="4" customWidth="1"/>
    <col min="9473" max="9473" width="0" style="4" hidden="1" customWidth="1"/>
    <col min="9474" max="9474" width="17" style="4" customWidth="1"/>
    <col min="9475" max="9475" width="15.7109375" style="4" customWidth="1"/>
    <col min="9476" max="9476" width="6.85546875" style="4" customWidth="1"/>
    <col min="9477" max="9478" width="15.28515625" style="4" customWidth="1"/>
    <col min="9479" max="9479" width="18.42578125" style="4" customWidth="1"/>
    <col min="9480" max="9480" width="0" style="4" hidden="1" customWidth="1"/>
    <col min="9481" max="9724" width="9.140625" style="4"/>
    <col min="9725" max="9725" width="28.85546875" style="4" customWidth="1"/>
    <col min="9726" max="9726" width="11" style="4" customWidth="1"/>
    <col min="9727" max="9727" width="18.7109375" style="4" customWidth="1"/>
    <col min="9728" max="9728" width="20.85546875" style="4" customWidth="1"/>
    <col min="9729" max="9729" width="0" style="4" hidden="1" customWidth="1"/>
    <col min="9730" max="9730" width="17" style="4" customWidth="1"/>
    <col min="9731" max="9731" width="15.7109375" style="4" customWidth="1"/>
    <col min="9732" max="9732" width="6.85546875" style="4" customWidth="1"/>
    <col min="9733" max="9734" width="15.28515625" style="4" customWidth="1"/>
    <col min="9735" max="9735" width="18.42578125" style="4" customWidth="1"/>
    <col min="9736" max="9736" width="0" style="4" hidden="1" customWidth="1"/>
    <col min="9737" max="9980" width="9.140625" style="4"/>
    <col min="9981" max="9981" width="28.85546875" style="4" customWidth="1"/>
    <col min="9982" max="9982" width="11" style="4" customWidth="1"/>
    <col min="9983" max="9983" width="18.7109375" style="4" customWidth="1"/>
    <col min="9984" max="9984" width="20.85546875" style="4" customWidth="1"/>
    <col min="9985" max="9985" width="0" style="4" hidden="1" customWidth="1"/>
    <col min="9986" max="9986" width="17" style="4" customWidth="1"/>
    <col min="9987" max="9987" width="15.7109375" style="4" customWidth="1"/>
    <col min="9988" max="9988" width="6.85546875" style="4" customWidth="1"/>
    <col min="9989" max="9990" width="15.28515625" style="4" customWidth="1"/>
    <col min="9991" max="9991" width="18.42578125" style="4" customWidth="1"/>
    <col min="9992" max="9992" width="0" style="4" hidden="1" customWidth="1"/>
    <col min="9993" max="10236" width="9.140625" style="4"/>
    <col min="10237" max="10237" width="28.85546875" style="4" customWidth="1"/>
    <col min="10238" max="10238" width="11" style="4" customWidth="1"/>
    <col min="10239" max="10239" width="18.7109375" style="4" customWidth="1"/>
    <col min="10240" max="10240" width="20.85546875" style="4" customWidth="1"/>
    <col min="10241" max="10241" width="0" style="4" hidden="1" customWidth="1"/>
    <col min="10242" max="10242" width="17" style="4" customWidth="1"/>
    <col min="10243" max="10243" width="15.7109375" style="4" customWidth="1"/>
    <col min="10244" max="10244" width="6.85546875" style="4" customWidth="1"/>
    <col min="10245" max="10246" width="15.28515625" style="4" customWidth="1"/>
    <col min="10247" max="10247" width="18.42578125" style="4" customWidth="1"/>
    <col min="10248" max="10248" width="0" style="4" hidden="1" customWidth="1"/>
    <col min="10249" max="10492" width="9.140625" style="4"/>
    <col min="10493" max="10493" width="28.85546875" style="4" customWidth="1"/>
    <col min="10494" max="10494" width="11" style="4" customWidth="1"/>
    <col min="10495" max="10495" width="18.7109375" style="4" customWidth="1"/>
    <col min="10496" max="10496" width="20.85546875" style="4" customWidth="1"/>
    <col min="10497" max="10497" width="0" style="4" hidden="1" customWidth="1"/>
    <col min="10498" max="10498" width="17" style="4" customWidth="1"/>
    <col min="10499" max="10499" width="15.7109375" style="4" customWidth="1"/>
    <col min="10500" max="10500" width="6.85546875" style="4" customWidth="1"/>
    <col min="10501" max="10502" width="15.28515625" style="4" customWidth="1"/>
    <col min="10503" max="10503" width="18.42578125" style="4" customWidth="1"/>
    <col min="10504" max="10504" width="0" style="4" hidden="1" customWidth="1"/>
    <col min="10505" max="10748" width="9.140625" style="4"/>
    <col min="10749" max="10749" width="28.85546875" style="4" customWidth="1"/>
    <col min="10750" max="10750" width="11" style="4" customWidth="1"/>
    <col min="10751" max="10751" width="18.7109375" style="4" customWidth="1"/>
    <col min="10752" max="10752" width="20.85546875" style="4" customWidth="1"/>
    <col min="10753" max="10753" width="0" style="4" hidden="1" customWidth="1"/>
    <col min="10754" max="10754" width="17" style="4" customWidth="1"/>
    <col min="10755" max="10755" width="15.7109375" style="4" customWidth="1"/>
    <col min="10756" max="10756" width="6.85546875" style="4" customWidth="1"/>
    <col min="10757" max="10758" width="15.28515625" style="4" customWidth="1"/>
    <col min="10759" max="10759" width="18.42578125" style="4" customWidth="1"/>
    <col min="10760" max="10760" width="0" style="4" hidden="1" customWidth="1"/>
    <col min="10761" max="11004" width="9.140625" style="4"/>
    <col min="11005" max="11005" width="28.85546875" style="4" customWidth="1"/>
    <col min="11006" max="11006" width="11" style="4" customWidth="1"/>
    <col min="11007" max="11007" width="18.7109375" style="4" customWidth="1"/>
    <col min="11008" max="11008" width="20.85546875" style="4" customWidth="1"/>
    <col min="11009" max="11009" width="0" style="4" hidden="1" customWidth="1"/>
    <col min="11010" max="11010" width="17" style="4" customWidth="1"/>
    <col min="11011" max="11011" width="15.7109375" style="4" customWidth="1"/>
    <col min="11012" max="11012" width="6.85546875" style="4" customWidth="1"/>
    <col min="11013" max="11014" width="15.28515625" style="4" customWidth="1"/>
    <col min="11015" max="11015" width="18.42578125" style="4" customWidth="1"/>
    <col min="11016" max="11016" width="0" style="4" hidden="1" customWidth="1"/>
    <col min="11017" max="11260" width="9.140625" style="4"/>
    <col min="11261" max="11261" width="28.85546875" style="4" customWidth="1"/>
    <col min="11262" max="11262" width="11" style="4" customWidth="1"/>
    <col min="11263" max="11263" width="18.7109375" style="4" customWidth="1"/>
    <col min="11264" max="11264" width="20.85546875" style="4" customWidth="1"/>
    <col min="11265" max="11265" width="0" style="4" hidden="1" customWidth="1"/>
    <col min="11266" max="11266" width="17" style="4" customWidth="1"/>
    <col min="11267" max="11267" width="15.7109375" style="4" customWidth="1"/>
    <col min="11268" max="11268" width="6.85546875" style="4" customWidth="1"/>
    <col min="11269" max="11270" width="15.28515625" style="4" customWidth="1"/>
    <col min="11271" max="11271" width="18.42578125" style="4" customWidth="1"/>
    <col min="11272" max="11272" width="0" style="4" hidden="1" customWidth="1"/>
    <col min="11273" max="11516" width="9.140625" style="4"/>
    <col min="11517" max="11517" width="28.85546875" style="4" customWidth="1"/>
    <col min="11518" max="11518" width="11" style="4" customWidth="1"/>
    <col min="11519" max="11519" width="18.7109375" style="4" customWidth="1"/>
    <col min="11520" max="11520" width="20.85546875" style="4" customWidth="1"/>
    <col min="11521" max="11521" width="0" style="4" hidden="1" customWidth="1"/>
    <col min="11522" max="11522" width="17" style="4" customWidth="1"/>
    <col min="11523" max="11523" width="15.7109375" style="4" customWidth="1"/>
    <col min="11524" max="11524" width="6.85546875" style="4" customWidth="1"/>
    <col min="11525" max="11526" width="15.28515625" style="4" customWidth="1"/>
    <col min="11527" max="11527" width="18.42578125" style="4" customWidth="1"/>
    <col min="11528" max="11528" width="0" style="4" hidden="1" customWidth="1"/>
    <col min="11529" max="11772" width="9.140625" style="4"/>
    <col min="11773" max="11773" width="28.85546875" style="4" customWidth="1"/>
    <col min="11774" max="11774" width="11" style="4" customWidth="1"/>
    <col min="11775" max="11775" width="18.7109375" style="4" customWidth="1"/>
    <col min="11776" max="11776" width="20.85546875" style="4" customWidth="1"/>
    <col min="11777" max="11777" width="0" style="4" hidden="1" customWidth="1"/>
    <col min="11778" max="11778" width="17" style="4" customWidth="1"/>
    <col min="11779" max="11779" width="15.7109375" style="4" customWidth="1"/>
    <col min="11780" max="11780" width="6.85546875" style="4" customWidth="1"/>
    <col min="11781" max="11782" width="15.28515625" style="4" customWidth="1"/>
    <col min="11783" max="11783" width="18.42578125" style="4" customWidth="1"/>
    <col min="11784" max="11784" width="0" style="4" hidden="1" customWidth="1"/>
    <col min="11785" max="12028" width="9.140625" style="4"/>
    <col min="12029" max="12029" width="28.85546875" style="4" customWidth="1"/>
    <col min="12030" max="12030" width="11" style="4" customWidth="1"/>
    <col min="12031" max="12031" width="18.7109375" style="4" customWidth="1"/>
    <col min="12032" max="12032" width="20.85546875" style="4" customWidth="1"/>
    <col min="12033" max="12033" width="0" style="4" hidden="1" customWidth="1"/>
    <col min="12034" max="12034" width="17" style="4" customWidth="1"/>
    <col min="12035" max="12035" width="15.7109375" style="4" customWidth="1"/>
    <col min="12036" max="12036" width="6.85546875" style="4" customWidth="1"/>
    <col min="12037" max="12038" width="15.28515625" style="4" customWidth="1"/>
    <col min="12039" max="12039" width="18.42578125" style="4" customWidth="1"/>
    <col min="12040" max="12040" width="0" style="4" hidden="1" customWidth="1"/>
    <col min="12041" max="12284" width="9.140625" style="4"/>
    <col min="12285" max="12285" width="28.85546875" style="4" customWidth="1"/>
    <col min="12286" max="12286" width="11" style="4" customWidth="1"/>
    <col min="12287" max="12287" width="18.7109375" style="4" customWidth="1"/>
    <col min="12288" max="12288" width="20.85546875" style="4" customWidth="1"/>
    <col min="12289" max="12289" width="0" style="4" hidden="1" customWidth="1"/>
    <col min="12290" max="12290" width="17" style="4" customWidth="1"/>
    <col min="12291" max="12291" width="15.7109375" style="4" customWidth="1"/>
    <col min="12292" max="12292" width="6.85546875" style="4" customWidth="1"/>
    <col min="12293" max="12294" width="15.28515625" style="4" customWidth="1"/>
    <col min="12295" max="12295" width="18.42578125" style="4" customWidth="1"/>
    <col min="12296" max="12296" width="0" style="4" hidden="1" customWidth="1"/>
    <col min="12297" max="12540" width="9.140625" style="4"/>
    <col min="12541" max="12541" width="28.85546875" style="4" customWidth="1"/>
    <col min="12542" max="12542" width="11" style="4" customWidth="1"/>
    <col min="12543" max="12543" width="18.7109375" style="4" customWidth="1"/>
    <col min="12544" max="12544" width="20.85546875" style="4" customWidth="1"/>
    <col min="12545" max="12545" width="0" style="4" hidden="1" customWidth="1"/>
    <col min="12546" max="12546" width="17" style="4" customWidth="1"/>
    <col min="12547" max="12547" width="15.7109375" style="4" customWidth="1"/>
    <col min="12548" max="12548" width="6.85546875" style="4" customWidth="1"/>
    <col min="12549" max="12550" width="15.28515625" style="4" customWidth="1"/>
    <col min="12551" max="12551" width="18.42578125" style="4" customWidth="1"/>
    <col min="12552" max="12552" width="0" style="4" hidden="1" customWidth="1"/>
    <col min="12553" max="12796" width="9.140625" style="4"/>
    <col min="12797" max="12797" width="28.85546875" style="4" customWidth="1"/>
    <col min="12798" max="12798" width="11" style="4" customWidth="1"/>
    <col min="12799" max="12799" width="18.7109375" style="4" customWidth="1"/>
    <col min="12800" max="12800" width="20.85546875" style="4" customWidth="1"/>
    <col min="12801" max="12801" width="0" style="4" hidden="1" customWidth="1"/>
    <col min="12802" max="12802" width="17" style="4" customWidth="1"/>
    <col min="12803" max="12803" width="15.7109375" style="4" customWidth="1"/>
    <col min="12804" max="12804" width="6.85546875" style="4" customWidth="1"/>
    <col min="12805" max="12806" width="15.28515625" style="4" customWidth="1"/>
    <col min="12807" max="12807" width="18.42578125" style="4" customWidth="1"/>
    <col min="12808" max="12808" width="0" style="4" hidden="1" customWidth="1"/>
    <col min="12809" max="13052" width="9.140625" style="4"/>
    <col min="13053" max="13053" width="28.85546875" style="4" customWidth="1"/>
    <col min="13054" max="13054" width="11" style="4" customWidth="1"/>
    <col min="13055" max="13055" width="18.7109375" style="4" customWidth="1"/>
    <col min="13056" max="13056" width="20.85546875" style="4" customWidth="1"/>
    <col min="13057" max="13057" width="0" style="4" hidden="1" customWidth="1"/>
    <col min="13058" max="13058" width="17" style="4" customWidth="1"/>
    <col min="13059" max="13059" width="15.7109375" style="4" customWidth="1"/>
    <col min="13060" max="13060" width="6.85546875" style="4" customWidth="1"/>
    <col min="13061" max="13062" width="15.28515625" style="4" customWidth="1"/>
    <col min="13063" max="13063" width="18.42578125" style="4" customWidth="1"/>
    <col min="13064" max="13064" width="0" style="4" hidden="1" customWidth="1"/>
    <col min="13065" max="13308" width="9.140625" style="4"/>
    <col min="13309" max="13309" width="28.85546875" style="4" customWidth="1"/>
    <col min="13310" max="13310" width="11" style="4" customWidth="1"/>
    <col min="13311" max="13311" width="18.7109375" style="4" customWidth="1"/>
    <col min="13312" max="13312" width="20.85546875" style="4" customWidth="1"/>
    <col min="13313" max="13313" width="0" style="4" hidden="1" customWidth="1"/>
    <col min="13314" max="13314" width="17" style="4" customWidth="1"/>
    <col min="13315" max="13315" width="15.7109375" style="4" customWidth="1"/>
    <col min="13316" max="13316" width="6.85546875" style="4" customWidth="1"/>
    <col min="13317" max="13318" width="15.28515625" style="4" customWidth="1"/>
    <col min="13319" max="13319" width="18.42578125" style="4" customWidth="1"/>
    <col min="13320" max="13320" width="0" style="4" hidden="1" customWidth="1"/>
    <col min="13321" max="13564" width="9.140625" style="4"/>
    <col min="13565" max="13565" width="28.85546875" style="4" customWidth="1"/>
    <col min="13566" max="13566" width="11" style="4" customWidth="1"/>
    <col min="13567" max="13567" width="18.7109375" style="4" customWidth="1"/>
    <col min="13568" max="13568" width="20.85546875" style="4" customWidth="1"/>
    <col min="13569" max="13569" width="0" style="4" hidden="1" customWidth="1"/>
    <col min="13570" max="13570" width="17" style="4" customWidth="1"/>
    <col min="13571" max="13571" width="15.7109375" style="4" customWidth="1"/>
    <col min="13572" max="13572" width="6.85546875" style="4" customWidth="1"/>
    <col min="13573" max="13574" width="15.28515625" style="4" customWidth="1"/>
    <col min="13575" max="13575" width="18.42578125" style="4" customWidth="1"/>
    <col min="13576" max="13576" width="0" style="4" hidden="1" customWidth="1"/>
    <col min="13577" max="13820" width="9.140625" style="4"/>
    <col min="13821" max="13821" width="28.85546875" style="4" customWidth="1"/>
    <col min="13822" max="13822" width="11" style="4" customWidth="1"/>
    <col min="13823" max="13823" width="18.7109375" style="4" customWidth="1"/>
    <col min="13824" max="13824" width="20.85546875" style="4" customWidth="1"/>
    <col min="13825" max="13825" width="0" style="4" hidden="1" customWidth="1"/>
    <col min="13826" max="13826" width="17" style="4" customWidth="1"/>
    <col min="13827" max="13827" width="15.7109375" style="4" customWidth="1"/>
    <col min="13828" max="13828" width="6.85546875" style="4" customWidth="1"/>
    <col min="13829" max="13830" width="15.28515625" style="4" customWidth="1"/>
    <col min="13831" max="13831" width="18.42578125" style="4" customWidth="1"/>
    <col min="13832" max="13832" width="0" style="4" hidden="1" customWidth="1"/>
    <col min="13833" max="14076" width="9.140625" style="4"/>
    <col min="14077" max="14077" width="28.85546875" style="4" customWidth="1"/>
    <col min="14078" max="14078" width="11" style="4" customWidth="1"/>
    <col min="14079" max="14079" width="18.7109375" style="4" customWidth="1"/>
    <col min="14080" max="14080" width="20.85546875" style="4" customWidth="1"/>
    <col min="14081" max="14081" width="0" style="4" hidden="1" customWidth="1"/>
    <col min="14082" max="14082" width="17" style="4" customWidth="1"/>
    <col min="14083" max="14083" width="15.7109375" style="4" customWidth="1"/>
    <col min="14084" max="14084" width="6.85546875" style="4" customWidth="1"/>
    <col min="14085" max="14086" width="15.28515625" style="4" customWidth="1"/>
    <col min="14087" max="14087" width="18.42578125" style="4" customWidth="1"/>
    <col min="14088" max="14088" width="0" style="4" hidden="1" customWidth="1"/>
    <col min="14089" max="14332" width="9.140625" style="4"/>
    <col min="14333" max="14333" width="28.85546875" style="4" customWidth="1"/>
    <col min="14334" max="14334" width="11" style="4" customWidth="1"/>
    <col min="14335" max="14335" width="18.7109375" style="4" customWidth="1"/>
    <col min="14336" max="14336" width="20.85546875" style="4" customWidth="1"/>
    <col min="14337" max="14337" width="0" style="4" hidden="1" customWidth="1"/>
    <col min="14338" max="14338" width="17" style="4" customWidth="1"/>
    <col min="14339" max="14339" width="15.7109375" style="4" customWidth="1"/>
    <col min="14340" max="14340" width="6.85546875" style="4" customWidth="1"/>
    <col min="14341" max="14342" width="15.28515625" style="4" customWidth="1"/>
    <col min="14343" max="14343" width="18.42578125" style="4" customWidth="1"/>
    <col min="14344" max="14344" width="0" style="4" hidden="1" customWidth="1"/>
    <col min="14345" max="14588" width="9.140625" style="4"/>
    <col min="14589" max="14589" width="28.85546875" style="4" customWidth="1"/>
    <col min="14590" max="14590" width="11" style="4" customWidth="1"/>
    <col min="14591" max="14591" width="18.7109375" style="4" customWidth="1"/>
    <col min="14592" max="14592" width="20.85546875" style="4" customWidth="1"/>
    <col min="14593" max="14593" width="0" style="4" hidden="1" customWidth="1"/>
    <col min="14594" max="14594" width="17" style="4" customWidth="1"/>
    <col min="14595" max="14595" width="15.7109375" style="4" customWidth="1"/>
    <col min="14596" max="14596" width="6.85546875" style="4" customWidth="1"/>
    <col min="14597" max="14598" width="15.28515625" style="4" customWidth="1"/>
    <col min="14599" max="14599" width="18.42578125" style="4" customWidth="1"/>
    <col min="14600" max="14600" width="0" style="4" hidden="1" customWidth="1"/>
    <col min="14601" max="14844" width="9.140625" style="4"/>
    <col min="14845" max="14845" width="28.85546875" style="4" customWidth="1"/>
    <col min="14846" max="14846" width="11" style="4" customWidth="1"/>
    <col min="14847" max="14847" width="18.7109375" style="4" customWidth="1"/>
    <col min="14848" max="14848" width="20.85546875" style="4" customWidth="1"/>
    <col min="14849" max="14849" width="0" style="4" hidden="1" customWidth="1"/>
    <col min="14850" max="14850" width="17" style="4" customWidth="1"/>
    <col min="14851" max="14851" width="15.7109375" style="4" customWidth="1"/>
    <col min="14852" max="14852" width="6.85546875" style="4" customWidth="1"/>
    <col min="14853" max="14854" width="15.28515625" style="4" customWidth="1"/>
    <col min="14855" max="14855" width="18.42578125" style="4" customWidth="1"/>
    <col min="14856" max="14856" width="0" style="4" hidden="1" customWidth="1"/>
    <col min="14857" max="15100" width="9.140625" style="4"/>
    <col min="15101" max="15101" width="28.85546875" style="4" customWidth="1"/>
    <col min="15102" max="15102" width="11" style="4" customWidth="1"/>
    <col min="15103" max="15103" width="18.7109375" style="4" customWidth="1"/>
    <col min="15104" max="15104" width="20.85546875" style="4" customWidth="1"/>
    <col min="15105" max="15105" width="0" style="4" hidden="1" customWidth="1"/>
    <col min="15106" max="15106" width="17" style="4" customWidth="1"/>
    <col min="15107" max="15107" width="15.7109375" style="4" customWidth="1"/>
    <col min="15108" max="15108" width="6.85546875" style="4" customWidth="1"/>
    <col min="15109" max="15110" width="15.28515625" style="4" customWidth="1"/>
    <col min="15111" max="15111" width="18.42578125" style="4" customWidth="1"/>
    <col min="15112" max="15112" width="0" style="4" hidden="1" customWidth="1"/>
    <col min="15113" max="15356" width="9.140625" style="4"/>
    <col min="15357" max="15357" width="28.85546875" style="4" customWidth="1"/>
    <col min="15358" max="15358" width="11" style="4" customWidth="1"/>
    <col min="15359" max="15359" width="18.7109375" style="4" customWidth="1"/>
    <col min="15360" max="15360" width="20.85546875" style="4" customWidth="1"/>
    <col min="15361" max="15361" width="0" style="4" hidden="1" customWidth="1"/>
    <col min="15362" max="15362" width="17" style="4" customWidth="1"/>
    <col min="15363" max="15363" width="15.7109375" style="4" customWidth="1"/>
    <col min="15364" max="15364" width="6.85546875" style="4" customWidth="1"/>
    <col min="15365" max="15366" width="15.28515625" style="4" customWidth="1"/>
    <col min="15367" max="15367" width="18.42578125" style="4" customWidth="1"/>
    <col min="15368" max="15368" width="0" style="4" hidden="1" customWidth="1"/>
    <col min="15369" max="15612" width="9.140625" style="4"/>
    <col min="15613" max="15613" width="28.85546875" style="4" customWidth="1"/>
    <col min="15614" max="15614" width="11" style="4" customWidth="1"/>
    <col min="15615" max="15615" width="18.7109375" style="4" customWidth="1"/>
    <col min="15616" max="15616" width="20.85546875" style="4" customWidth="1"/>
    <col min="15617" max="15617" width="0" style="4" hidden="1" customWidth="1"/>
    <col min="15618" max="15618" width="17" style="4" customWidth="1"/>
    <col min="15619" max="15619" width="15.7109375" style="4" customWidth="1"/>
    <col min="15620" max="15620" width="6.85546875" style="4" customWidth="1"/>
    <col min="15621" max="15622" width="15.28515625" style="4" customWidth="1"/>
    <col min="15623" max="15623" width="18.42578125" style="4" customWidth="1"/>
    <col min="15624" max="15624" width="0" style="4" hidden="1" customWidth="1"/>
    <col min="15625" max="15868" width="9.140625" style="4"/>
    <col min="15869" max="15869" width="28.85546875" style="4" customWidth="1"/>
    <col min="15870" max="15870" width="11" style="4" customWidth="1"/>
    <col min="15871" max="15871" width="18.7109375" style="4" customWidth="1"/>
    <col min="15872" max="15872" width="20.85546875" style="4" customWidth="1"/>
    <col min="15873" max="15873" width="0" style="4" hidden="1" customWidth="1"/>
    <col min="15874" max="15874" width="17" style="4" customWidth="1"/>
    <col min="15875" max="15875" width="15.7109375" style="4" customWidth="1"/>
    <col min="15876" max="15876" width="6.85546875" style="4" customWidth="1"/>
    <col min="15877" max="15878" width="15.28515625" style="4" customWidth="1"/>
    <col min="15879" max="15879" width="18.42578125" style="4" customWidth="1"/>
    <col min="15880" max="15880" width="0" style="4" hidden="1" customWidth="1"/>
    <col min="15881" max="16124" width="9.140625" style="4"/>
    <col min="16125" max="16125" width="28.85546875" style="4" customWidth="1"/>
    <col min="16126" max="16126" width="11" style="4" customWidth="1"/>
    <col min="16127" max="16127" width="18.7109375" style="4" customWidth="1"/>
    <col min="16128" max="16128" width="20.85546875" style="4" customWidth="1"/>
    <col min="16129" max="16129" width="0" style="4" hidden="1" customWidth="1"/>
    <col min="16130" max="16130" width="17" style="4" customWidth="1"/>
    <col min="16131" max="16131" width="15.7109375" style="4" customWidth="1"/>
    <col min="16132" max="16132" width="6.85546875" style="4" customWidth="1"/>
    <col min="16133" max="16134" width="15.28515625" style="4" customWidth="1"/>
    <col min="16135" max="16135" width="18.42578125" style="4" customWidth="1"/>
    <col min="16136" max="16136" width="0" style="4" hidden="1" customWidth="1"/>
    <col min="16137" max="16384" width="9.140625" style="4"/>
  </cols>
  <sheetData>
    <row r="1" spans="1:10" s="1" customFormat="1" x14ac:dyDescent="0.25">
      <c r="A1" s="1" t="s">
        <v>16</v>
      </c>
      <c r="B1" s="2"/>
      <c r="C1" s="3"/>
      <c r="E1" s="2"/>
      <c r="F1" s="3"/>
      <c r="I1" s="69"/>
    </row>
    <row r="2" spans="1:10" s="1" customFormat="1" x14ac:dyDescent="0.25">
      <c r="A2" s="1" t="s">
        <v>17</v>
      </c>
      <c r="B2" s="2"/>
      <c r="C2" s="3"/>
      <c r="E2" s="2"/>
      <c r="F2" s="3"/>
      <c r="I2" s="69"/>
    </row>
    <row r="4" spans="1:10" s="8" customFormat="1" ht="20.25" x14ac:dyDescent="0.3">
      <c r="A4" s="54" t="s">
        <v>54</v>
      </c>
      <c r="B4" s="54"/>
      <c r="C4" s="54"/>
      <c r="D4" s="54"/>
      <c r="E4" s="54"/>
      <c r="F4" s="54"/>
      <c r="G4" s="54"/>
      <c r="H4" s="54"/>
      <c r="I4" s="70"/>
    </row>
    <row r="6" spans="1:10" s="13" customFormat="1" x14ac:dyDescent="0.25">
      <c r="A6" s="9" t="s">
        <v>1</v>
      </c>
      <c r="B6" s="10" t="s">
        <v>2</v>
      </c>
      <c r="C6" s="11" t="s">
        <v>0</v>
      </c>
      <c r="D6" s="9" t="s">
        <v>3</v>
      </c>
      <c r="E6" s="10" t="s">
        <v>4</v>
      </c>
      <c r="F6" s="11" t="s">
        <v>5</v>
      </c>
      <c r="G6" s="9" t="s">
        <v>6</v>
      </c>
      <c r="H6" s="9" t="s">
        <v>52</v>
      </c>
      <c r="I6" s="71" t="s">
        <v>51</v>
      </c>
      <c r="J6" s="9" t="s">
        <v>53</v>
      </c>
    </row>
    <row r="7" spans="1:10" s="1" customFormat="1" x14ac:dyDescent="0.25">
      <c r="A7" s="14" t="s">
        <v>8</v>
      </c>
      <c r="B7" s="15">
        <f>C7/C15</f>
        <v>0.22698966144916552</v>
      </c>
      <c r="C7" s="16">
        <f>+C8</f>
        <v>372527273</v>
      </c>
      <c r="D7" s="17">
        <f>+B7*D15</f>
        <v>14522150.484034173</v>
      </c>
      <c r="E7" s="18">
        <v>0.2</v>
      </c>
      <c r="F7" s="16">
        <f>+E7*D7</f>
        <v>2904430.0968068349</v>
      </c>
      <c r="G7" s="19">
        <v>0</v>
      </c>
      <c r="H7" s="17">
        <f>+F7-G7</f>
        <v>2904430.0968068349</v>
      </c>
      <c r="I7" s="72">
        <f>+H7*0.3</f>
        <v>871329.02904205048</v>
      </c>
      <c r="J7" s="73">
        <f>+H7-I7</f>
        <v>2033101.0677647844</v>
      </c>
    </row>
    <row r="8" spans="1:10" x14ac:dyDescent="0.25">
      <c r="A8" s="20">
        <v>5112</v>
      </c>
      <c r="B8" s="21"/>
      <c r="C8" s="22">
        <f>+'BANG KE DOANH THU CT 2019'!C21</f>
        <v>372527273</v>
      </c>
      <c r="D8" s="20"/>
      <c r="E8" s="23"/>
      <c r="F8" s="22"/>
      <c r="G8" s="20"/>
      <c r="H8" s="20"/>
      <c r="I8" s="72">
        <f t="shared" ref="I8:I14" si="0">+H8*0.3</f>
        <v>0</v>
      </c>
      <c r="J8" s="73">
        <f t="shared" ref="J8:J14" si="1">+H8-I8</f>
        <v>0</v>
      </c>
    </row>
    <row r="9" spans="1:10" s="1" customFormat="1" x14ac:dyDescent="0.25">
      <c r="A9" s="24" t="s">
        <v>9</v>
      </c>
      <c r="B9" s="15">
        <f>C9/C15</f>
        <v>0.12687225356448126</v>
      </c>
      <c r="C9" s="16">
        <f>+C10</f>
        <v>208218182</v>
      </c>
      <c r="D9" s="17">
        <f>+B9*D15</f>
        <v>8116924.5627715839</v>
      </c>
      <c r="E9" s="18">
        <v>0.17</v>
      </c>
      <c r="F9" s="16">
        <f>D9*E9</f>
        <v>1379877.1756711693</v>
      </c>
      <c r="G9" s="17">
        <f>+F9/2</f>
        <v>689938.58783558465</v>
      </c>
      <c r="H9" s="17">
        <f>+F9-G9</f>
        <v>689938.58783558465</v>
      </c>
      <c r="I9" s="72">
        <f t="shared" si="0"/>
        <v>206981.5763506754</v>
      </c>
      <c r="J9" s="73">
        <f t="shared" si="1"/>
        <v>482957.01148490922</v>
      </c>
    </row>
    <row r="10" spans="1:10" x14ac:dyDescent="0.25">
      <c r="A10" s="20">
        <v>5112</v>
      </c>
      <c r="B10" s="21"/>
      <c r="C10" s="22">
        <f>+'BANG KE DOANH THU CT 2019'!C12</f>
        <v>208218182</v>
      </c>
      <c r="D10" s="20"/>
      <c r="E10" s="23"/>
      <c r="F10" s="22"/>
      <c r="G10" s="20"/>
      <c r="H10" s="20"/>
      <c r="I10" s="72">
        <f t="shared" si="0"/>
        <v>0</v>
      </c>
      <c r="J10" s="73">
        <f t="shared" si="1"/>
        <v>0</v>
      </c>
    </row>
    <row r="11" spans="1:10" s="1" customFormat="1" x14ac:dyDescent="0.25">
      <c r="A11" s="25" t="s">
        <v>10</v>
      </c>
      <c r="B11" s="15">
        <f>C11/C15</f>
        <v>0.64613808498635328</v>
      </c>
      <c r="C11" s="16">
        <f>+C12+C13+C14</f>
        <v>1060418599</v>
      </c>
      <c r="D11" s="17">
        <f>+B11*D15</f>
        <v>41338069.953194246</v>
      </c>
      <c r="E11" s="18">
        <v>0.1</v>
      </c>
      <c r="F11" s="16">
        <f>+E11*D11</f>
        <v>4133806.9953194247</v>
      </c>
      <c r="G11" s="17">
        <f>+F11*0.5</f>
        <v>2066903.4976597123</v>
      </c>
      <c r="H11" s="17">
        <f>+F11-G11</f>
        <v>2066903.4976597123</v>
      </c>
      <c r="I11" s="72">
        <f t="shared" si="0"/>
        <v>620071.04929791368</v>
      </c>
      <c r="J11" s="73">
        <f t="shared" si="1"/>
        <v>1446832.4483617987</v>
      </c>
    </row>
    <row r="12" spans="1:10" x14ac:dyDescent="0.25">
      <c r="A12" s="20">
        <v>5112</v>
      </c>
      <c r="B12" s="21"/>
      <c r="C12" s="22">
        <f>+'BANG KE DOANH THU CT 2019'!C6</f>
        <v>1060382583</v>
      </c>
      <c r="D12" s="20"/>
      <c r="E12" s="23"/>
      <c r="F12" s="22"/>
      <c r="G12" s="20"/>
      <c r="H12" s="20"/>
      <c r="I12" s="72">
        <f t="shared" si="0"/>
        <v>0</v>
      </c>
      <c r="J12" s="73">
        <f t="shared" si="1"/>
        <v>0</v>
      </c>
    </row>
    <row r="13" spans="1:10" x14ac:dyDescent="0.25">
      <c r="A13" s="20">
        <v>5111</v>
      </c>
      <c r="B13" s="21"/>
      <c r="C13" s="22"/>
      <c r="D13" s="20"/>
      <c r="E13" s="23"/>
      <c r="F13" s="22"/>
      <c r="G13" s="20"/>
      <c r="H13" s="20"/>
      <c r="I13" s="72">
        <f t="shared" si="0"/>
        <v>0</v>
      </c>
      <c r="J13" s="73">
        <f t="shared" si="1"/>
        <v>0</v>
      </c>
    </row>
    <row r="14" spans="1:10" x14ac:dyDescent="0.25">
      <c r="A14" s="20">
        <v>5151</v>
      </c>
      <c r="B14" s="21"/>
      <c r="C14" s="22">
        <v>36016</v>
      </c>
      <c r="D14" s="20"/>
      <c r="E14" s="23"/>
      <c r="F14" s="22"/>
      <c r="G14" s="20"/>
      <c r="H14" s="20"/>
      <c r="I14" s="72">
        <f t="shared" si="0"/>
        <v>0</v>
      </c>
      <c r="J14" s="73">
        <f t="shared" si="1"/>
        <v>0</v>
      </c>
    </row>
    <row r="15" spans="1:10" s="1" customFormat="1" x14ac:dyDescent="0.25">
      <c r="A15" s="19" t="s">
        <v>11</v>
      </c>
      <c r="B15" s="15"/>
      <c r="C15" s="16">
        <f>+C7+C9+C11</f>
        <v>1641164054</v>
      </c>
      <c r="D15" s="16">
        <v>63977145</v>
      </c>
      <c r="E15" s="16"/>
      <c r="F15" s="16">
        <f>F11+F9+F7</f>
        <v>8418114.2677974291</v>
      </c>
      <c r="G15" s="16">
        <f>G11+G9+G7</f>
        <v>2756842.0854952969</v>
      </c>
      <c r="H15" s="16">
        <f>H11+H9+H7</f>
        <v>5661272.1823021322</v>
      </c>
      <c r="I15" s="16">
        <f t="shared" ref="I15:J15" si="2">I11+I9+I7</f>
        <v>1698381.6546906396</v>
      </c>
      <c r="J15" s="16">
        <f t="shared" si="2"/>
        <v>3962890.5276114922</v>
      </c>
    </row>
    <row r="16" spans="1:10" hidden="1" x14ac:dyDescent="0.25">
      <c r="D16" s="26" t="e">
        <f>+C15-#REF!-#REF!-#REF!</f>
        <v>#REF!</v>
      </c>
    </row>
    <row r="17" spans="1:10" hidden="1" x14ac:dyDescent="0.25">
      <c r="C17" s="6">
        <v>10793007946</v>
      </c>
      <c r="D17" s="6">
        <v>720227155</v>
      </c>
      <c r="G17" s="4">
        <v>74441349</v>
      </c>
    </row>
    <row r="18" spans="1:10" hidden="1" x14ac:dyDescent="0.25">
      <c r="C18" s="6">
        <v>454939007</v>
      </c>
      <c r="D18" s="26">
        <f>D17-D15</f>
        <v>656250010</v>
      </c>
      <c r="G18" s="26">
        <f>+G17-H15</f>
        <v>68780076.817697868</v>
      </c>
    </row>
    <row r="19" spans="1:10" hidden="1" x14ac:dyDescent="0.25">
      <c r="C19" s="6">
        <v>781954</v>
      </c>
      <c r="F19" s="6">
        <v>54680132</v>
      </c>
    </row>
    <row r="20" spans="1:10" hidden="1" x14ac:dyDescent="0.25">
      <c r="C20" s="6">
        <f>+C19+C18+C17</f>
        <v>11248728907</v>
      </c>
      <c r="D20" s="6"/>
      <c r="F20" s="6">
        <f>+F19-F7</f>
        <v>51775701.903193168</v>
      </c>
    </row>
    <row r="21" spans="1:10" ht="29.25" customHeight="1" x14ac:dyDescent="0.25">
      <c r="D21" s="26"/>
      <c r="E21" s="33"/>
      <c r="F21" s="56" t="s">
        <v>32</v>
      </c>
      <c r="G21" s="56"/>
      <c r="H21" s="56"/>
    </row>
    <row r="22" spans="1:10" x14ac:dyDescent="0.25">
      <c r="A22" s="55" t="s">
        <v>12</v>
      </c>
      <c r="B22" s="55"/>
      <c r="C22" s="6" t="s">
        <v>18</v>
      </c>
      <c r="D22" s="26">
        <f>+D15*0.2</f>
        <v>12795429</v>
      </c>
      <c r="F22" s="53" t="s">
        <v>13</v>
      </c>
      <c r="G22" s="53"/>
      <c r="H22" s="53"/>
      <c r="J22" s="50">
        <f>+G15+I15</f>
        <v>4455223.7401859369</v>
      </c>
    </row>
    <row r="23" spans="1:10" x14ac:dyDescent="0.25">
      <c r="C23" s="6" t="s">
        <v>19</v>
      </c>
      <c r="D23" s="6">
        <f>+D22-F15</f>
        <v>4377314.7322025709</v>
      </c>
    </row>
    <row r="24" spans="1:10" x14ac:dyDescent="0.25">
      <c r="D24" s="6"/>
    </row>
    <row r="25" spans="1:10" x14ac:dyDescent="0.25">
      <c r="D25" s="6"/>
    </row>
    <row r="26" spans="1:10" x14ac:dyDescent="0.25">
      <c r="D26" s="6"/>
    </row>
    <row r="27" spans="1:10" x14ac:dyDescent="0.25">
      <c r="D27" s="50"/>
    </row>
    <row r="28" spans="1:10" x14ac:dyDescent="0.25">
      <c r="D28" s="6"/>
    </row>
    <row r="29" spans="1:10" s="1" customFormat="1" x14ac:dyDescent="0.25">
      <c r="B29" s="2"/>
      <c r="C29" s="3"/>
      <c r="D29" s="3"/>
      <c r="E29" s="2"/>
      <c r="F29" s="53" t="s">
        <v>20</v>
      </c>
      <c r="G29" s="53"/>
      <c r="H29" s="53"/>
      <c r="I29" s="69"/>
    </row>
    <row r="30" spans="1:10" x14ac:dyDescent="0.25">
      <c r="D30" s="26"/>
    </row>
  </sheetData>
  <mergeCells count="5">
    <mergeCell ref="A4:H4"/>
    <mergeCell ref="A22:B22"/>
    <mergeCell ref="F29:H29"/>
    <mergeCell ref="F22:H22"/>
    <mergeCell ref="F21:H2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C10" sqref="C10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ht="15" customHeight="1" x14ac:dyDescent="0.25">
      <c r="A1" s="1" t="s">
        <v>16</v>
      </c>
      <c r="B1" s="2"/>
      <c r="C1" s="3"/>
      <c r="E1" s="2"/>
      <c r="F1" s="3"/>
      <c r="I1" s="3"/>
    </row>
    <row r="2" spans="1:9" s="1" customFormat="1" ht="15" customHeight="1" x14ac:dyDescent="0.25">
      <c r="A2" s="1" t="s">
        <v>17</v>
      </c>
      <c r="B2" s="2"/>
      <c r="C2" s="3"/>
      <c r="E2" s="2"/>
      <c r="F2" s="3"/>
      <c r="I2" s="3"/>
    </row>
    <row r="4" spans="1:9" s="8" customFormat="1" ht="15" customHeight="1" x14ac:dyDescent="0.3">
      <c r="A4" s="54" t="s">
        <v>14</v>
      </c>
      <c r="B4" s="54"/>
      <c r="C4" s="54"/>
      <c r="D4" s="54"/>
      <c r="E4" s="54"/>
      <c r="F4" s="54"/>
      <c r="G4" s="54"/>
      <c r="H4" s="54"/>
      <c r="I4" s="7">
        <f>+D7-I5</f>
        <v>-57371177.777777776</v>
      </c>
    </row>
    <row r="5" spans="1:9" ht="15" customHeight="1" x14ac:dyDescent="0.25">
      <c r="I5" s="6">
        <f>+I7/I6</f>
        <v>57371177.777777776</v>
      </c>
    </row>
    <row r="6" spans="1:9" s="34" customFormat="1" ht="15" customHeight="1" x14ac:dyDescent="0.25">
      <c r="A6" s="9" t="s">
        <v>1</v>
      </c>
      <c r="B6" s="10" t="s">
        <v>2</v>
      </c>
      <c r="C6" s="11" t="s">
        <v>0</v>
      </c>
      <c r="D6" s="9" t="s">
        <v>3</v>
      </c>
      <c r="E6" s="10" t="s">
        <v>4</v>
      </c>
      <c r="F6" s="11" t="s">
        <v>5</v>
      </c>
      <c r="G6" s="9" t="s">
        <v>6</v>
      </c>
      <c r="H6" s="9" t="s">
        <v>7</v>
      </c>
      <c r="I6" s="12">
        <v>0.22500000000000001</v>
      </c>
    </row>
    <row r="7" spans="1:9" s="1" customFormat="1" ht="15" customHeight="1" x14ac:dyDescent="0.25">
      <c r="A7" s="14" t="s">
        <v>8</v>
      </c>
      <c r="B7" s="15">
        <f>C7/C15</f>
        <v>0</v>
      </c>
      <c r="C7" s="16">
        <f>+C8</f>
        <v>0</v>
      </c>
      <c r="D7" s="17">
        <f>+B7*D15</f>
        <v>0</v>
      </c>
      <c r="E7" s="18">
        <v>0.2</v>
      </c>
      <c r="F7" s="16">
        <f>+E7*D7</f>
        <v>0</v>
      </c>
      <c r="G7" s="19">
        <v>0</v>
      </c>
      <c r="H7" s="17">
        <f>+F7-G7</f>
        <v>0</v>
      </c>
      <c r="I7" s="3">
        <v>12908515</v>
      </c>
    </row>
    <row r="8" spans="1:9" ht="15" customHeight="1" x14ac:dyDescent="0.25">
      <c r="A8" s="20">
        <v>5112</v>
      </c>
      <c r="B8" s="21"/>
      <c r="C8" s="22">
        <v>0</v>
      </c>
      <c r="D8" s="20"/>
      <c r="E8" s="23"/>
      <c r="F8" s="22"/>
      <c r="G8" s="20"/>
      <c r="H8" s="20"/>
    </row>
    <row r="9" spans="1:9" s="1" customFormat="1" ht="15" customHeight="1" x14ac:dyDescent="0.25">
      <c r="A9" s="24" t="s">
        <v>9</v>
      </c>
      <c r="B9" s="15">
        <f>C9/C15</f>
        <v>0.10314796690877327</v>
      </c>
      <c r="C9" s="16">
        <f>+C10</f>
        <v>208218182</v>
      </c>
      <c r="D9" s="17">
        <f>+B9*D15</f>
        <v>5205852.721781861</v>
      </c>
      <c r="E9" s="18">
        <v>0.17</v>
      </c>
      <c r="F9" s="16">
        <f>D9*E9</f>
        <v>884994.96270291647</v>
      </c>
      <c r="G9" s="17">
        <f>+F9/2</f>
        <v>442497.48135145823</v>
      </c>
      <c r="H9" s="17">
        <f>+F9-G9</f>
        <v>442497.48135145823</v>
      </c>
      <c r="I9" s="3"/>
    </row>
    <row r="10" spans="1:9" ht="15" customHeight="1" x14ac:dyDescent="0.25">
      <c r="A10" s="20">
        <v>5112</v>
      </c>
      <c r="B10" s="21"/>
      <c r="C10" s="22">
        <f>+'BANG KE DOANH THU CT 2019'!C12</f>
        <v>208218182</v>
      </c>
      <c r="D10" s="20"/>
      <c r="E10" s="23"/>
      <c r="F10" s="22"/>
      <c r="G10" s="20"/>
      <c r="H10" s="20"/>
    </row>
    <row r="11" spans="1:9" s="1" customFormat="1" ht="15" customHeight="1" x14ac:dyDescent="0.25">
      <c r="A11" s="25" t="s">
        <v>10</v>
      </c>
      <c r="B11" s="15">
        <f>C11/C15</f>
        <v>0.89685203309122674</v>
      </c>
      <c r="C11" s="16">
        <f>+C12+C13+C14</f>
        <v>1810417650</v>
      </c>
      <c r="D11" s="17">
        <f>+B11*D15</f>
        <v>45263903.278218143</v>
      </c>
      <c r="E11" s="18">
        <v>0.1</v>
      </c>
      <c r="F11" s="16">
        <f>+E11*D11</f>
        <v>4526390.3278218145</v>
      </c>
      <c r="G11" s="17">
        <f>+F11</f>
        <v>4526390.3278218145</v>
      </c>
      <c r="H11" s="17">
        <f>+F11-G11</f>
        <v>0</v>
      </c>
      <c r="I11" s="3"/>
    </row>
    <row r="12" spans="1:9" ht="15" customHeight="1" x14ac:dyDescent="0.25">
      <c r="A12" s="20">
        <v>5112</v>
      </c>
      <c r="B12" s="21"/>
      <c r="C12" s="22">
        <f>+'BANG KE DOANH THU CT 2019'!C6</f>
        <v>1060382583</v>
      </c>
      <c r="D12" s="20"/>
      <c r="E12" s="23"/>
      <c r="F12" s="22"/>
      <c r="G12" s="20"/>
      <c r="H12" s="20"/>
    </row>
    <row r="13" spans="1:9" ht="15" customHeight="1" x14ac:dyDescent="0.25">
      <c r="A13" s="20">
        <v>5111</v>
      </c>
      <c r="B13" s="21"/>
      <c r="C13" s="22">
        <f>5693978841-C19</f>
        <v>749992091</v>
      </c>
      <c r="D13" s="20"/>
      <c r="E13" s="23"/>
      <c r="F13" s="22"/>
      <c r="G13" s="20"/>
      <c r="H13" s="20"/>
    </row>
    <row r="14" spans="1:9" ht="15" customHeight="1" x14ac:dyDescent="0.25">
      <c r="A14" s="20">
        <v>5151</v>
      </c>
      <c r="B14" s="21"/>
      <c r="C14" s="22">
        <v>42976</v>
      </c>
      <c r="D14" s="20"/>
      <c r="E14" s="23"/>
      <c r="F14" s="22"/>
      <c r="G14" s="20"/>
      <c r="H14" s="20"/>
    </row>
    <row r="15" spans="1:9" s="1" customFormat="1" ht="15" customHeight="1" x14ac:dyDescent="0.25">
      <c r="A15" s="19" t="s">
        <v>11</v>
      </c>
      <c r="B15" s="15"/>
      <c r="C15" s="16">
        <f>+C7+C9+C11</f>
        <v>2018635832</v>
      </c>
      <c r="D15" s="16">
        <v>50469756</v>
      </c>
      <c r="E15" s="16"/>
      <c r="F15" s="16">
        <f>F11+F9+F7</f>
        <v>5411385.2905247305</v>
      </c>
      <c r="G15" s="16">
        <f>G11+G9+G7</f>
        <v>4968887.8091732729</v>
      </c>
      <c r="H15" s="16">
        <f>H11+H9+H7</f>
        <v>442497.48135145823</v>
      </c>
      <c r="I15" s="3"/>
    </row>
    <row r="16" spans="1:9" ht="15" customHeight="1" x14ac:dyDescent="0.25">
      <c r="D16" s="26"/>
      <c r="H16" s="26">
        <f>+H15-'TINH THUE TNDN'!H15</f>
        <v>-5218774.7009506738</v>
      </c>
    </row>
    <row r="17" spans="1:9" ht="15" customHeight="1" x14ac:dyDescent="0.25">
      <c r="C17" s="6">
        <v>5438385425</v>
      </c>
      <c r="D17" s="6"/>
    </row>
    <row r="18" spans="1:9" ht="15" customHeight="1" x14ac:dyDescent="0.25">
      <c r="C18" s="6">
        <f>+C17/1.1</f>
        <v>4943986750</v>
      </c>
      <c r="D18" s="26"/>
      <c r="G18" s="26"/>
    </row>
    <row r="19" spans="1:9" ht="15" customHeight="1" x14ac:dyDescent="0.25">
      <c r="B19" s="5" t="s">
        <v>21</v>
      </c>
      <c r="C19" s="6">
        <v>4943986750</v>
      </c>
    </row>
    <row r="20" spans="1:9" ht="15" customHeight="1" x14ac:dyDescent="0.25">
      <c r="D20" s="6"/>
    </row>
    <row r="21" spans="1:9" ht="15" customHeight="1" x14ac:dyDescent="0.25">
      <c r="D21" s="26"/>
      <c r="E21" s="33"/>
      <c r="F21" s="56" t="s">
        <v>15</v>
      </c>
      <c r="G21" s="56"/>
      <c r="H21" s="56"/>
    </row>
    <row r="22" spans="1:9" ht="15" customHeight="1" x14ac:dyDescent="0.25">
      <c r="A22" s="55" t="s">
        <v>12</v>
      </c>
      <c r="B22" s="55"/>
      <c r="C22" s="6" t="s">
        <v>18</v>
      </c>
      <c r="D22" s="26">
        <f>+D15*0.2</f>
        <v>10093951.200000001</v>
      </c>
      <c r="F22" s="53" t="s">
        <v>13</v>
      </c>
      <c r="G22" s="53"/>
      <c r="H22" s="53"/>
    </row>
    <row r="23" spans="1:9" ht="15" customHeight="1" x14ac:dyDescent="0.25">
      <c r="C23" s="6" t="s">
        <v>19</v>
      </c>
      <c r="D23" s="6">
        <f>+D22-F15</f>
        <v>4682565.9094752707</v>
      </c>
    </row>
    <row r="24" spans="1:9" ht="15" customHeight="1" x14ac:dyDescent="0.25">
      <c r="D24" s="6"/>
    </row>
    <row r="25" spans="1:9" ht="15" customHeight="1" x14ac:dyDescent="0.25">
      <c r="D25" s="6">
        <f>+D22-F11-F9</f>
        <v>4682565.9094752707</v>
      </c>
    </row>
    <row r="26" spans="1:9" ht="15" customHeight="1" x14ac:dyDescent="0.25">
      <c r="D26" s="6"/>
    </row>
    <row r="28" spans="1:9" ht="15" customHeight="1" x14ac:dyDescent="0.25">
      <c r="D28" s="6"/>
    </row>
    <row r="29" spans="1:9" s="1" customFormat="1" ht="15" customHeight="1" x14ac:dyDescent="0.25">
      <c r="B29" s="2"/>
      <c r="C29" s="3"/>
      <c r="D29" s="3"/>
      <c r="E29" s="2"/>
      <c r="F29" s="53" t="s">
        <v>20</v>
      </c>
      <c r="G29" s="53"/>
      <c r="H29" s="53"/>
      <c r="I29" s="3"/>
    </row>
    <row r="30" spans="1:9" ht="15" customHeight="1" x14ac:dyDescent="0.25">
      <c r="D30" s="26"/>
    </row>
  </sheetData>
  <mergeCells count="5">
    <mergeCell ref="A4:H4"/>
    <mergeCell ref="F21:H21"/>
    <mergeCell ref="A22:B22"/>
    <mergeCell ref="F22:H22"/>
    <mergeCell ref="F29:H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F17" sqref="F17:H17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A1" s="1" t="s">
        <v>16</v>
      </c>
      <c r="B1" s="2"/>
      <c r="C1" s="3"/>
      <c r="E1" s="2"/>
      <c r="F1" s="3"/>
      <c r="I1" s="3"/>
    </row>
    <row r="2" spans="1:9" s="1" customFormat="1" x14ac:dyDescent="0.25">
      <c r="A2" s="1" t="s">
        <v>17</v>
      </c>
      <c r="B2" s="2"/>
      <c r="C2" s="3"/>
      <c r="E2" s="2"/>
      <c r="F2" s="3"/>
      <c r="I2" s="3"/>
    </row>
    <row r="4" spans="1:9" s="8" customFormat="1" ht="20.25" x14ac:dyDescent="0.3">
      <c r="A4" s="54" t="s">
        <v>14</v>
      </c>
      <c r="B4" s="54"/>
      <c r="C4" s="54"/>
      <c r="D4" s="54"/>
      <c r="E4" s="54"/>
      <c r="F4" s="54"/>
      <c r="G4" s="54"/>
      <c r="H4" s="54"/>
      <c r="I4" s="7">
        <f>+D7-I5</f>
        <v>-57371177.777777776</v>
      </c>
    </row>
    <row r="5" spans="1:9" x14ac:dyDescent="0.25">
      <c r="I5" s="6">
        <f>+I7/I6</f>
        <v>57371177.777777776</v>
      </c>
    </row>
    <row r="6" spans="1:9" s="39" customFormat="1" x14ac:dyDescent="0.25">
      <c r="A6" s="9" t="s">
        <v>1</v>
      </c>
      <c r="B6" s="10" t="s">
        <v>2</v>
      </c>
      <c r="C6" s="11" t="s">
        <v>0</v>
      </c>
      <c r="D6" s="9" t="s">
        <v>3</v>
      </c>
      <c r="E6" s="10" t="s">
        <v>4</v>
      </c>
      <c r="F6" s="11" t="s">
        <v>5</v>
      </c>
      <c r="G6" s="9" t="s">
        <v>6</v>
      </c>
      <c r="H6" s="9" t="s">
        <v>7</v>
      </c>
      <c r="I6" s="12">
        <v>0.22500000000000001</v>
      </c>
    </row>
    <row r="7" spans="1:9" s="1" customFormat="1" x14ac:dyDescent="0.25">
      <c r="A7" s="14" t="s">
        <v>8</v>
      </c>
      <c r="B7" s="15">
        <f>C7/C15</f>
        <v>0</v>
      </c>
      <c r="C7" s="16">
        <f>+C8</f>
        <v>0</v>
      </c>
      <c r="D7" s="17">
        <f>+B7*D15</f>
        <v>0</v>
      </c>
      <c r="E7" s="18">
        <v>0.2</v>
      </c>
      <c r="F7" s="16">
        <f>+E7*D7</f>
        <v>0</v>
      </c>
      <c r="G7" s="19">
        <v>0</v>
      </c>
      <c r="H7" s="17">
        <f>+F7-G7</f>
        <v>0</v>
      </c>
      <c r="I7" s="3">
        <v>12908515</v>
      </c>
    </row>
    <row r="8" spans="1:9" x14ac:dyDescent="0.25">
      <c r="A8" s="20">
        <v>5112</v>
      </c>
      <c r="B8" s="21"/>
      <c r="C8" s="22">
        <v>0</v>
      </c>
      <c r="D8" s="20"/>
      <c r="E8" s="23"/>
      <c r="F8" s="22"/>
      <c r="G8" s="20"/>
      <c r="H8" s="20"/>
    </row>
    <row r="9" spans="1:9" s="1" customFormat="1" x14ac:dyDescent="0.25">
      <c r="A9" s="24" t="s">
        <v>9</v>
      </c>
      <c r="B9" s="15">
        <f>C9/C15</f>
        <v>2.9905136972136398E-2</v>
      </c>
      <c r="C9" s="16">
        <f>+C10</f>
        <v>208218182</v>
      </c>
      <c r="D9" s="17">
        <f>+B9*D15</f>
        <v>1509304.9661303028</v>
      </c>
      <c r="E9" s="18">
        <v>0.17</v>
      </c>
      <c r="F9" s="16">
        <f>D9*E9</f>
        <v>256581.84424215148</v>
      </c>
      <c r="G9" s="17">
        <f>+F9/2</f>
        <v>128290.92212107574</v>
      </c>
      <c r="H9" s="17">
        <f>+F9-G9</f>
        <v>128290.92212107574</v>
      </c>
      <c r="I9" s="3"/>
    </row>
    <row r="10" spans="1:9" x14ac:dyDescent="0.25">
      <c r="A10" s="20">
        <v>5112</v>
      </c>
      <c r="B10" s="21"/>
      <c r="C10" s="22">
        <f>+'BANG KE DOANH THU CT 2019'!C12</f>
        <v>208218182</v>
      </c>
      <c r="D10" s="20"/>
      <c r="E10" s="23"/>
      <c r="F10" s="22"/>
      <c r="G10" s="20"/>
      <c r="H10" s="20"/>
    </row>
    <row r="11" spans="1:9" s="1" customFormat="1" x14ac:dyDescent="0.25">
      <c r="A11" s="25" t="s">
        <v>10</v>
      </c>
      <c r="B11" s="15">
        <f>C11/C15</f>
        <v>0.97009486302786363</v>
      </c>
      <c r="C11" s="16">
        <f>+C12+C13+C14</f>
        <v>6754404400</v>
      </c>
      <c r="D11" s="17">
        <f>+B11*D15</f>
        <v>48960451.033869699</v>
      </c>
      <c r="E11" s="18">
        <v>0.1</v>
      </c>
      <c r="F11" s="16">
        <f>+E11*D11</f>
        <v>4896045.1033869702</v>
      </c>
      <c r="G11" s="17">
        <f>+F11</f>
        <v>4896045.1033869702</v>
      </c>
      <c r="H11" s="17">
        <f>+F11-G11</f>
        <v>0</v>
      </c>
      <c r="I11" s="3"/>
    </row>
    <row r="12" spans="1:9" x14ac:dyDescent="0.25">
      <c r="A12" s="20">
        <v>5112</v>
      </c>
      <c r="B12" s="21"/>
      <c r="C12" s="22">
        <f>+'BANG KE DOANH THU CT 2019'!C6</f>
        <v>1060382583</v>
      </c>
      <c r="D12" s="20"/>
      <c r="E12" s="23"/>
      <c r="F12" s="22"/>
      <c r="G12" s="20"/>
      <c r="H12" s="20"/>
    </row>
    <row r="13" spans="1:9" x14ac:dyDescent="0.25">
      <c r="A13" s="20">
        <v>5111</v>
      </c>
      <c r="B13" s="21"/>
      <c r="C13" s="22">
        <v>5693978841</v>
      </c>
      <c r="D13" s="20"/>
      <c r="E13" s="23"/>
      <c r="F13" s="22"/>
      <c r="G13" s="20"/>
      <c r="H13" s="20"/>
    </row>
    <row r="14" spans="1:9" x14ac:dyDescent="0.25">
      <c r="A14" s="20">
        <v>5151</v>
      </c>
      <c r="B14" s="21"/>
      <c r="C14" s="22">
        <v>42976</v>
      </c>
      <c r="D14" s="20"/>
      <c r="E14" s="23"/>
      <c r="F14" s="22"/>
      <c r="G14" s="20"/>
      <c r="H14" s="20"/>
    </row>
    <row r="15" spans="1:9" s="1" customFormat="1" x14ac:dyDescent="0.25">
      <c r="A15" s="19" t="s">
        <v>11</v>
      </c>
      <c r="B15" s="15"/>
      <c r="C15" s="16">
        <f>+C7+C9+C11</f>
        <v>6962622582</v>
      </c>
      <c r="D15" s="16">
        <v>50469756</v>
      </c>
      <c r="E15" s="16"/>
      <c r="F15" s="16">
        <f>F11+F9+F7</f>
        <v>5152626.9476291221</v>
      </c>
      <c r="G15" s="16">
        <f>G11+G9+G7</f>
        <v>5024336.0255080462</v>
      </c>
      <c r="H15" s="16">
        <f>H11+H9+H7</f>
        <v>128290.92212107574</v>
      </c>
      <c r="I15" s="3"/>
    </row>
    <row r="16" spans="1:9" x14ac:dyDescent="0.25">
      <c r="D16" s="26"/>
    </row>
    <row r="17" spans="1:9" x14ac:dyDescent="0.25">
      <c r="D17" s="26"/>
      <c r="E17" s="33"/>
      <c r="F17" s="56" t="s">
        <v>15</v>
      </c>
      <c r="G17" s="56"/>
      <c r="H17" s="56"/>
    </row>
    <row r="18" spans="1:9" x14ac:dyDescent="0.25">
      <c r="A18" s="55" t="s">
        <v>12</v>
      </c>
      <c r="B18" s="55"/>
      <c r="D18" s="26"/>
      <c r="F18" s="53" t="s">
        <v>13</v>
      </c>
      <c r="G18" s="53"/>
      <c r="H18" s="53"/>
    </row>
    <row r="19" spans="1:9" x14ac:dyDescent="0.25">
      <c r="D19" s="6"/>
    </row>
    <row r="20" spans="1:9" x14ac:dyDescent="0.25">
      <c r="D20" s="6"/>
    </row>
    <row r="21" spans="1:9" x14ac:dyDescent="0.25">
      <c r="D21" s="6"/>
    </row>
    <row r="22" spans="1:9" x14ac:dyDescent="0.25">
      <c r="D22" s="6"/>
    </row>
    <row r="24" spans="1:9" x14ac:dyDescent="0.25">
      <c r="D24" s="6"/>
    </row>
    <row r="25" spans="1:9" s="1" customFormat="1" x14ac:dyDescent="0.25">
      <c r="B25" s="2"/>
      <c r="C25" s="3"/>
      <c r="D25" s="3"/>
      <c r="E25" s="2"/>
      <c r="F25" s="53" t="s">
        <v>20</v>
      </c>
      <c r="G25" s="53"/>
      <c r="H25" s="53"/>
      <c r="I25" s="3"/>
    </row>
    <row r="26" spans="1:9" x14ac:dyDescent="0.25">
      <c r="D26" s="26"/>
    </row>
  </sheetData>
  <mergeCells count="5">
    <mergeCell ref="A4:H4"/>
    <mergeCell ref="F17:H17"/>
    <mergeCell ref="A18:B18"/>
    <mergeCell ref="F18:H18"/>
    <mergeCell ref="F25:H25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 KE DOANH THU CT 2019</vt:lpstr>
      <vt:lpstr>TINH THUE TNDN</vt:lpstr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2021-03-09T12:29:05Z</dcterms:modified>
</cp:coreProperties>
</file>