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0370" yWindow="-120" windowWidth="20730" windowHeight="11760" activeTab="1"/>
  </bookViews>
  <sheets>
    <sheet name="THONG TIN" sheetId="2" r:id="rId1"/>
    <sheet name="BÁO CÁO" sheetId="3" r:id="rId2"/>
    <sheet name="GT THANG 12,2020" sheetId="1" r:id="rId3"/>
    <sheet name="GT QUY 1" sheetId="4" r:id="rId4"/>
    <sheet name="GT QUY II" sheetId="5" r:id="rId5"/>
    <sheet name="GT QUY III" sheetId="6" r:id="rId6"/>
    <sheet name="GT QUY IV" sheetId="7" r:id="rId7"/>
  </sheets>
  <calcPr calcId="144525"/>
</workbook>
</file>

<file path=xl/calcChain.xml><?xml version="1.0" encoding="utf-8"?>
<calcChain xmlns="http://schemas.openxmlformats.org/spreadsheetml/2006/main">
  <c r="G25" i="7" l="1"/>
  <c r="C25" i="7"/>
  <c r="E25" i="7" s="1"/>
  <c r="E10" i="7"/>
  <c r="C25" i="6"/>
  <c r="E25" i="6"/>
  <c r="E10" i="6"/>
  <c r="C25" i="5"/>
  <c r="E25" i="5" s="1"/>
  <c r="E10" i="5"/>
  <c r="C25" i="4"/>
  <c r="E25" i="4" s="1"/>
  <c r="E10" i="4"/>
  <c r="F25" i="7" l="1"/>
  <c r="F25" i="6"/>
  <c r="F25" i="5"/>
  <c r="F25" i="4"/>
  <c r="F22" i="3"/>
  <c r="F23" i="3"/>
  <c r="F21" i="3"/>
  <c r="F18" i="3"/>
  <c r="F19" i="3"/>
  <c r="F17" i="3"/>
  <c r="F14" i="3"/>
  <c r="F15" i="3"/>
  <c r="F13" i="3"/>
  <c r="F10" i="3"/>
  <c r="F11" i="3"/>
  <c r="F9" i="3"/>
  <c r="C25" i="1"/>
  <c r="E25" i="1" l="1"/>
  <c r="F8" i="3" l="1"/>
  <c r="E10" i="1" l="1"/>
  <c r="F25" i="1" s="1"/>
  <c r="E24" i="3"/>
  <c r="E20" i="3"/>
  <c r="E16" i="3"/>
  <c r="E12" i="3"/>
  <c r="D8" i="3" l="1"/>
  <c r="F24" i="3" l="1"/>
  <c r="F20" i="3"/>
  <c r="F16" i="3"/>
  <c r="F12" i="3"/>
  <c r="D9" i="3" l="1"/>
  <c r="D12" i="3" s="1"/>
  <c r="D24" i="3"/>
  <c r="D20" i="3"/>
  <c r="D16" i="3"/>
  <c r="C24" i="3" l="1"/>
  <c r="C20" i="3"/>
  <c r="C16" i="3"/>
  <c r="C12" i="3"/>
</calcChain>
</file>

<file path=xl/sharedStrings.xml><?xml version="1.0" encoding="utf-8"?>
<sst xmlns="http://schemas.openxmlformats.org/spreadsheetml/2006/main" count="192" uniqueCount="69">
  <si>
    <t>4. Chi phí chung</t>
  </si>
  <si>
    <t>Mẫu số : S 25 - SKT/DNN</t>
  </si>
  <si>
    <t>Ban hành theo quyết định số</t>
  </si>
  <si>
    <t>của bộ tài chính</t>
  </si>
  <si>
    <t>THẺ TÍNH GIÁ THÀNH SẢN PHẨM</t>
  </si>
  <si>
    <t>Khoản mục chi phí sản xuất kinh doanh</t>
  </si>
  <si>
    <t>Chi phí SXKD dở dang đầu kỳ</t>
  </si>
  <si>
    <t>Chi phí SXKD phát sinh trong kỳ</t>
  </si>
  <si>
    <t>Chi phí SXKD dở dang cuối kỳ</t>
  </si>
  <si>
    <t>Giá thành sản phẩm dịch vụ trong kỳ</t>
  </si>
  <si>
    <t xml:space="preserve">Giá thành </t>
  </si>
  <si>
    <t>Giá thành đơn vị</t>
  </si>
  <si>
    <t>1. Vật liệu</t>
  </si>
  <si>
    <t>2. Nhân công</t>
  </si>
  <si>
    <t>3. Máy</t>
  </si>
  <si>
    <t>Cộng</t>
  </si>
  <si>
    <t>Người ghi sổ</t>
  </si>
  <si>
    <t>Kế toán trưởng</t>
  </si>
  <si>
    <t>Giám đốc</t>
  </si>
  <si>
    <t>(Ký , họ tên)</t>
  </si>
  <si>
    <t>(Ký , họ tên,đóng dấu)</t>
  </si>
  <si>
    <t xml:space="preserve">Tên doanh nghiệp: </t>
  </si>
  <si>
    <t>Công ty TNHH kế toán và tư vấn thuế Chiến Thuật</t>
  </si>
  <si>
    <t>Trụ sở chính :</t>
  </si>
  <si>
    <t>57A, Bạch Đằng, phường 4, TP Trà Vinh, tỉnh Trà Vinh</t>
  </si>
  <si>
    <t>Mã số thuế :</t>
  </si>
  <si>
    <t>2 1 0 0 4 6 2 7 7 0</t>
  </si>
  <si>
    <t>Trụ sở chính:</t>
  </si>
  <si>
    <t xml:space="preserve">Công suất dự án : </t>
  </si>
  <si>
    <t>Thời gian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</si>
  <si>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</si>
  <si>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</si>
  <si>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</si>
  <si>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</si>
  <si>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</si>
  <si>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</si>
  <si>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</si>
  <si>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</si>
  <si>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</si>
  <si>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</si>
  <si>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</si>
  <si>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</si>
  <si>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Sản lượng phát</t>
  </si>
  <si>
    <t>Sản lượng bán</t>
  </si>
  <si>
    <t>Sản lượng tiêu dùng</t>
  </si>
  <si>
    <t>Sản lượng phát bỏ</t>
  </si>
  <si>
    <t>Quý I</t>
  </si>
  <si>
    <t>Quý II</t>
  </si>
  <si>
    <t>Quý III</t>
  </si>
  <si>
    <t>Quý IV</t>
  </si>
  <si>
    <t>Hướng dẫn</t>
  </si>
  <si>
    <t>Sản lượng phát ghi số liệu từ phần mềm quản lý Solar</t>
  </si>
  <si>
    <t xml:space="preserve">Sản lượng phát bỏ ghi nhận điện lực không mua và những ngày cúp điện </t>
  </si>
  <si>
    <t xml:space="preserve">Sản lượng tiêu dùng là chênh lệch còn lại </t>
  </si>
  <si>
    <t xml:space="preserve">Năm </t>
  </si>
  <si>
    <t>133/2016/TT-BTC ngày 14/06/2016</t>
  </si>
  <si>
    <t xml:space="preserve">Phương pháp tính giá thành : Giá thành thực tế </t>
  </si>
  <si>
    <t>Tên sản phẩm , dịch vụ : Điện năng lượng mặt trời</t>
  </si>
  <si>
    <t xml:space="preserve">Số lượng sản phẩm , dịch vụ hoàn thành trong kỳ : </t>
  </si>
  <si>
    <t>Sản lượng bán ghi số liệu từ cơ quan điện lực chốt sổ + SL nội suy đến cuối cuối tháng</t>
  </si>
  <si>
    <t>SL (KW)</t>
  </si>
  <si>
    <t>Tháng 12/2020</t>
  </si>
  <si>
    <t>CÔNG TY TNHH TM SUN MINH</t>
  </si>
  <si>
    <t>Âpa An Trại, xã An Phú Tân, Cầu Kè, Trà Vinh</t>
  </si>
  <si>
    <t>Chi phí khấu hao hệ thống pin năng lượng mặt trời</t>
  </si>
  <si>
    <t>800 Kwh</t>
  </si>
  <si>
    <t>Tháng 01/2021</t>
  </si>
  <si>
    <t>Ấp An Trại, xã An Phú Tân, Cầu Kè, TV</t>
  </si>
  <si>
    <t>BẢNG BÁO CÁO SẢN LƯỢNG SẢN XUẤT VÀ TIÊU THỤ ĐIỆN SOLAR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</si>
</sst>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12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2"/>
      <color theme="1"/>
      <name val="Cambria"/>
      <family val="1"/>
      <scheme val="major"/>
    </font>
    <font>
      <b/>
      <sz val="10"/>
      <name val="Cambria"/>
      <family val="1"/>
      <scheme val="major"/>
    </font>
    <font>
      <i/>
      <sz val="10"/>
      <name val="Cambria"/>
      <family val="1"/>
      <scheme val="major"/>
    </font>
    <font>
      <b/>
      <sz val="14"/>
      <name val="Cambria"/>
      <family val="1"/>
      <scheme val="major"/>
    </font>
    <font>
      <sz val="10"/>
      <name val="Cambria"/>
      <family val="1"/>
      <scheme val="major"/>
    </font>
    <font>
      <i/>
      <sz val="8"/>
      <name val="Cambria"/>
      <family val="1"/>
      <scheme val="major"/>
    </font>
    <font>
      <sz val="8"/>
      <name val="Times New Roman"/>
      <family val="2"/>
      <charset val="163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2"/>
      <charset val="163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/>
    <xf numFmtId="165" fontId="2" fillId="0" borderId="4" xfId="1" applyNumberFormat="1" applyFont="1" applyBorder="1"/>
    <xf numFmtId="0" fontId="2" fillId="0" borderId="5" xfId="0" applyFont="1" applyBorder="1"/>
    <xf numFmtId="165" fontId="2" fillId="0" borderId="5" xfId="1" applyNumberFormat="1" applyFont="1" applyBorder="1"/>
    <xf numFmtId="165" fontId="6" fillId="0" borderId="5" xfId="1" applyNumberFormat="1" applyFont="1" applyBorder="1" applyAlignment="1"/>
    <xf numFmtId="165" fontId="2" fillId="0" borderId="1" xfId="1" applyNumberFormat="1" applyFont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165" fontId="6" fillId="0" borderId="0" xfId="1" applyNumberFormat="1" applyFont="1" applyBorder="1"/>
    <xf numFmtId="165" fontId="2" fillId="0" borderId="0" xfId="1" applyNumberFormat="1" applyFont="1" applyBorder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8" xfId="0" applyFont="1" applyBorder="1"/>
    <xf numFmtId="165" fontId="2" fillId="0" borderId="8" xfId="1" applyNumberFormat="1" applyFont="1" applyBorder="1"/>
    <xf numFmtId="0" fontId="2" fillId="0" borderId="9" xfId="0" applyFont="1" applyBorder="1"/>
    <xf numFmtId="165" fontId="2" fillId="0" borderId="9" xfId="1" applyNumberFormat="1" applyFont="1" applyBorder="1"/>
    <xf numFmtId="165" fontId="6" fillId="0" borderId="9" xfId="1" applyNumberFormat="1" applyFont="1" applyBorder="1" applyAlignment="1"/>
    <xf numFmtId="0" fontId="2" fillId="0" borderId="3" xfId="0" applyFont="1" applyBorder="1"/>
    <xf numFmtId="165" fontId="2" fillId="0" borderId="3" xfId="1" applyNumberFormat="1" applyFont="1" applyBorder="1"/>
    <xf numFmtId="165" fontId="2" fillId="0" borderId="10" xfId="1" applyNumberFormat="1" applyFont="1" applyBorder="1"/>
    <xf numFmtId="0" fontId="0" fillId="0" borderId="0" xfId="0" applyAlignment="1">
      <alignment horizontal="right"/>
    </xf>
    <xf numFmtId="0" fontId="0" fillId="0" borderId="5" xfId="0" applyBorder="1" applyAlignment="1">
      <alignment horizontal="center"/>
    </xf>
    <xf numFmtId="0" fontId="0" fillId="0" borderId="5" xfId="0" applyBorder="1"/>
    <xf numFmtId="0" fontId="9" fillId="0" borderId="0" xfId="0" applyFont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3" borderId="1" xfId="0" applyFill="1" applyBorder="1" applyAlignment="1">
      <alignment horizontal="center" vertical="center"/>
    </xf>
    <xf numFmtId="3" fontId="0" fillId="0" borderId="5" xfId="0" applyNumberFormat="1" applyBorder="1"/>
    <xf numFmtId="3" fontId="0" fillId="0" borderId="9" xfId="0" applyNumberFormat="1" applyBorder="1"/>
    <xf numFmtId="3" fontId="0" fillId="0" borderId="8" xfId="0" applyNumberFormat="1" applyBorder="1"/>
    <xf numFmtId="0" fontId="0" fillId="0" borderId="0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3" fontId="9" fillId="2" borderId="1" xfId="0" applyNumberFormat="1" applyFont="1" applyFill="1" applyBorder="1"/>
    <xf numFmtId="0" fontId="10" fillId="0" borderId="0" xfId="0" applyFont="1"/>
    <xf numFmtId="0" fontId="10" fillId="0" borderId="0" xfId="0" applyFont="1" applyFill="1" applyBorder="1"/>
    <xf numFmtId="0" fontId="9" fillId="0" borderId="0" xfId="0" applyFont="1" applyAlignment="1">
      <alignment horizontal="left"/>
    </xf>
    <xf numFmtId="0" fontId="0" fillId="4" borderId="0" xfId="0" applyFill="1"/>
    <xf numFmtId="0" fontId="11" fillId="5" borderId="11" xfId="0" applyFont="1" applyFill="1" applyBorder="1" applyAlignment="1">
      <alignment horizontal="center" vertical="center"/>
    </xf>
    <xf numFmtId="0" fontId="11" fillId="5" borderId="0" xfId="0" applyFont="1" applyFill="1"/>
    <xf numFmtId="166" fontId="11" fillId="5" borderId="0" xfId="1" applyNumberFormat="1" applyFont="1" applyFill="1"/>
    <xf numFmtId="0" fontId="11" fillId="5" borderId="0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3" fontId="0" fillId="0" borderId="5" xfId="0" applyNumberFormat="1" applyBorder="1" applyAlignment="1"/>
    <xf numFmtId="3" fontId="9" fillId="2" borderId="1" xfId="0" applyNumberFormat="1" applyFont="1" applyFill="1" applyBorder="1" applyAlignment="1"/>
    <xf numFmtId="3" fontId="0" fillId="0" borderId="8" xfId="0" applyNumberFormat="1" applyBorder="1" applyAlignment="1"/>
    <xf numFmtId="0" fontId="0" fillId="0" borderId="2" xfId="0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0" fontId="0" fillId="0" borderId="12" xfId="0" applyBorder="1" applyAlignment="1">
      <alignment horizontal="center"/>
    </xf>
    <xf numFmtId="0" fontId="0" fillId="0" borderId="12" xfId="0" applyBorder="1"/>
    <xf numFmtId="3" fontId="0" fillId="0" borderId="12" xfId="0" applyNumberFormat="1" applyBorder="1"/>
    <xf numFmtId="3" fontId="0" fillId="0" borderId="12" xfId="0" applyNumberFormat="1" applyBorder="1" applyAlignment="1"/>
    <xf numFmtId="3" fontId="0" fillId="0" borderId="1" xfId="0" applyNumberFormat="1" applyBorder="1" applyAlignment="1"/>
    <xf numFmtId="3" fontId="0" fillId="2" borderId="3" xfId="0" applyNumberFormat="1" applyFill="1" applyBorder="1" applyAlignment="1"/>
    <xf numFmtId="3" fontId="0" fillId="2" borderId="1" xfId="0" applyNumberFormat="1" applyFill="1" applyBorder="1" applyAlignment="1"/>
    <xf numFmtId="3" fontId="0" fillId="0" borderId="0" xfId="0" applyNumberFormat="1"/>
    <xf numFmtId="166" fontId="0" fillId="0" borderId="0" xfId="1" applyNumberFormat="1" applyFont="1"/>
    <xf numFmtId="3" fontId="0" fillId="5" borderId="2" xfId="0" applyNumberFormat="1" applyFill="1" applyBorder="1" applyAlignment="1">
      <alignment horizontal="right" vertical="center"/>
    </xf>
    <xf numFmtId="3" fontId="0" fillId="0" borderId="2" xfId="0" applyNumberFormat="1" applyBorder="1" applyAlignment="1">
      <alignment horizontal="right"/>
    </xf>
    <xf numFmtId="3" fontId="0" fillId="0" borderId="5" xfId="0" applyNumberFormat="1" applyBorder="1" applyAlignment="1">
      <alignment horizontal="right"/>
    </xf>
    <xf numFmtId="3" fontId="0" fillId="0" borderId="12" xfId="0" applyNumberFormat="1" applyBorder="1" applyAlignment="1">
      <alignment horizontal="right"/>
    </xf>
    <xf numFmtId="3" fontId="9" fillId="2" borderId="1" xfId="0" applyNumberFormat="1" applyFont="1" applyFill="1" applyBorder="1" applyAlignment="1">
      <alignment horizontal="right"/>
    </xf>
    <xf numFmtId="3" fontId="0" fillId="0" borderId="8" xfId="0" applyNumberFormat="1" applyBorder="1" applyAlignment="1">
      <alignment horizontal="right"/>
    </xf>
    <xf numFmtId="0" fontId="4" fillId="0" borderId="0" xfId="0" applyFont="1" applyAlignment="1">
      <alignment horizontal="center" vertical="center" wrapText="1"/>
    </xf>
    <xf numFmtId="3" fontId="11" fillId="0" borderId="4" xfId="0" applyNumberFormat="1" applyFont="1" applyBorder="1"/>
    <xf numFmtId="3" fontId="6" fillId="0" borderId="0" xfId="0" applyNumberFormat="1" applyFont="1"/>
    <xf numFmtId="0" fontId="2" fillId="0" borderId="10" xfId="0" applyFont="1" applyBorder="1"/>
    <xf numFmtId="3" fontId="0" fillId="0" borderId="8" xfId="0" applyNumberFormat="1" applyBorder="1"/>
    <xf numFmtId="165" fontId="2" fillId="0" borderId="0" xfId="0" applyNumberFormat="1" applyFont="1"/>
    <xf numFmtId="0" fontId="0" fillId="3" borderId="1" xfId="0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workbookViewId="0">
      <selection activeCell="C5" sqref="C5"/>
    </sheetView>
  </sheetViews>
  <sheetFormatPr defaultRowHeight="15.75" x14ac:dyDescent="0.25"/>
  <sheetData>
    <row r="3" spans="1:3" x14ac:dyDescent="0.25">
      <c r="A3" t="s">
        <v>21</v>
      </c>
      <c r="C3" t="s">
        <v>22</v>
      </c>
    </row>
    <row r="4" spans="1:3" x14ac:dyDescent="0.25">
      <c r="A4" t="s">
        <v>23</v>
      </c>
      <c r="C4" t="s">
        <v>24</v>
      </c>
    </row>
    <row r="5" spans="1:3" x14ac:dyDescent="0.25">
      <c r="A5" t="s">
        <v>25</v>
      </c>
      <c r="C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workbookViewId="0">
      <selection activeCell="H3" sqref="H3"/>
    </sheetView>
  </sheetViews>
  <sheetFormatPr defaultRowHeight="15.75" x14ac:dyDescent="0.25"/>
  <cols>
    <col min="1" max="1" width="12" customWidth="1"/>
    <col min="2" max="2" width="2.625" customWidth="1"/>
    <col min="3" max="6" width="15.625" customWidth="1"/>
    <col min="7" max="7" width="11.875" bestFit="1" customWidth="1"/>
    <col min="10" max="10" width="11.875" bestFit="1" customWidth="1"/>
  </cols>
  <sheetData>
    <row r="1" spans="1:15" ht="21.95" customHeight="1" x14ac:dyDescent="0.25">
      <c r="A1" t="s">
        <v>21</v>
      </c>
      <c r="C1" t="s">
        <v>62</v>
      </c>
    </row>
    <row r="2" spans="1:15" ht="21.95" customHeight="1" x14ac:dyDescent="0.25">
      <c r="A2" t="s">
        <v>27</v>
      </c>
      <c r="C2" t="s">
        <v>67</v>
      </c>
    </row>
    <row r="3" spans="1:15" ht="21.95" customHeight="1" x14ac:dyDescent="0.25">
      <c r="A3" s="79" t="s">
        <v>68</v>
      </c>
      <c r="B3" s="79"/>
      <c r="C3" s="79"/>
      <c r="D3" s="79"/>
      <c r="E3" s="79"/>
      <c r="F3" s="79"/>
    </row>
    <row r="4" spans="1:15" ht="21.95" customHeight="1" x14ac:dyDescent="0.25"/>
    <row r="5" spans="1:15" ht="21.95" customHeight="1" x14ac:dyDescent="0.25">
      <c r="B5" t="s">
        <v>28</v>
      </c>
      <c r="D5" s="29" t="s">
        <v>65</v>
      </c>
      <c r="E5" s="26" t="s">
        <v>54</v>
      </c>
      <c r="F5" s="44">
        <v>2021</v>
      </c>
    </row>
    <row r="6" spans="1:15" ht="21.95" customHeight="1" x14ac:dyDescent="0.25"/>
    <row r="7" spans="1:15" ht="21.95" customHeight="1" x14ac:dyDescent="0.25">
      <c r="A7" s="78" t="s">
        <v>29</v>
      </c>
      <c r="B7" s="78"/>
      <c r="C7" s="34" t="s">
        <v>42</v>
      </c>
      <c r="D7" s="34" t="s">
        <v>43</v>
      </c>
      <c r="E7" s="34" t="s">
        <v>45</v>
      </c>
      <c r="F7" s="34" t="s">
        <v>44</v>
      </c>
      <c r="G7" s="46" t="s">
        <v>60</v>
      </c>
      <c r="H7" s="47"/>
      <c r="I7" s="47"/>
      <c r="J7" s="47"/>
      <c r="K7" s="47"/>
      <c r="L7" s="47"/>
      <c r="M7" s="47"/>
      <c r="N7" s="47"/>
      <c r="O7" s="45"/>
    </row>
    <row r="8" spans="1:15" ht="21.95" customHeight="1" x14ac:dyDescent="0.25">
      <c r="A8" s="50" t="s">
        <v>61</v>
      </c>
      <c r="B8" s="50"/>
      <c r="C8" s="66">
        <v>72009</v>
      </c>
      <c r="D8" s="73">
        <f>22800+47797</f>
        <v>70597</v>
      </c>
      <c r="E8" s="61"/>
      <c r="F8" s="66">
        <f>+C8-D8</f>
        <v>1412</v>
      </c>
      <c r="G8" s="49"/>
      <c r="H8" s="47"/>
      <c r="I8" s="47"/>
      <c r="J8" s="47"/>
      <c r="K8" s="47"/>
      <c r="L8" s="47"/>
      <c r="M8" s="47"/>
      <c r="N8" s="47"/>
      <c r="O8" s="45"/>
    </row>
    <row r="9" spans="1:15" ht="21.95" customHeight="1" x14ac:dyDescent="0.25">
      <c r="A9" s="54" t="s">
        <v>30</v>
      </c>
      <c r="B9" s="55"/>
      <c r="C9" s="67">
        <v>24479</v>
      </c>
      <c r="D9" s="56">
        <f>23999</f>
        <v>23999</v>
      </c>
      <c r="E9" s="53"/>
      <c r="F9" s="56">
        <f>+C9-D9</f>
        <v>480</v>
      </c>
      <c r="G9" s="48"/>
      <c r="H9" s="47"/>
      <c r="I9" s="47"/>
      <c r="J9" s="47"/>
      <c r="K9" s="47"/>
      <c r="L9" s="47"/>
      <c r="M9" s="47"/>
      <c r="N9" s="47"/>
      <c r="O9" s="45"/>
    </row>
    <row r="10" spans="1:15" ht="21.95" customHeight="1" x14ac:dyDescent="0.25">
      <c r="A10" s="27" t="s">
        <v>31</v>
      </c>
      <c r="B10" s="28"/>
      <c r="C10" s="68">
        <v>85782</v>
      </c>
      <c r="D10" s="35">
        <v>84100</v>
      </c>
      <c r="E10" s="51"/>
      <c r="F10" s="56">
        <f t="shared" ref="F10:F11" si="0">+C10-D10</f>
        <v>1682</v>
      </c>
    </row>
    <row r="11" spans="1:15" ht="21.95" customHeight="1" x14ac:dyDescent="0.25">
      <c r="A11" s="57" t="s">
        <v>32</v>
      </c>
      <c r="B11" s="58"/>
      <c r="C11" s="69">
        <v>84452</v>
      </c>
      <c r="D11" s="59">
        <v>82796</v>
      </c>
      <c r="E11" s="60"/>
      <c r="F11" s="56">
        <f t="shared" si="0"/>
        <v>1656</v>
      </c>
    </row>
    <row r="12" spans="1:15" ht="21.95" customHeight="1" x14ac:dyDescent="0.25">
      <c r="A12" s="39" t="s">
        <v>46</v>
      </c>
      <c r="B12" s="40"/>
      <c r="C12" s="70">
        <f>SUM(C9:C11)</f>
        <v>194713</v>
      </c>
      <c r="D12" s="41">
        <f>SUM(D9:D11)</f>
        <v>190895</v>
      </c>
      <c r="E12" s="63">
        <f>SUM(E9:E11)</f>
        <v>0</v>
      </c>
      <c r="F12" s="41">
        <f>SUM(F9:F11)</f>
        <v>3818</v>
      </c>
    </row>
    <row r="13" spans="1:15" ht="21.95" customHeight="1" x14ac:dyDescent="0.25">
      <c r="A13" s="32" t="s">
        <v>33</v>
      </c>
      <c r="B13" s="33"/>
      <c r="C13" s="71">
        <v>113623</v>
      </c>
      <c r="D13" s="37">
        <v>111395</v>
      </c>
      <c r="E13" s="53"/>
      <c r="F13" s="37">
        <f>+C13-D13</f>
        <v>2228</v>
      </c>
    </row>
    <row r="14" spans="1:15" ht="21.95" customHeight="1" x14ac:dyDescent="0.25">
      <c r="A14" s="27" t="s">
        <v>34</v>
      </c>
      <c r="B14" s="28"/>
      <c r="C14" s="71">
        <v>99547</v>
      </c>
      <c r="D14" s="35">
        <v>97595</v>
      </c>
      <c r="E14" s="51"/>
      <c r="F14" s="76">
        <f t="shared" ref="F14:F15" si="1">+C14-D14</f>
        <v>1952</v>
      </c>
    </row>
    <row r="15" spans="1:15" ht="21.95" customHeight="1" x14ac:dyDescent="0.25">
      <c r="A15" s="30" t="s">
        <v>35</v>
      </c>
      <c r="B15" s="31"/>
      <c r="C15" s="71">
        <v>94855</v>
      </c>
      <c r="D15" s="36">
        <v>92995</v>
      </c>
      <c r="E15" s="60"/>
      <c r="F15" s="76">
        <f t="shared" si="1"/>
        <v>1860</v>
      </c>
    </row>
    <row r="16" spans="1:15" ht="21.95" customHeight="1" x14ac:dyDescent="0.25">
      <c r="A16" s="39" t="s">
        <v>47</v>
      </c>
      <c r="B16" s="40"/>
      <c r="C16" s="70">
        <f>SUM(C13:C15)</f>
        <v>308025</v>
      </c>
      <c r="D16" s="41">
        <f>SUM(D13:D15)</f>
        <v>301985</v>
      </c>
      <c r="E16" s="62">
        <f>SUM(E13:E15)</f>
        <v>0</v>
      </c>
      <c r="F16" s="41">
        <f>SUM(F13:F15)</f>
        <v>6040</v>
      </c>
    </row>
    <row r="17" spans="1:10" ht="21.95" customHeight="1" x14ac:dyDescent="0.25">
      <c r="A17" s="32" t="s">
        <v>36</v>
      </c>
      <c r="B17" s="33"/>
      <c r="C17" s="71">
        <v>99445</v>
      </c>
      <c r="D17" s="37">
        <v>97495</v>
      </c>
      <c r="E17" s="53"/>
      <c r="F17" s="37">
        <f>+C17-D17</f>
        <v>1950</v>
      </c>
    </row>
    <row r="18" spans="1:10" ht="21.95" customHeight="1" x14ac:dyDescent="0.25">
      <c r="A18" s="27" t="s">
        <v>37</v>
      </c>
      <c r="B18" s="28"/>
      <c r="C18" s="71">
        <v>166048</v>
      </c>
      <c r="D18" s="36">
        <v>162792</v>
      </c>
      <c r="E18" s="51"/>
      <c r="F18" s="76">
        <f t="shared" ref="F18:F19" si="2">+C18-D18</f>
        <v>3256</v>
      </c>
    </row>
    <row r="19" spans="1:10" ht="21.95" customHeight="1" x14ac:dyDescent="0.25">
      <c r="A19" s="30" t="s">
        <v>38</v>
      </c>
      <c r="B19" s="31"/>
      <c r="C19" s="71">
        <v>78434</v>
      </c>
      <c r="D19" s="37">
        <v>76896</v>
      </c>
      <c r="E19" s="60"/>
      <c r="F19" s="76">
        <f t="shared" si="2"/>
        <v>1538</v>
      </c>
    </row>
    <row r="20" spans="1:10" ht="21.95" customHeight="1" x14ac:dyDescent="0.25">
      <c r="A20" s="39" t="s">
        <v>48</v>
      </c>
      <c r="B20" s="40"/>
      <c r="C20" s="70">
        <f>SUM(C17:C19)</f>
        <v>343927</v>
      </c>
      <c r="D20" s="41">
        <f>SUM(D17:D19)</f>
        <v>337183</v>
      </c>
      <c r="E20" s="62">
        <f>SUM(E17:E19)</f>
        <v>0</v>
      </c>
      <c r="F20" s="41">
        <f>SUM(F17:F19)</f>
        <v>6744</v>
      </c>
    </row>
    <row r="21" spans="1:10" ht="21.95" customHeight="1" x14ac:dyDescent="0.25">
      <c r="A21" s="32" t="s">
        <v>39</v>
      </c>
      <c r="B21" s="33"/>
      <c r="C21" s="71">
        <v>71600</v>
      </c>
      <c r="D21" s="35">
        <v>70196</v>
      </c>
      <c r="E21" s="53"/>
      <c r="F21" s="37">
        <f>+C21-D21</f>
        <v>1404</v>
      </c>
    </row>
    <row r="22" spans="1:10" ht="21.95" customHeight="1" x14ac:dyDescent="0.25">
      <c r="A22" s="27" t="s">
        <v>40</v>
      </c>
      <c r="B22" s="28"/>
      <c r="C22" s="71">
        <v>71804</v>
      </c>
      <c r="D22" s="35">
        <v>70396</v>
      </c>
      <c r="E22" s="51"/>
      <c r="F22" s="76">
        <f t="shared" ref="F22:F23" si="3">+C22-D22</f>
        <v>1408</v>
      </c>
    </row>
    <row r="23" spans="1:10" ht="21.95" customHeight="1" x14ac:dyDescent="0.25">
      <c r="A23" s="30" t="s">
        <v>41</v>
      </c>
      <c r="B23" s="31"/>
      <c r="C23" s="71">
        <v>75374</v>
      </c>
      <c r="D23" s="36">
        <v>73896</v>
      </c>
      <c r="E23" s="60"/>
      <c r="F23" s="76">
        <f t="shared" si="3"/>
        <v>1478</v>
      </c>
    </row>
    <row r="24" spans="1:10" ht="21.95" customHeight="1" x14ac:dyDescent="0.25">
      <c r="A24" s="39" t="s">
        <v>49</v>
      </c>
      <c r="B24" s="40"/>
      <c r="C24" s="70">
        <f>SUM(C21:C23)</f>
        <v>218778</v>
      </c>
      <c r="D24" s="41">
        <f>SUM(D21:D23)</f>
        <v>214488</v>
      </c>
      <c r="E24" s="52">
        <f>SUM(E21:E23)</f>
        <v>0</v>
      </c>
      <c r="F24" s="41">
        <f>SUM(F21:F23)</f>
        <v>4290</v>
      </c>
      <c r="H24" s="64"/>
      <c r="I24" s="64"/>
      <c r="J24" s="65"/>
    </row>
    <row r="25" spans="1:10" ht="21.95" customHeight="1" x14ac:dyDescent="0.25"/>
    <row r="26" spans="1:10" ht="21.95" customHeight="1" x14ac:dyDescent="0.25">
      <c r="A26" s="38" t="s">
        <v>50</v>
      </c>
      <c r="C26" s="42" t="s">
        <v>51</v>
      </c>
    </row>
    <row r="27" spans="1:10" ht="21.95" customHeight="1" x14ac:dyDescent="0.25">
      <c r="C27" s="42" t="s">
        <v>59</v>
      </c>
    </row>
    <row r="28" spans="1:10" ht="21.95" customHeight="1" x14ac:dyDescent="0.25">
      <c r="C28" s="42" t="s">
        <v>52</v>
      </c>
    </row>
    <row r="29" spans="1:10" ht="21.95" customHeight="1" x14ac:dyDescent="0.25">
      <c r="C29" s="43" t="s">
        <v>53</v>
      </c>
    </row>
  </sheetData>
  <mergeCells count="2">
    <mergeCell ref="A7:B7"/>
    <mergeCell ref="A3:F3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10" workbookViewId="0">
      <selection activeCell="I19" sqref="I19"/>
    </sheetView>
  </sheetViews>
  <sheetFormatPr defaultRowHeight="15.75" x14ac:dyDescent="0.25"/>
  <cols>
    <col min="1" max="1" width="46.625" style="1" customWidth="1"/>
    <col min="2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">
        <v>62</v>
      </c>
      <c r="E1" s="81" t="s">
        <v>1</v>
      </c>
      <c r="F1" s="81"/>
    </row>
    <row r="2" spans="1:6" ht="14.25" customHeight="1" x14ac:dyDescent="0.25">
      <c r="A2" s="1" t="s">
        <v>63</v>
      </c>
      <c r="E2" s="82" t="s">
        <v>2</v>
      </c>
      <c r="F2" s="82"/>
    </row>
    <row r="3" spans="1:6" ht="15.75" customHeight="1" x14ac:dyDescent="0.25">
      <c r="E3" s="82" t="s">
        <v>55</v>
      </c>
      <c r="F3" s="82"/>
    </row>
    <row r="4" spans="1:6" x14ac:dyDescent="0.25">
      <c r="E4" s="82" t="s">
        <v>3</v>
      </c>
      <c r="F4" s="82"/>
    </row>
    <row r="5" spans="1:6" x14ac:dyDescent="0.25">
      <c r="E5" s="2"/>
      <c r="F5" s="2"/>
    </row>
    <row r="6" spans="1:6" ht="18" x14ac:dyDescent="0.25">
      <c r="A6" s="83" t="s">
        <v>4</v>
      </c>
      <c r="B6" s="83"/>
      <c r="C6" s="83"/>
      <c r="D6" s="83"/>
      <c r="E6" s="83"/>
      <c r="F6" s="83"/>
    </row>
    <row r="7" spans="1:6" x14ac:dyDescent="0.25">
      <c r="A7" s="80" t="s">
        <v>61</v>
      </c>
      <c r="B7" s="80"/>
      <c r="C7" s="80"/>
      <c r="D7" s="80"/>
      <c r="E7" s="80"/>
      <c r="F7" s="80"/>
    </row>
    <row r="9" spans="1:6" x14ac:dyDescent="0.25">
      <c r="B9" s="3" t="s">
        <v>57</v>
      </c>
      <c r="C9" s="4"/>
      <c r="D9" s="4"/>
      <c r="E9" s="4"/>
      <c r="F9" s="4"/>
    </row>
    <row r="10" spans="1:6" x14ac:dyDescent="0.25">
      <c r="B10" s="3" t="s">
        <v>58</v>
      </c>
      <c r="C10" s="4"/>
      <c r="D10" s="4"/>
      <c r="E10" s="74">
        <f>+'BÁO CÁO'!C8</f>
        <v>72009</v>
      </c>
      <c r="F10" s="4"/>
    </row>
    <row r="11" spans="1:6" x14ac:dyDescent="0.25">
      <c r="B11" s="3" t="s">
        <v>56</v>
      </c>
      <c r="C11" s="4"/>
      <c r="D11" s="4"/>
      <c r="E11" s="4"/>
      <c r="F11" s="4"/>
    </row>
    <row r="13" spans="1:6" ht="30.75" customHeight="1" x14ac:dyDescent="0.25">
      <c r="A13" s="84" t="s">
        <v>5</v>
      </c>
      <c r="B13" s="84" t="s">
        <v>6</v>
      </c>
      <c r="C13" s="84" t="s">
        <v>7</v>
      </c>
      <c r="D13" s="84" t="s">
        <v>8</v>
      </c>
      <c r="E13" s="86" t="s">
        <v>9</v>
      </c>
      <c r="F13" s="87"/>
    </row>
    <row r="14" spans="1:6" ht="21.75" customHeight="1" x14ac:dyDescent="0.25">
      <c r="A14" s="85"/>
      <c r="B14" s="85"/>
      <c r="C14" s="85"/>
      <c r="D14" s="85"/>
      <c r="E14" s="5" t="s">
        <v>10</v>
      </c>
      <c r="F14" s="5" t="s">
        <v>11</v>
      </c>
    </row>
    <row r="15" spans="1:6" ht="21" customHeight="1" x14ac:dyDescent="0.25">
      <c r="A15" s="6" t="s">
        <v>12</v>
      </c>
      <c r="B15" s="7"/>
      <c r="C15" s="7"/>
      <c r="D15" s="7"/>
      <c r="E15" s="7"/>
      <c r="F15" s="7"/>
    </row>
    <row r="16" spans="1:6" ht="21" customHeight="1" x14ac:dyDescent="0.25">
      <c r="A16" s="18"/>
      <c r="B16" s="19"/>
      <c r="C16" s="19"/>
      <c r="D16" s="19"/>
      <c r="E16" s="19"/>
      <c r="F16" s="19"/>
    </row>
    <row r="17" spans="1:6" ht="21" customHeight="1" x14ac:dyDescent="0.25">
      <c r="A17" s="18"/>
      <c r="B17" s="19"/>
      <c r="C17" s="19"/>
      <c r="D17" s="19"/>
      <c r="E17" s="19"/>
      <c r="F17" s="19"/>
    </row>
    <row r="18" spans="1:6" ht="21" customHeight="1" x14ac:dyDescent="0.25">
      <c r="A18" s="8" t="s">
        <v>13</v>
      </c>
      <c r="B18" s="9"/>
      <c r="C18" s="9"/>
      <c r="D18" s="9"/>
      <c r="E18" s="9"/>
      <c r="F18" s="9"/>
    </row>
    <row r="19" spans="1:6" ht="21" customHeight="1" x14ac:dyDescent="0.25">
      <c r="A19" s="8"/>
      <c r="B19" s="9"/>
      <c r="C19" s="9"/>
      <c r="D19" s="9"/>
      <c r="E19" s="9"/>
      <c r="F19" s="9"/>
    </row>
    <row r="20" spans="1:6" ht="21" customHeight="1" x14ac:dyDescent="0.25">
      <c r="A20" s="8"/>
      <c r="B20" s="9"/>
      <c r="C20" s="9"/>
      <c r="D20" s="9"/>
      <c r="E20" s="9"/>
      <c r="F20" s="9"/>
    </row>
    <row r="21" spans="1:6" ht="21" customHeight="1" x14ac:dyDescent="0.25">
      <c r="A21" s="8" t="s">
        <v>14</v>
      </c>
      <c r="B21" s="9"/>
      <c r="C21" s="9"/>
      <c r="D21" s="9"/>
      <c r="E21" s="10"/>
      <c r="F21" s="10"/>
    </row>
    <row r="22" spans="1:6" ht="21" customHeight="1" x14ac:dyDescent="0.25">
      <c r="A22" s="20"/>
      <c r="B22" s="21"/>
      <c r="C22" s="21"/>
      <c r="D22" s="21"/>
      <c r="E22" s="22"/>
      <c r="F22" s="22"/>
    </row>
    <row r="23" spans="1:6" ht="21" customHeight="1" x14ac:dyDescent="0.25">
      <c r="A23" s="20"/>
      <c r="B23" s="21"/>
      <c r="C23" s="21"/>
      <c r="D23" s="21"/>
      <c r="E23" s="22"/>
      <c r="F23" s="22"/>
    </row>
    <row r="24" spans="1:6" ht="21" customHeight="1" x14ac:dyDescent="0.25">
      <c r="A24" s="8" t="s">
        <v>0</v>
      </c>
      <c r="B24" s="9"/>
      <c r="C24" s="9"/>
      <c r="D24" s="9"/>
      <c r="E24" s="9"/>
      <c r="F24" s="9"/>
    </row>
    <row r="25" spans="1:6" ht="21" customHeight="1" x14ac:dyDescent="0.25">
      <c r="A25" s="75" t="s">
        <v>64</v>
      </c>
      <c r="B25" s="25"/>
      <c r="C25" s="25">
        <f>103270590+(B25/12)</f>
        <v>103270590</v>
      </c>
      <c r="D25" s="25"/>
      <c r="E25" s="25">
        <f>+B25+C25-D25</f>
        <v>103270590</v>
      </c>
      <c r="F25" s="25">
        <f>+E25/E10</f>
        <v>1434.1344831896013</v>
      </c>
    </row>
    <row r="26" spans="1:6" ht="21" customHeight="1" x14ac:dyDescent="0.25">
      <c r="A26" s="23"/>
      <c r="B26" s="24"/>
      <c r="C26" s="24"/>
      <c r="D26" s="24"/>
      <c r="E26" s="24"/>
      <c r="F26" s="24"/>
    </row>
    <row r="27" spans="1:6" ht="21" customHeight="1" x14ac:dyDescent="0.25">
      <c r="A27" s="5" t="s">
        <v>15</v>
      </c>
      <c r="B27" s="11"/>
      <c r="C27" s="11"/>
      <c r="D27" s="11"/>
      <c r="E27" s="12"/>
      <c r="F27" s="11"/>
    </row>
    <row r="28" spans="1:6" ht="21" customHeight="1" x14ac:dyDescent="0.25">
      <c r="A28" s="13"/>
      <c r="B28" s="14"/>
      <c r="C28" s="15"/>
      <c r="D28" s="15"/>
      <c r="E28" s="15"/>
      <c r="F28" s="15"/>
    </row>
    <row r="29" spans="1:6" ht="21" customHeight="1" x14ac:dyDescent="0.25"/>
    <row r="30" spans="1:6" ht="21" customHeight="1" x14ac:dyDescent="0.25">
      <c r="A30" s="16" t="s">
        <v>16</v>
      </c>
      <c r="B30" s="16"/>
      <c r="C30" s="16" t="s">
        <v>17</v>
      </c>
      <c r="D30" s="16"/>
      <c r="E30" s="16" t="s">
        <v>18</v>
      </c>
      <c r="F30" s="16"/>
    </row>
    <row r="31" spans="1:6" ht="21" customHeight="1" x14ac:dyDescent="0.25">
      <c r="A31" s="17" t="s">
        <v>19</v>
      </c>
      <c r="B31" s="17"/>
      <c r="C31" s="17" t="s">
        <v>19</v>
      </c>
      <c r="D31" s="17"/>
      <c r="E31" s="17" t="s">
        <v>20</v>
      </c>
      <c r="F31" s="17"/>
    </row>
    <row r="32" spans="1:6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3" workbookViewId="0">
      <selection activeCell="H28" sqref="H28"/>
    </sheetView>
  </sheetViews>
  <sheetFormatPr defaultRowHeight="15.75" x14ac:dyDescent="0.25"/>
  <cols>
    <col min="1" max="1" width="46.625" style="1" customWidth="1"/>
    <col min="2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">
        <v>62</v>
      </c>
      <c r="E1" s="81" t="s">
        <v>1</v>
      </c>
      <c r="F1" s="81"/>
    </row>
    <row r="2" spans="1:6" x14ac:dyDescent="0.25">
      <c r="A2" s="1" t="s">
        <v>63</v>
      </c>
      <c r="E2" s="82" t="s">
        <v>2</v>
      </c>
      <c r="F2" s="82"/>
    </row>
    <row r="3" spans="1:6" x14ac:dyDescent="0.25">
      <c r="E3" s="82" t="s">
        <v>55</v>
      </c>
      <c r="F3" s="82"/>
    </row>
    <row r="4" spans="1:6" x14ac:dyDescent="0.25">
      <c r="E4" s="82" t="s">
        <v>3</v>
      </c>
      <c r="F4" s="82"/>
    </row>
    <row r="5" spans="1:6" x14ac:dyDescent="0.25">
      <c r="E5" s="72"/>
      <c r="F5" s="72"/>
    </row>
    <row r="6" spans="1:6" ht="18" x14ac:dyDescent="0.25">
      <c r="A6" s="83" t="s">
        <v>4</v>
      </c>
      <c r="B6" s="83"/>
      <c r="C6" s="83"/>
      <c r="D6" s="83"/>
      <c r="E6" s="83"/>
      <c r="F6" s="83"/>
    </row>
    <row r="7" spans="1:6" x14ac:dyDescent="0.25">
      <c r="A7" s="80" t="s">
        <v>66</v>
      </c>
      <c r="B7" s="80"/>
      <c r="C7" s="80"/>
      <c r="D7" s="80"/>
      <c r="E7" s="80"/>
      <c r="F7" s="80"/>
    </row>
    <row r="9" spans="1:6" x14ac:dyDescent="0.25">
      <c r="B9" s="3" t="s">
        <v>57</v>
      </c>
      <c r="C9" s="4"/>
      <c r="D9" s="4"/>
      <c r="E9" s="4"/>
      <c r="F9" s="4"/>
    </row>
    <row r="10" spans="1:6" x14ac:dyDescent="0.25">
      <c r="B10" s="3" t="s">
        <v>58</v>
      </c>
      <c r="C10" s="4"/>
      <c r="D10" s="4"/>
      <c r="E10" s="74">
        <f>'BÁO CÁO'!C12</f>
        <v>194713</v>
      </c>
      <c r="F10" s="4"/>
    </row>
    <row r="11" spans="1:6" x14ac:dyDescent="0.25">
      <c r="B11" s="3" t="s">
        <v>56</v>
      </c>
      <c r="C11" s="4"/>
      <c r="D11" s="4"/>
      <c r="E11" s="4"/>
      <c r="F11" s="4"/>
    </row>
    <row r="13" spans="1:6" x14ac:dyDescent="0.25">
      <c r="A13" s="84" t="s">
        <v>5</v>
      </c>
      <c r="B13" s="84" t="s">
        <v>6</v>
      </c>
      <c r="C13" s="84" t="s">
        <v>7</v>
      </c>
      <c r="D13" s="84" t="s">
        <v>8</v>
      </c>
      <c r="E13" s="86" t="s">
        <v>9</v>
      </c>
      <c r="F13" s="87"/>
    </row>
    <row r="14" spans="1:6" x14ac:dyDescent="0.25">
      <c r="A14" s="85"/>
      <c r="B14" s="85"/>
      <c r="C14" s="85"/>
      <c r="D14" s="85"/>
      <c r="E14" s="5" t="s">
        <v>10</v>
      </c>
      <c r="F14" s="5" t="s">
        <v>11</v>
      </c>
    </row>
    <row r="15" spans="1:6" x14ac:dyDescent="0.25">
      <c r="A15" s="6" t="s">
        <v>12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6" x14ac:dyDescent="0.25">
      <c r="A17" s="18"/>
      <c r="B17" s="19"/>
      <c r="C17" s="19"/>
      <c r="D17" s="19"/>
      <c r="E17" s="19"/>
      <c r="F17" s="19"/>
    </row>
    <row r="18" spans="1:6" x14ac:dyDescent="0.25">
      <c r="A18" s="8" t="s">
        <v>13</v>
      </c>
      <c r="B18" s="9"/>
      <c r="C18" s="9"/>
      <c r="D18" s="9"/>
      <c r="E18" s="9"/>
      <c r="F18" s="9"/>
    </row>
    <row r="19" spans="1:6" x14ac:dyDescent="0.25">
      <c r="A19" s="8"/>
      <c r="B19" s="9"/>
      <c r="C19" s="9"/>
      <c r="D19" s="9"/>
      <c r="E19" s="9"/>
      <c r="F19" s="9"/>
    </row>
    <row r="20" spans="1:6" x14ac:dyDescent="0.25">
      <c r="A20" s="8"/>
      <c r="B20" s="9"/>
      <c r="C20" s="9"/>
      <c r="D20" s="9"/>
      <c r="E20" s="9"/>
      <c r="F20" s="9"/>
    </row>
    <row r="21" spans="1:6" x14ac:dyDescent="0.25">
      <c r="A21" s="8" t="s">
        <v>14</v>
      </c>
      <c r="B21" s="9"/>
      <c r="C21" s="9"/>
      <c r="D21" s="9"/>
      <c r="E21" s="10"/>
      <c r="F21" s="10"/>
    </row>
    <row r="22" spans="1:6" x14ac:dyDescent="0.25">
      <c r="A22" s="20"/>
      <c r="B22" s="21"/>
      <c r="C22" s="21"/>
      <c r="D22" s="21"/>
      <c r="E22" s="22"/>
      <c r="F22" s="22"/>
    </row>
    <row r="23" spans="1:6" x14ac:dyDescent="0.25">
      <c r="A23" s="20"/>
      <c r="B23" s="21"/>
      <c r="C23" s="21"/>
      <c r="D23" s="21"/>
      <c r="E23" s="22"/>
      <c r="F23" s="22"/>
    </row>
    <row r="24" spans="1:6" x14ac:dyDescent="0.25">
      <c r="A24" s="8" t="s">
        <v>0</v>
      </c>
      <c r="B24" s="9"/>
      <c r="C24" s="9"/>
      <c r="D24" s="9"/>
      <c r="E24" s="9"/>
      <c r="F24" s="9"/>
    </row>
    <row r="25" spans="1:6" x14ac:dyDescent="0.25">
      <c r="A25" s="75" t="s">
        <v>64</v>
      </c>
      <c r="B25" s="25"/>
      <c r="C25" s="25">
        <f>(104866668+147478434)+(B25/12)</f>
        <v>252345102</v>
      </c>
      <c r="D25" s="25"/>
      <c r="E25" s="25">
        <f>+B25+C25-D25</f>
        <v>252345102</v>
      </c>
      <c r="F25" s="25">
        <f>+E25/E10</f>
        <v>1295.9848700394941</v>
      </c>
    </row>
    <row r="26" spans="1:6" x14ac:dyDescent="0.25">
      <c r="A26" s="23"/>
      <c r="B26" s="24"/>
      <c r="C26" s="24"/>
      <c r="D26" s="24"/>
      <c r="E26" s="24"/>
      <c r="F26" s="24"/>
    </row>
    <row r="27" spans="1:6" x14ac:dyDescent="0.25">
      <c r="A27" s="5" t="s">
        <v>15</v>
      </c>
      <c r="B27" s="11"/>
      <c r="C27" s="11"/>
      <c r="D27" s="11"/>
      <c r="E27" s="12"/>
      <c r="F27" s="11"/>
    </row>
    <row r="28" spans="1:6" x14ac:dyDescent="0.25">
      <c r="A28" s="13"/>
      <c r="B28" s="14"/>
      <c r="C28" s="15"/>
      <c r="D28" s="15"/>
      <c r="E28" s="15"/>
      <c r="F28" s="15"/>
    </row>
    <row r="30" spans="1:6" x14ac:dyDescent="0.25">
      <c r="A30" s="16" t="s">
        <v>16</v>
      </c>
      <c r="B30" s="16"/>
      <c r="C30" s="16" t="s">
        <v>17</v>
      </c>
      <c r="D30" s="16"/>
      <c r="E30" s="16" t="s">
        <v>18</v>
      </c>
      <c r="F30" s="16"/>
    </row>
    <row r="31" spans="1:6" x14ac:dyDescent="0.25">
      <c r="A31" s="17" t="s">
        <v>19</v>
      </c>
      <c r="B31" s="17"/>
      <c r="C31" s="17" t="s">
        <v>19</v>
      </c>
      <c r="D31" s="17"/>
      <c r="E31" s="17" t="s">
        <v>20</v>
      </c>
      <c r="F31" s="17"/>
    </row>
  </sheetData>
  <mergeCells count="11">
    <mergeCell ref="A7:F7"/>
    <mergeCell ref="E1:F1"/>
    <mergeCell ref="E2:F2"/>
    <mergeCell ref="E3:F3"/>
    <mergeCell ref="E4:F4"/>
    <mergeCell ref="A6:F6"/>
    <mergeCell ref="A13:A14"/>
    <mergeCell ref="B13:B14"/>
    <mergeCell ref="C13:C14"/>
    <mergeCell ref="D13:D14"/>
    <mergeCell ref="E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7" workbookViewId="0">
      <selection sqref="A1:XFD1048576"/>
    </sheetView>
  </sheetViews>
  <sheetFormatPr defaultRowHeight="15.75" x14ac:dyDescent="0.25"/>
  <cols>
    <col min="1" max="1" width="46.625" style="1" customWidth="1"/>
    <col min="2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">
        <v>62</v>
      </c>
      <c r="E1" s="81" t="s">
        <v>1</v>
      </c>
      <c r="F1" s="81"/>
    </row>
    <row r="2" spans="1:6" x14ac:dyDescent="0.25">
      <c r="A2" s="1" t="s">
        <v>63</v>
      </c>
      <c r="E2" s="82" t="s">
        <v>2</v>
      </c>
      <c r="F2" s="82"/>
    </row>
    <row r="3" spans="1:6" x14ac:dyDescent="0.25">
      <c r="E3" s="82" t="s">
        <v>55</v>
      </c>
      <c r="F3" s="82"/>
    </row>
    <row r="4" spans="1:6" x14ac:dyDescent="0.25">
      <c r="E4" s="82" t="s">
        <v>3</v>
      </c>
      <c r="F4" s="82"/>
    </row>
    <row r="5" spans="1:6" x14ac:dyDescent="0.25">
      <c r="E5" s="72"/>
      <c r="F5" s="72"/>
    </row>
    <row r="6" spans="1:6" ht="18" x14ac:dyDescent="0.25">
      <c r="A6" s="83" t="s">
        <v>4</v>
      </c>
      <c r="B6" s="83"/>
      <c r="C6" s="83"/>
      <c r="D6" s="83"/>
      <c r="E6" s="83"/>
      <c r="F6" s="83"/>
    </row>
    <row r="7" spans="1:6" x14ac:dyDescent="0.25">
      <c r="A7" s="80" t="s">
        <v>66</v>
      </c>
      <c r="B7" s="80"/>
      <c r="C7" s="80"/>
      <c r="D7" s="80"/>
      <c r="E7" s="80"/>
      <c r="F7" s="80"/>
    </row>
    <row r="9" spans="1:6" x14ac:dyDescent="0.25">
      <c r="B9" s="3" t="s">
        <v>57</v>
      </c>
      <c r="C9" s="4"/>
      <c r="D9" s="4"/>
      <c r="E9" s="4"/>
      <c r="F9" s="4"/>
    </row>
    <row r="10" spans="1:6" x14ac:dyDescent="0.25">
      <c r="B10" s="3" t="s">
        <v>58</v>
      </c>
      <c r="C10" s="4"/>
      <c r="D10" s="4"/>
      <c r="E10" s="74">
        <f>+'BÁO CÁO'!C16</f>
        <v>308025</v>
      </c>
      <c r="F10" s="4"/>
    </row>
    <row r="11" spans="1:6" x14ac:dyDescent="0.25">
      <c r="B11" s="3" t="s">
        <v>56</v>
      </c>
      <c r="C11" s="4"/>
      <c r="D11" s="4"/>
      <c r="E11" s="4"/>
      <c r="F11" s="4"/>
    </row>
    <row r="13" spans="1:6" x14ac:dyDescent="0.25">
      <c r="A13" s="84" t="s">
        <v>5</v>
      </c>
      <c r="B13" s="84" t="s">
        <v>6</v>
      </c>
      <c r="C13" s="84" t="s">
        <v>7</v>
      </c>
      <c r="D13" s="84" t="s">
        <v>8</v>
      </c>
      <c r="E13" s="86" t="s">
        <v>9</v>
      </c>
      <c r="F13" s="87"/>
    </row>
    <row r="14" spans="1:6" x14ac:dyDescent="0.25">
      <c r="A14" s="85"/>
      <c r="B14" s="85"/>
      <c r="C14" s="85"/>
      <c r="D14" s="85"/>
      <c r="E14" s="5" t="s">
        <v>10</v>
      </c>
      <c r="F14" s="5" t="s">
        <v>11</v>
      </c>
    </row>
    <row r="15" spans="1:6" x14ac:dyDescent="0.25">
      <c r="A15" s="6" t="s">
        <v>12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6" x14ac:dyDescent="0.25">
      <c r="A17" s="18"/>
      <c r="B17" s="19"/>
      <c r="C17" s="19"/>
      <c r="D17" s="19"/>
      <c r="E17" s="19"/>
      <c r="F17" s="19"/>
    </row>
    <row r="18" spans="1:6" x14ac:dyDescent="0.25">
      <c r="A18" s="8" t="s">
        <v>13</v>
      </c>
      <c r="B18" s="9"/>
      <c r="C18" s="9"/>
      <c r="D18" s="9"/>
      <c r="E18" s="9"/>
      <c r="F18" s="9"/>
    </row>
    <row r="19" spans="1:6" x14ac:dyDescent="0.25">
      <c r="A19" s="8"/>
      <c r="B19" s="9"/>
      <c r="C19" s="9"/>
      <c r="D19" s="9"/>
      <c r="E19" s="9"/>
      <c r="F19" s="9"/>
    </row>
    <row r="20" spans="1:6" x14ac:dyDescent="0.25">
      <c r="A20" s="8"/>
      <c r="B20" s="9"/>
      <c r="C20" s="9"/>
      <c r="D20" s="9"/>
      <c r="E20" s="9"/>
      <c r="F20" s="9"/>
    </row>
    <row r="21" spans="1:6" x14ac:dyDescent="0.25">
      <c r="A21" s="8" t="s">
        <v>14</v>
      </c>
      <c r="B21" s="9"/>
      <c r="C21" s="9"/>
      <c r="D21" s="9"/>
      <c r="E21" s="10"/>
      <c r="F21" s="10"/>
    </row>
    <row r="22" spans="1:6" x14ac:dyDescent="0.25">
      <c r="A22" s="20"/>
      <c r="B22" s="21"/>
      <c r="C22" s="21"/>
      <c r="D22" s="21"/>
      <c r="E22" s="22"/>
      <c r="F22" s="22"/>
    </row>
    <row r="23" spans="1:6" x14ac:dyDescent="0.25">
      <c r="A23" s="20"/>
      <c r="B23" s="21"/>
      <c r="C23" s="21"/>
      <c r="D23" s="21"/>
      <c r="E23" s="22"/>
      <c r="F23" s="22"/>
    </row>
    <row r="24" spans="1:6" x14ac:dyDescent="0.25">
      <c r="A24" s="8" t="s">
        <v>0</v>
      </c>
      <c r="B24" s="9"/>
      <c r="C24" s="9"/>
      <c r="D24" s="9"/>
      <c r="E24" s="9"/>
      <c r="F24" s="9"/>
    </row>
    <row r="25" spans="1:6" x14ac:dyDescent="0.25">
      <c r="A25" s="75" t="s">
        <v>64</v>
      </c>
      <c r="B25" s="25"/>
      <c r="C25" s="25">
        <f>(147478434+104866668)+(B25/12)</f>
        <v>252345102</v>
      </c>
      <c r="D25" s="25"/>
      <c r="E25" s="25">
        <f>+B25+C25-D25</f>
        <v>252345102</v>
      </c>
      <c r="F25" s="25">
        <f>+E25/E10</f>
        <v>819.23578280983691</v>
      </c>
    </row>
    <row r="26" spans="1:6" x14ac:dyDescent="0.25">
      <c r="A26" s="23"/>
      <c r="B26" s="24"/>
      <c r="C26" s="24"/>
      <c r="D26" s="24"/>
      <c r="E26" s="24"/>
      <c r="F26" s="24"/>
    </row>
    <row r="27" spans="1:6" x14ac:dyDescent="0.25">
      <c r="A27" s="5" t="s">
        <v>15</v>
      </c>
      <c r="B27" s="11"/>
      <c r="C27" s="11"/>
      <c r="D27" s="11"/>
      <c r="E27" s="12"/>
      <c r="F27" s="11"/>
    </row>
    <row r="28" spans="1:6" x14ac:dyDescent="0.25">
      <c r="A28" s="13"/>
      <c r="B28" s="14"/>
      <c r="C28" s="15"/>
      <c r="D28" s="15"/>
      <c r="E28" s="15"/>
      <c r="F28" s="15"/>
    </row>
    <row r="30" spans="1:6" x14ac:dyDescent="0.25">
      <c r="A30" s="16" t="s">
        <v>16</v>
      </c>
      <c r="B30" s="16"/>
      <c r="C30" s="16" t="s">
        <v>17</v>
      </c>
      <c r="D30" s="16"/>
      <c r="E30" s="16" t="s">
        <v>18</v>
      </c>
      <c r="F30" s="16"/>
    </row>
    <row r="31" spans="1:6" x14ac:dyDescent="0.25">
      <c r="A31" s="17" t="s">
        <v>19</v>
      </c>
      <c r="B31" s="17"/>
      <c r="C31" s="17" t="s">
        <v>19</v>
      </c>
      <c r="D31" s="17"/>
      <c r="E31" s="17" t="s">
        <v>20</v>
      </c>
      <c r="F31" s="17"/>
    </row>
  </sheetData>
  <mergeCells count="11">
    <mergeCell ref="A7:F7"/>
    <mergeCell ref="E1:F1"/>
    <mergeCell ref="E2:F2"/>
    <mergeCell ref="E3:F3"/>
    <mergeCell ref="E4:F4"/>
    <mergeCell ref="A6:F6"/>
    <mergeCell ref="A13:A14"/>
    <mergeCell ref="B13:B14"/>
    <mergeCell ref="C13:C14"/>
    <mergeCell ref="D13:D14"/>
    <mergeCell ref="E13:F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0" workbookViewId="0">
      <selection sqref="A1:XFD1048576"/>
    </sheetView>
  </sheetViews>
  <sheetFormatPr defaultRowHeight="15.75" x14ac:dyDescent="0.25"/>
  <cols>
    <col min="1" max="1" width="46.625" style="1" customWidth="1"/>
    <col min="2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">
        <v>62</v>
      </c>
      <c r="E1" s="81" t="s">
        <v>1</v>
      </c>
      <c r="F1" s="81"/>
    </row>
    <row r="2" spans="1:6" x14ac:dyDescent="0.25">
      <c r="A2" s="1" t="s">
        <v>63</v>
      </c>
      <c r="E2" s="82" t="s">
        <v>2</v>
      </c>
      <c r="F2" s="82"/>
    </row>
    <row r="3" spans="1:6" x14ac:dyDescent="0.25">
      <c r="E3" s="82" t="s">
        <v>55</v>
      </c>
      <c r="F3" s="82"/>
    </row>
    <row r="4" spans="1:6" x14ac:dyDescent="0.25">
      <c r="E4" s="82" t="s">
        <v>3</v>
      </c>
      <c r="F4" s="82"/>
    </row>
    <row r="5" spans="1:6" x14ac:dyDescent="0.25">
      <c r="E5" s="72"/>
      <c r="F5" s="72"/>
    </row>
    <row r="6" spans="1:6" ht="18" x14ac:dyDescent="0.25">
      <c r="A6" s="83" t="s">
        <v>4</v>
      </c>
      <c r="B6" s="83"/>
      <c r="C6" s="83"/>
      <c r="D6" s="83"/>
      <c r="E6" s="83"/>
      <c r="F6" s="83"/>
    </row>
    <row r="7" spans="1:6" x14ac:dyDescent="0.25">
      <c r="A7" s="80" t="s">
        <v>66</v>
      </c>
      <c r="B7" s="80"/>
      <c r="C7" s="80"/>
      <c r="D7" s="80"/>
      <c r="E7" s="80"/>
      <c r="F7" s="80"/>
    </row>
    <row r="9" spans="1:6" x14ac:dyDescent="0.25">
      <c r="B9" s="3" t="s">
        <v>57</v>
      </c>
      <c r="C9" s="4"/>
      <c r="D9" s="4"/>
      <c r="E9" s="4"/>
      <c r="F9" s="4"/>
    </row>
    <row r="10" spans="1:6" x14ac:dyDescent="0.25">
      <c r="B10" s="3" t="s">
        <v>58</v>
      </c>
      <c r="C10" s="4"/>
      <c r="D10" s="4"/>
      <c r="E10" s="74">
        <f>+'BÁO CÁO'!C20</f>
        <v>343927</v>
      </c>
      <c r="F10" s="4"/>
    </row>
    <row r="11" spans="1:6" x14ac:dyDescent="0.25">
      <c r="B11" s="3" t="s">
        <v>56</v>
      </c>
      <c r="C11" s="4"/>
      <c r="D11" s="4"/>
      <c r="E11" s="4"/>
      <c r="F11" s="4"/>
    </row>
    <row r="13" spans="1:6" x14ac:dyDescent="0.25">
      <c r="A13" s="84" t="s">
        <v>5</v>
      </c>
      <c r="B13" s="84" t="s">
        <v>6</v>
      </c>
      <c r="C13" s="84" t="s">
        <v>7</v>
      </c>
      <c r="D13" s="84" t="s">
        <v>8</v>
      </c>
      <c r="E13" s="86" t="s">
        <v>9</v>
      </c>
      <c r="F13" s="87"/>
    </row>
    <row r="14" spans="1:6" x14ac:dyDescent="0.25">
      <c r="A14" s="85"/>
      <c r="B14" s="85"/>
      <c r="C14" s="85"/>
      <c r="D14" s="85"/>
      <c r="E14" s="5" t="s">
        <v>10</v>
      </c>
      <c r="F14" s="5" t="s">
        <v>11</v>
      </c>
    </row>
    <row r="15" spans="1:6" x14ac:dyDescent="0.25">
      <c r="A15" s="6" t="s">
        <v>12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6" x14ac:dyDescent="0.25">
      <c r="A17" s="18"/>
      <c r="B17" s="19"/>
      <c r="C17" s="19"/>
      <c r="D17" s="19"/>
      <c r="E17" s="19"/>
      <c r="F17" s="19"/>
    </row>
    <row r="18" spans="1:6" x14ac:dyDescent="0.25">
      <c r="A18" s="8" t="s">
        <v>13</v>
      </c>
      <c r="B18" s="9"/>
      <c r="C18" s="9"/>
      <c r="D18" s="9"/>
      <c r="E18" s="9"/>
      <c r="F18" s="9"/>
    </row>
    <row r="19" spans="1:6" x14ac:dyDescent="0.25">
      <c r="A19" s="8"/>
      <c r="B19" s="9"/>
      <c r="C19" s="9"/>
      <c r="D19" s="9"/>
      <c r="E19" s="9"/>
      <c r="F19" s="9"/>
    </row>
    <row r="20" spans="1:6" x14ac:dyDescent="0.25">
      <c r="A20" s="8"/>
      <c r="B20" s="9"/>
      <c r="C20" s="9"/>
      <c r="D20" s="9"/>
      <c r="E20" s="9"/>
      <c r="F20" s="9"/>
    </row>
    <row r="21" spans="1:6" x14ac:dyDescent="0.25">
      <c r="A21" s="8" t="s">
        <v>14</v>
      </c>
      <c r="B21" s="9"/>
      <c r="C21" s="9"/>
      <c r="D21" s="9"/>
      <c r="E21" s="10"/>
      <c r="F21" s="10"/>
    </row>
    <row r="22" spans="1:6" x14ac:dyDescent="0.25">
      <c r="A22" s="20"/>
      <c r="B22" s="21"/>
      <c r="C22" s="21"/>
      <c r="D22" s="21"/>
      <c r="E22" s="22"/>
      <c r="F22" s="22"/>
    </row>
    <row r="23" spans="1:6" x14ac:dyDescent="0.25">
      <c r="A23" s="20"/>
      <c r="B23" s="21"/>
      <c r="C23" s="21"/>
      <c r="D23" s="21"/>
      <c r="E23" s="22"/>
      <c r="F23" s="22"/>
    </row>
    <row r="24" spans="1:6" x14ac:dyDescent="0.25">
      <c r="A24" s="8" t="s">
        <v>0</v>
      </c>
      <c r="B24" s="9"/>
      <c r="C24" s="9"/>
      <c r="D24" s="9"/>
      <c r="E24" s="9"/>
      <c r="F24" s="9"/>
    </row>
    <row r="25" spans="1:6" x14ac:dyDescent="0.25">
      <c r="A25" s="75" t="s">
        <v>64</v>
      </c>
      <c r="B25" s="25"/>
      <c r="C25" s="25">
        <f>(147478434+63366668)+(B25/12)</f>
        <v>210845102</v>
      </c>
      <c r="D25" s="25"/>
      <c r="E25" s="25">
        <f>+B25+C25-D25</f>
        <v>210845102</v>
      </c>
      <c r="F25" s="25">
        <f>+E25/E10</f>
        <v>613.0519034562567</v>
      </c>
    </row>
    <row r="26" spans="1:6" x14ac:dyDescent="0.25">
      <c r="A26" s="23"/>
      <c r="B26" s="24"/>
      <c r="C26" s="24"/>
      <c r="D26" s="24"/>
      <c r="E26" s="24"/>
      <c r="F26" s="24"/>
    </row>
    <row r="27" spans="1:6" x14ac:dyDescent="0.25">
      <c r="A27" s="5" t="s">
        <v>15</v>
      </c>
      <c r="B27" s="11"/>
      <c r="C27" s="11"/>
      <c r="D27" s="11"/>
      <c r="E27" s="12"/>
      <c r="F27" s="11"/>
    </row>
    <row r="28" spans="1:6" x14ac:dyDescent="0.25">
      <c r="A28" s="13"/>
      <c r="B28" s="14"/>
      <c r="C28" s="15"/>
      <c r="D28" s="15"/>
      <c r="E28" s="15"/>
      <c r="F28" s="15"/>
    </row>
    <row r="30" spans="1:6" x14ac:dyDescent="0.25">
      <c r="A30" s="16" t="s">
        <v>16</v>
      </c>
      <c r="B30" s="16"/>
      <c r="C30" s="16" t="s">
        <v>17</v>
      </c>
      <c r="D30" s="16"/>
      <c r="E30" s="16" t="s">
        <v>18</v>
      </c>
      <c r="F30" s="16"/>
    </row>
    <row r="31" spans="1:6" x14ac:dyDescent="0.25">
      <c r="A31" s="17" t="s">
        <v>19</v>
      </c>
      <c r="B31" s="17"/>
      <c r="C31" s="17" t="s">
        <v>19</v>
      </c>
      <c r="D31" s="17"/>
      <c r="E31" s="17" t="s">
        <v>20</v>
      </c>
      <c r="F31" s="17"/>
    </row>
  </sheetData>
  <mergeCells count="11">
    <mergeCell ref="A7:F7"/>
    <mergeCell ref="E1:F1"/>
    <mergeCell ref="E2:F2"/>
    <mergeCell ref="E3:F3"/>
    <mergeCell ref="E4:F4"/>
    <mergeCell ref="A6:F6"/>
    <mergeCell ref="A13:A14"/>
    <mergeCell ref="B13:B14"/>
    <mergeCell ref="C13:C14"/>
    <mergeCell ref="D13:D14"/>
    <mergeCell ref="E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10" workbookViewId="0">
      <selection activeCell="G20" sqref="G20"/>
    </sheetView>
  </sheetViews>
  <sheetFormatPr defaultRowHeight="15.75" x14ac:dyDescent="0.25"/>
  <cols>
    <col min="1" max="1" width="46.625" style="1" customWidth="1"/>
    <col min="2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">
        <v>62</v>
      </c>
      <c r="E1" s="81" t="s">
        <v>1</v>
      </c>
      <c r="F1" s="81"/>
    </row>
    <row r="2" spans="1:6" x14ac:dyDescent="0.25">
      <c r="A2" s="1" t="s">
        <v>63</v>
      </c>
      <c r="E2" s="82" t="s">
        <v>2</v>
      </c>
      <c r="F2" s="82"/>
    </row>
    <row r="3" spans="1:6" x14ac:dyDescent="0.25">
      <c r="E3" s="82" t="s">
        <v>55</v>
      </c>
      <c r="F3" s="82"/>
    </row>
    <row r="4" spans="1:6" x14ac:dyDescent="0.25">
      <c r="E4" s="82" t="s">
        <v>3</v>
      </c>
      <c r="F4" s="82"/>
    </row>
    <row r="5" spans="1:6" x14ac:dyDescent="0.25">
      <c r="E5" s="72"/>
      <c r="F5" s="72"/>
    </row>
    <row r="6" spans="1:6" ht="18" x14ac:dyDescent="0.25">
      <c r="A6" s="83" t="s">
        <v>4</v>
      </c>
      <c r="B6" s="83"/>
      <c r="C6" s="83"/>
      <c r="D6" s="83"/>
      <c r="E6" s="83"/>
      <c r="F6" s="83"/>
    </row>
    <row r="7" spans="1:6" x14ac:dyDescent="0.25">
      <c r="A7" s="80" t="s">
        <v>66</v>
      </c>
      <c r="B7" s="80"/>
      <c r="C7" s="80"/>
      <c r="D7" s="80"/>
      <c r="E7" s="80"/>
      <c r="F7" s="80"/>
    </row>
    <row r="9" spans="1:6" x14ac:dyDescent="0.25">
      <c r="B9" s="3" t="s">
        <v>57</v>
      </c>
      <c r="C9" s="4"/>
      <c r="D9" s="4"/>
      <c r="E9" s="4"/>
      <c r="F9" s="4"/>
    </row>
    <row r="10" spans="1:6" x14ac:dyDescent="0.25">
      <c r="B10" s="3" t="s">
        <v>58</v>
      </c>
      <c r="C10" s="4"/>
      <c r="D10" s="4"/>
      <c r="E10" s="74">
        <f>+'BÁO CÁO'!C24</f>
        <v>218778</v>
      </c>
      <c r="F10" s="4"/>
    </row>
    <row r="11" spans="1:6" x14ac:dyDescent="0.25">
      <c r="B11" s="3" t="s">
        <v>56</v>
      </c>
      <c r="C11" s="4"/>
      <c r="D11" s="4"/>
      <c r="E11" s="4"/>
      <c r="F11" s="4"/>
    </row>
    <row r="13" spans="1:6" x14ac:dyDescent="0.25">
      <c r="A13" s="84" t="s">
        <v>5</v>
      </c>
      <c r="B13" s="84" t="s">
        <v>6</v>
      </c>
      <c r="C13" s="84" t="s">
        <v>7</v>
      </c>
      <c r="D13" s="84" t="s">
        <v>8</v>
      </c>
      <c r="E13" s="86" t="s">
        <v>9</v>
      </c>
      <c r="F13" s="87"/>
    </row>
    <row r="14" spans="1:6" x14ac:dyDescent="0.25">
      <c r="A14" s="85"/>
      <c r="B14" s="85"/>
      <c r="C14" s="85"/>
      <c r="D14" s="85"/>
      <c r="E14" s="5" t="s">
        <v>10</v>
      </c>
      <c r="F14" s="5" t="s">
        <v>11</v>
      </c>
    </row>
    <row r="15" spans="1:6" x14ac:dyDescent="0.25">
      <c r="A15" s="6" t="s">
        <v>12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7" x14ac:dyDescent="0.25">
      <c r="A17" s="18"/>
      <c r="B17" s="19"/>
      <c r="C17" s="19"/>
      <c r="D17" s="19"/>
      <c r="E17" s="19"/>
      <c r="F17" s="19"/>
    </row>
    <row r="18" spans="1:7" x14ac:dyDescent="0.25">
      <c r="A18" s="8" t="s">
        <v>13</v>
      </c>
      <c r="B18" s="9"/>
      <c r="C18" s="9"/>
      <c r="D18" s="9"/>
      <c r="E18" s="9"/>
      <c r="F18" s="9"/>
    </row>
    <row r="19" spans="1:7" x14ac:dyDescent="0.25">
      <c r="A19" s="8"/>
      <c r="B19" s="9"/>
      <c r="C19" s="9"/>
      <c r="D19" s="9"/>
      <c r="E19" s="9"/>
      <c r="F19" s="9"/>
    </row>
    <row r="20" spans="1:7" x14ac:dyDescent="0.25">
      <c r="A20" s="8"/>
      <c r="B20" s="9"/>
      <c r="C20" s="9"/>
      <c r="D20" s="9"/>
      <c r="E20" s="9"/>
      <c r="F20" s="9"/>
    </row>
    <row r="21" spans="1:7" x14ac:dyDescent="0.25">
      <c r="A21" s="8" t="s">
        <v>14</v>
      </c>
      <c r="B21" s="9"/>
      <c r="C21" s="9"/>
      <c r="D21" s="9"/>
      <c r="E21" s="10"/>
      <c r="F21" s="10"/>
    </row>
    <row r="22" spans="1:7" x14ac:dyDescent="0.25">
      <c r="A22" s="20"/>
      <c r="B22" s="21"/>
      <c r="C22" s="21"/>
      <c r="D22" s="21"/>
      <c r="E22" s="22"/>
      <c r="F22" s="22"/>
    </row>
    <row r="23" spans="1:7" x14ac:dyDescent="0.25">
      <c r="A23" s="20"/>
      <c r="B23" s="21"/>
      <c r="C23" s="21"/>
      <c r="D23" s="21"/>
      <c r="E23" s="22"/>
      <c r="F23" s="22"/>
    </row>
    <row r="24" spans="1:7" x14ac:dyDescent="0.25">
      <c r="A24" s="8" t="s">
        <v>0</v>
      </c>
      <c r="B24" s="9"/>
      <c r="C24" s="9"/>
      <c r="D24" s="9"/>
      <c r="E24" s="9"/>
      <c r="F24" s="9"/>
    </row>
    <row r="25" spans="1:7" x14ac:dyDescent="0.25">
      <c r="A25" s="75" t="s">
        <v>64</v>
      </c>
      <c r="B25" s="25"/>
      <c r="C25" s="25">
        <f>(147478434+93366668)+(B25/12)</f>
        <v>240845102</v>
      </c>
      <c r="D25" s="25"/>
      <c r="E25" s="25">
        <f>+B25+C25-D25</f>
        <v>240845102</v>
      </c>
      <c r="F25" s="25">
        <f>+E25/E10</f>
        <v>1100.8652698168919</v>
      </c>
      <c r="G25" s="77">
        <f>+'GT QUY 1'!C25+'GT QUY II'!C25+'GT QUY III'!C25+'GT QUY IV'!E25</f>
        <v>956380408</v>
      </c>
    </row>
    <row r="26" spans="1:7" x14ac:dyDescent="0.25">
      <c r="A26" s="23"/>
      <c r="B26" s="24"/>
      <c r="C26" s="24"/>
      <c r="D26" s="24"/>
      <c r="E26" s="24"/>
      <c r="F26" s="24"/>
    </row>
    <row r="27" spans="1:7" x14ac:dyDescent="0.25">
      <c r="A27" s="5" t="s">
        <v>15</v>
      </c>
      <c r="B27" s="11"/>
      <c r="C27" s="11"/>
      <c r="D27" s="11"/>
      <c r="E27" s="12"/>
      <c r="F27" s="11"/>
    </row>
    <row r="28" spans="1:7" x14ac:dyDescent="0.25">
      <c r="A28" s="13"/>
      <c r="B28" s="14"/>
      <c r="C28" s="15"/>
      <c r="D28" s="15"/>
      <c r="E28" s="15"/>
      <c r="F28" s="15"/>
    </row>
    <row r="30" spans="1:7" x14ac:dyDescent="0.25">
      <c r="A30" s="16" t="s">
        <v>16</v>
      </c>
      <c r="B30" s="16"/>
      <c r="C30" s="16" t="s">
        <v>17</v>
      </c>
      <c r="D30" s="16"/>
      <c r="E30" s="16" t="s">
        <v>18</v>
      </c>
      <c r="F30" s="16"/>
    </row>
    <row r="31" spans="1:7" x14ac:dyDescent="0.25">
      <c r="A31" s="17" t="s">
        <v>19</v>
      </c>
      <c r="B31" s="17"/>
      <c r="C31" s="17" t="s">
        <v>19</v>
      </c>
      <c r="D31" s="17"/>
      <c r="E31" s="17" t="s">
        <v>20</v>
      </c>
      <c r="F31" s="17"/>
    </row>
  </sheetData>
  <mergeCells count="11">
    <mergeCell ref="A7:F7"/>
    <mergeCell ref="E1:F1"/>
    <mergeCell ref="E2:F2"/>
    <mergeCell ref="E3:F3"/>
    <mergeCell ref="E4:F4"/>
    <mergeCell ref="A6:F6"/>
    <mergeCell ref="A13:A14"/>
    <mergeCell ref="B13:B14"/>
    <mergeCell ref="C13:C14"/>
    <mergeCell ref="D13:D14"/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THONG TIN</vt:lpstr>
      <vt:lpstr>BÁO CÁO</vt:lpstr>
      <vt:lpstr>GT THANG 12,2020</vt:lpstr>
      <vt:lpstr>GT QUY 1</vt:lpstr>
      <vt:lpstr>GT QUY II</vt:lpstr>
      <vt:lpstr>GT QUY III</vt:lpstr>
      <vt:lpstr>GT QUY 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CHIENTHUAT</cp:lastModifiedBy>
  <dcterms:created xsi:type="dcterms:W3CDTF">2016-04-11T03:39:34Z</dcterms:created>
  <dcterms:modified xsi:type="dcterms:W3CDTF">2022-03-30T03:05:10Z</dcterms:modified>
</cp:coreProperties>
</file>