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0" windowWidth="7860" windowHeight="5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2" i="1"/>
</calcChain>
</file>

<file path=xl/sharedStrings.xml><?xml version="1.0" encoding="utf-8"?>
<sst xmlns="http://schemas.openxmlformats.org/spreadsheetml/2006/main" count="24" uniqueCount="17">
  <si>
    <t>STT</t>
  </si>
  <si>
    <t>MÃ VT</t>
  </si>
  <si>
    <t>TÊN VẬT TƯ</t>
  </si>
  <si>
    <t>ĐƠN VỊ 
TÍNH</t>
  </si>
  <si>
    <t xml:space="preserve"> SỐ 
LƯỢNG </t>
  </si>
  <si>
    <t xml:space="preserve"> ĐƠN GIÁ </t>
  </si>
  <si>
    <t xml:space="preserve"> THÀNH TIỀN </t>
  </si>
  <si>
    <t>MÃ NHÓM</t>
  </si>
  <si>
    <t>TÊN NHÓM</t>
  </si>
  <si>
    <t>TK KHO (151,152,1561,...)</t>
  </si>
  <si>
    <t>TK DOANH THU (511)</t>
  </si>
  <si>
    <t>THUẾ SUẤT (0,5,10,K)</t>
  </si>
  <si>
    <t>Điện</t>
  </si>
  <si>
    <t>KW</t>
  </si>
  <si>
    <t>HH100001</t>
  </si>
  <si>
    <t>HH100002</t>
  </si>
  <si>
    <t>HH100003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</si>
</sst>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1"/>
      <charset val="163"/>
      <scheme val="major"/>
    </font>
    <font>
      <sz val="10"/>
      <color theme="1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E2" sqref="E2"/>
    </sheetView>
  </sheetViews>
  <sheetFormatPr defaultColWidth="9" defaultRowHeight="12.75" x14ac:dyDescent="0.25"/>
  <cols>
    <col min="1" max="1" width="4.5703125" style="2" customWidth="1"/>
    <col min="2" max="2" width="16.5703125" style="2" customWidth="1"/>
    <col min="3" max="3" width="22.140625" style="2" customWidth="1"/>
    <col min="4" max="6" width="9" style="2"/>
    <col min="7" max="7" width="8" style="2" bestFit="1" customWidth="1"/>
    <col min="8" max="9" width="8" style="2" customWidth="1"/>
    <col min="10" max="10" width="10.85546875" style="2" customWidth="1"/>
    <col min="11" max="11" width="13.42578125" style="2" customWidth="1"/>
    <col min="12" max="12" width="14.28515625" style="2" customWidth="1"/>
    <col min="13" max="13" width="12" style="2" customWidth="1"/>
    <col min="14" max="14" width="13.5703125" style="2" customWidth="1"/>
    <col min="15" max="16384" width="9" style="2"/>
  </cols>
  <sheetData>
    <row r="1" spans="1:14" ht="5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11</v>
      </c>
      <c r="F1" s="5" t="s">
        <v>9</v>
      </c>
      <c r="G1" s="5" t="s">
        <v>10</v>
      </c>
      <c r="H1" s="5" t="s">
        <v>7</v>
      </c>
      <c r="I1" s="5" t="s">
        <v>8</v>
      </c>
      <c r="J1" s="5" t="s">
        <v>4</v>
      </c>
      <c r="K1" s="4" t="s">
        <v>5</v>
      </c>
      <c r="L1" s="4" t="s">
        <v>6</v>
      </c>
      <c r="M1" s="1"/>
      <c r="N1" s="1"/>
    </row>
    <row r="2" spans="1:14" x14ac:dyDescent="0.25">
      <c r="A2" s="3">
        <v>1</v>
      </c>
      <c r="B2" s="3" t="s">
        <v>14</v>
      </c>
      <c r="C2" s="3" t="s">
        <v>12</v>
      </c>
      <c r="D2" s="3" t="s">
        <v>13</v>
      </c>
      <c r="E2" s="3">
        <v>10</v>
      </c>
      <c r="F2" s="3">
        <v>1561</v>
      </c>
      <c r="G2" s="3">
        <v>5111</v>
      </c>
      <c r="H2" s="3">
        <v>1500</v>
      </c>
      <c r="I2" s="3" t="s">
        <v>12</v>
      </c>
      <c r="J2" s="3">
        <v>1</v>
      </c>
      <c r="K2" s="3">
        <v>10000</v>
      </c>
      <c r="L2" s="3">
        <f>J2*K2</f>
        <v>10000</v>
      </c>
    </row>
    <row r="3" spans="1:14" x14ac:dyDescent="0.25">
      <c r="A3" s="3">
        <v>2</v>
      </c>
      <c r="B3" s="3" t="s">
        <v>15</v>
      </c>
      <c r="C3" s="3" t="s">
        <v>12</v>
      </c>
      <c r="D3" s="3" t="s">
        <v>13</v>
      </c>
      <c r="E3" s="3">
        <v>10</v>
      </c>
      <c r="F3" s="3">
        <v>1561</v>
      </c>
      <c r="G3" s="3">
        <v>5111</v>
      </c>
      <c r="H3" s="3">
        <v>1501</v>
      </c>
      <c r="I3" s="3" t="s">
        <v>12</v>
      </c>
      <c r="J3" s="3">
        <v>1</v>
      </c>
      <c r="K3" s="3">
        <v>10000</v>
      </c>
      <c r="L3" s="3">
        <f t="shared" ref="L3:L4" si="0">J3*K3</f>
        <v>10000</v>
      </c>
    </row>
    <row r="4" spans="1:14" x14ac:dyDescent="0.25">
      <c r="A4" s="3">
        <v>3</v>
      </c>
      <c r="B4" s="3" t="s">
        <v>16</v>
      </c>
      <c r="C4" s="3" t="s">
        <v>12</v>
      </c>
      <c r="D4" s="3" t="s">
        <v>13</v>
      </c>
      <c r="E4" s="3">
        <v>10</v>
      </c>
      <c r="F4" s="3">
        <v>1561</v>
      </c>
      <c r="G4" s="3">
        <v>5111</v>
      </c>
      <c r="H4" s="3">
        <v>1502</v>
      </c>
      <c r="I4" s="3" t="s">
        <v>12</v>
      </c>
      <c r="J4" s="3">
        <v>1</v>
      </c>
      <c r="K4" s="3">
        <v>10000</v>
      </c>
      <c r="L4" s="3">
        <f t="shared" si="0"/>
        <v>10000</v>
      </c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dataValidations count="4">
    <dataValidation type="custom" allowBlank="1" showInputMessage="1" showErrorMessage="1" errorTitle="Lỗi" error="Mã vật tư không được có dấu." sqref="B2:B1000">
      <formula1>SUMPRODUCT(--ISNUMBER(SEARCH(MID(B2,ROW(INDIRECT("1:"&amp;LEN(B2))),1),"àáạảãâầấậẩẫăằắặẳẵèéẹẻẽêềếệểễìíịỉĩòóọỏõôồốộổỗơờớợởỡùúụủũưừứựửữỳýỵỷỹđÀÁẠẢÃÂẦẤẬẨẪĂẰẮẶẲẴÈÉẸẺẼÊỀẾỆỂỄÌÍỊỈĨÒÓỌỎÕÔỒỐỘỔỖƠỜỚỢỞỠÙÚỤỦŨƯỪỨỰỬỮỲÝỴỶỸĐ"))) = 0</formula1>
    </dataValidation>
    <dataValidation type="list" allowBlank="1" showInputMessage="1" showErrorMessage="1" sqref="E2:E1000">
      <formula1>"10,8,5,0,k,kk"</formula1>
    </dataValidation>
    <dataValidation type="list" allowBlank="1" showInputMessage="1" showErrorMessage="1" sqref="F2:F1000">
      <formula1>"151,152,153,155,1561"</formula1>
    </dataValidation>
    <dataValidation type="list" allowBlank="1" showInputMessage="1" showErrorMessage="1" sqref="G2:G1000">
      <formula1>"5111,5112,5113"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2015-06-05T18:17:20Z</dcterms:created>
  <dcterms:modified xsi:type="dcterms:W3CDTF">2025-09-08T08:29:19Z</dcterms:modified>
</cp:coreProperties>
</file>